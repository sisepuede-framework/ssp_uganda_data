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usuario/git/ssp_uganda_data/inventory_summary_excel/"/>
    </mc:Choice>
  </mc:AlternateContent>
  <xr:revisionPtr revIDLastSave="0" documentId="13_ncr:1_{BD1770A7-3A8B-1D46-9C2A-2B2A698334F6}" xr6:coauthVersionLast="47" xr6:coauthVersionMax="47" xr10:uidLastSave="{00000000-0000-0000-0000-000000000000}"/>
  <bookViews>
    <workbookView xWindow="4200" yWindow="500" windowWidth="34460" windowHeight="19480" xr2:uid="{7CB3F8A0-6788-624C-A76D-E92EBC32A2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56" i="1" l="1"/>
  <c r="AE156" i="1"/>
  <c r="AH156" i="1"/>
  <c r="BF156" i="1"/>
  <c r="BG156" i="1"/>
  <c r="BJ156" i="1"/>
  <c r="H157" i="1"/>
  <c r="H156" i="1" s="1"/>
  <c r="I157" i="1"/>
  <c r="I156" i="1" s="1"/>
  <c r="J157" i="1"/>
  <c r="J156" i="1" s="1"/>
  <c r="K157" i="1"/>
  <c r="K156" i="1" s="1"/>
  <c r="L157" i="1"/>
  <c r="L156" i="1" s="1"/>
  <c r="M157" i="1"/>
  <c r="M156" i="1" s="1"/>
  <c r="N157" i="1"/>
  <c r="N156" i="1" s="1"/>
  <c r="O157" i="1"/>
  <c r="O156" i="1" s="1"/>
  <c r="P157" i="1"/>
  <c r="P156" i="1" s="1"/>
  <c r="Q157" i="1"/>
  <c r="Q156" i="1" s="1"/>
  <c r="R157" i="1"/>
  <c r="R156" i="1" s="1"/>
  <c r="S157" i="1"/>
  <c r="S156" i="1" s="1"/>
  <c r="T157" i="1"/>
  <c r="T156" i="1" s="1"/>
  <c r="U157" i="1"/>
  <c r="U156" i="1" s="1"/>
  <c r="V157" i="1"/>
  <c r="V156" i="1" s="1"/>
  <c r="W157" i="1"/>
  <c r="W156" i="1" s="1"/>
  <c r="X157" i="1"/>
  <c r="X156" i="1" s="1"/>
  <c r="Y157" i="1"/>
  <c r="Y156" i="1" s="1"/>
  <c r="Z157" i="1"/>
  <c r="Z156" i="1" s="1"/>
  <c r="AA157" i="1"/>
  <c r="AA156" i="1" s="1"/>
  <c r="AB157" i="1"/>
  <c r="AB156" i="1" s="1"/>
  <c r="AC157" i="1"/>
  <c r="AC156" i="1" s="1"/>
  <c r="AD157" i="1"/>
  <c r="AE157" i="1"/>
  <c r="AF157" i="1"/>
  <c r="AF156" i="1" s="1"/>
  <c r="AG157" i="1"/>
  <c r="AG156" i="1" s="1"/>
  <c r="AH157" i="1"/>
  <c r="AI157" i="1"/>
  <c r="AI156" i="1" s="1"/>
  <c r="AJ157" i="1"/>
  <c r="AJ156" i="1" s="1"/>
  <c r="AK157" i="1"/>
  <c r="AK156" i="1" s="1"/>
  <c r="AL157" i="1"/>
  <c r="AL156" i="1" s="1"/>
  <c r="AM157" i="1"/>
  <c r="AM156" i="1" s="1"/>
  <c r="AN157" i="1"/>
  <c r="AN156" i="1" s="1"/>
  <c r="AO157" i="1"/>
  <c r="AO156" i="1" s="1"/>
  <c r="AP157" i="1"/>
  <c r="AP156" i="1" s="1"/>
  <c r="AQ157" i="1"/>
  <c r="AQ156" i="1" s="1"/>
  <c r="AR157" i="1"/>
  <c r="AR156" i="1" s="1"/>
  <c r="AS157" i="1"/>
  <c r="AS156" i="1" s="1"/>
  <c r="AT157" i="1"/>
  <c r="AT156" i="1" s="1"/>
  <c r="AU157" i="1"/>
  <c r="AU156" i="1" s="1"/>
  <c r="AV157" i="1"/>
  <c r="AV156" i="1" s="1"/>
  <c r="AW157" i="1"/>
  <c r="AW156" i="1" s="1"/>
  <c r="AX157" i="1"/>
  <c r="AX156" i="1" s="1"/>
  <c r="AY157" i="1"/>
  <c r="AY156" i="1" s="1"/>
  <c r="AZ157" i="1"/>
  <c r="AZ156" i="1" s="1"/>
  <c r="BA157" i="1"/>
  <c r="BA156" i="1" s="1"/>
  <c r="BB157" i="1"/>
  <c r="BB156" i="1" s="1"/>
  <c r="BC157" i="1"/>
  <c r="BC156" i="1" s="1"/>
  <c r="BD157" i="1"/>
  <c r="BD156" i="1" s="1"/>
  <c r="BE157" i="1"/>
  <c r="BE156" i="1" s="1"/>
  <c r="BF157" i="1"/>
  <c r="BG157" i="1"/>
  <c r="BH157" i="1"/>
  <c r="BH156" i="1" s="1"/>
  <c r="BI157" i="1"/>
  <c r="BI156" i="1" s="1"/>
  <c r="BJ157" i="1"/>
  <c r="BK157" i="1"/>
  <c r="BK156" i="1" s="1"/>
  <c r="BL157" i="1"/>
  <c r="BL156" i="1" s="1"/>
  <c r="BM157" i="1"/>
  <c r="BM156" i="1" s="1"/>
  <c r="BN157" i="1"/>
  <c r="BN156" i="1" s="1"/>
  <c r="BO157" i="1"/>
  <c r="BO156" i="1" s="1"/>
  <c r="BP157" i="1"/>
  <c r="BP156" i="1" s="1"/>
  <c r="BQ157" i="1"/>
  <c r="BQ156" i="1" s="1"/>
  <c r="BR157" i="1"/>
  <c r="BR156" i="1" s="1"/>
  <c r="BS157" i="1"/>
  <c r="BS156" i="1" s="1"/>
  <c r="BT157" i="1"/>
  <c r="BT156" i="1" s="1"/>
  <c r="BU157" i="1"/>
  <c r="BU156" i="1" s="1"/>
  <c r="BV157" i="1"/>
  <c r="BV156" i="1" s="1"/>
  <c r="BW157" i="1"/>
  <c r="BW156" i="1" s="1"/>
  <c r="BX157" i="1"/>
  <c r="BX156" i="1" s="1"/>
  <c r="BY157" i="1"/>
  <c r="BY156" i="1" s="1"/>
  <c r="BZ157" i="1"/>
  <c r="BZ156" i="1" s="1"/>
  <c r="CA157" i="1"/>
  <c r="CA156" i="1" s="1"/>
  <c r="CB157" i="1"/>
  <c r="CB156" i="1" s="1"/>
  <c r="CC157" i="1"/>
  <c r="CC156" i="1" s="1"/>
  <c r="CD157" i="1"/>
  <c r="CD156" i="1" s="1"/>
  <c r="G157" i="1"/>
  <c r="G156" i="1" s="1"/>
  <c r="AE158" i="1"/>
  <c r="H178" i="1"/>
  <c r="I178" i="1"/>
  <c r="J178" i="1"/>
  <c r="K178" i="1"/>
  <c r="L178" i="1"/>
  <c r="M178" i="1"/>
  <c r="N178" i="1"/>
  <c r="O178" i="1"/>
  <c r="P178" i="1"/>
  <c r="Q178" i="1"/>
  <c r="R178" i="1"/>
  <c r="S178" i="1"/>
  <c r="T178" i="1"/>
  <c r="U178" i="1"/>
  <c r="V178" i="1"/>
  <c r="W178" i="1"/>
  <c r="X178" i="1"/>
  <c r="Y178" i="1"/>
  <c r="Z178" i="1"/>
  <c r="AA178" i="1"/>
  <c r="AB178" i="1"/>
  <c r="AC178" i="1"/>
  <c r="AD178" i="1"/>
  <c r="AE178" i="1"/>
  <c r="G178" i="1"/>
  <c r="H96" i="1"/>
  <c r="I96" i="1"/>
  <c r="J96" i="1"/>
  <c r="K96" i="1"/>
  <c r="L96" i="1"/>
  <c r="M96" i="1"/>
  <c r="N96" i="1"/>
  <c r="O96" i="1"/>
  <c r="P96" i="1"/>
  <c r="Q96" i="1"/>
  <c r="R96" i="1"/>
  <c r="S96" i="1"/>
  <c r="T96" i="1"/>
  <c r="U96" i="1"/>
  <c r="V96" i="1"/>
  <c r="W96" i="1"/>
  <c r="X96" i="1"/>
  <c r="Y96" i="1"/>
  <c r="Z96" i="1"/>
  <c r="AA96" i="1"/>
  <c r="AB96" i="1"/>
  <c r="AC96" i="1"/>
  <c r="AD96" i="1"/>
  <c r="AE96" i="1"/>
  <c r="G96" i="1"/>
  <c r="G48" i="1"/>
  <c r="AF195" i="1"/>
  <c r="AF165" i="1"/>
  <c r="AF158" i="1"/>
  <c r="G8" i="1"/>
  <c r="G9" i="1"/>
  <c r="G10" i="1"/>
  <c r="G11" i="1"/>
  <c r="G12" i="1"/>
  <c r="G13" i="1"/>
  <c r="G14" i="1"/>
  <c r="G15" i="1"/>
  <c r="G16" i="1"/>
  <c r="G17" i="1"/>
  <c r="G18" i="1"/>
  <c r="H7" i="1"/>
  <c r="I7" i="1"/>
  <c r="J7" i="1"/>
  <c r="K7" i="1"/>
  <c r="L7" i="1"/>
  <c r="M7" i="1"/>
  <c r="N7" i="1"/>
  <c r="O7" i="1"/>
  <c r="P7" i="1"/>
  <c r="Q7" i="1"/>
  <c r="R7" i="1"/>
  <c r="S7" i="1"/>
  <c r="T7" i="1"/>
  <c r="U7" i="1"/>
  <c r="V7" i="1"/>
  <c r="W7" i="1"/>
  <c r="X7" i="1"/>
  <c r="Y7" i="1"/>
  <c r="Z7" i="1"/>
  <c r="AA7" i="1"/>
  <c r="AB7" i="1"/>
  <c r="AC7" i="1"/>
  <c r="AD7" i="1"/>
  <c r="AE7" i="1"/>
  <c r="AF7" i="1"/>
  <c r="AG7" i="1"/>
  <c r="AH7" i="1"/>
  <c r="AI7" i="1"/>
  <c r="AJ7" i="1"/>
  <c r="AK7" i="1"/>
  <c r="AL7" i="1"/>
  <c r="AM7" i="1"/>
  <c r="AN7" i="1"/>
  <c r="AO7" i="1"/>
  <c r="AP7" i="1"/>
  <c r="AQ7" i="1"/>
  <c r="AR7" i="1"/>
  <c r="AS7" i="1"/>
  <c r="AT7" i="1"/>
  <c r="AU7" i="1"/>
  <c r="AV7" i="1"/>
  <c r="AW7" i="1"/>
  <c r="AX7" i="1"/>
  <c r="AY7" i="1"/>
  <c r="AZ7" i="1"/>
  <c r="BA7" i="1"/>
  <c r="BB7" i="1"/>
  <c r="BC7" i="1"/>
  <c r="BD7" i="1"/>
  <c r="BE7" i="1"/>
  <c r="BF7" i="1"/>
  <c r="BG7" i="1"/>
  <c r="BH7" i="1"/>
  <c r="BI7" i="1"/>
  <c r="BJ7" i="1"/>
  <c r="BK7" i="1"/>
  <c r="BL7" i="1"/>
  <c r="BM7" i="1"/>
  <c r="BN7" i="1"/>
  <c r="BO7" i="1"/>
  <c r="BP7" i="1"/>
  <c r="BQ7" i="1"/>
  <c r="BR7" i="1"/>
  <c r="BS7" i="1"/>
  <c r="BT7" i="1"/>
  <c r="BU7" i="1"/>
  <c r="BV7" i="1"/>
  <c r="BW7" i="1"/>
  <c r="BX7" i="1"/>
  <c r="BY7" i="1"/>
  <c r="BZ7" i="1"/>
  <c r="CA7" i="1"/>
  <c r="CB7" i="1"/>
  <c r="CC7" i="1"/>
  <c r="CD7" i="1"/>
  <c r="H8" i="1"/>
  <c r="I8" i="1"/>
  <c r="J8" i="1"/>
  <c r="K8" i="1"/>
  <c r="L8" i="1"/>
  <c r="M8" i="1"/>
  <c r="N8" i="1"/>
  <c r="O8" i="1"/>
  <c r="P8" i="1"/>
  <c r="Q8" i="1"/>
  <c r="R8" i="1"/>
  <c r="S8" i="1"/>
  <c r="T8" i="1"/>
  <c r="U8" i="1"/>
  <c r="V8" i="1"/>
  <c r="W8" i="1"/>
  <c r="X8" i="1"/>
  <c r="Y8" i="1"/>
  <c r="Z8" i="1"/>
  <c r="AA8" i="1"/>
  <c r="AB8" i="1"/>
  <c r="AC8" i="1"/>
  <c r="AD8" i="1"/>
  <c r="AE8" i="1"/>
  <c r="AF8" i="1"/>
  <c r="AG8" i="1"/>
  <c r="AH8" i="1"/>
  <c r="AI8" i="1"/>
  <c r="AJ8" i="1"/>
  <c r="AK8" i="1"/>
  <c r="AL8" i="1"/>
  <c r="AM8" i="1"/>
  <c r="AN8" i="1"/>
  <c r="AO8" i="1"/>
  <c r="AP8" i="1"/>
  <c r="AQ8" i="1"/>
  <c r="AR8" i="1"/>
  <c r="AS8" i="1"/>
  <c r="AT8" i="1"/>
  <c r="AU8" i="1"/>
  <c r="AV8" i="1"/>
  <c r="AW8" i="1"/>
  <c r="AX8" i="1"/>
  <c r="AY8" i="1"/>
  <c r="AZ8" i="1"/>
  <c r="BA8" i="1"/>
  <c r="BB8" i="1"/>
  <c r="BC8" i="1"/>
  <c r="BD8" i="1"/>
  <c r="BE8" i="1"/>
  <c r="BF8" i="1"/>
  <c r="BG8" i="1"/>
  <c r="BH8" i="1"/>
  <c r="BI8" i="1"/>
  <c r="BJ8" i="1"/>
  <c r="BK8" i="1"/>
  <c r="BL8" i="1"/>
  <c r="BM8" i="1"/>
  <c r="BN8" i="1"/>
  <c r="BO8" i="1"/>
  <c r="BP8" i="1"/>
  <c r="BQ8" i="1"/>
  <c r="BR8" i="1"/>
  <c r="BS8" i="1"/>
  <c r="BT8" i="1"/>
  <c r="BU8" i="1"/>
  <c r="BV8" i="1"/>
  <c r="BW8" i="1"/>
  <c r="BX8" i="1"/>
  <c r="BY8" i="1"/>
  <c r="BZ8" i="1"/>
  <c r="CA8" i="1"/>
  <c r="CB8" i="1"/>
  <c r="CC8" i="1"/>
  <c r="CD8" i="1"/>
  <c r="H9" i="1"/>
  <c r="I9" i="1"/>
  <c r="J9" i="1"/>
  <c r="K9" i="1"/>
  <c r="L9" i="1"/>
  <c r="M9" i="1"/>
  <c r="N9" i="1"/>
  <c r="O9" i="1"/>
  <c r="P9" i="1"/>
  <c r="Q9" i="1"/>
  <c r="R9" i="1"/>
  <c r="S9" i="1"/>
  <c r="T9" i="1"/>
  <c r="U9" i="1"/>
  <c r="V9" i="1"/>
  <c r="W9" i="1"/>
  <c r="X9" i="1"/>
  <c r="Y9" i="1"/>
  <c r="Z9" i="1"/>
  <c r="AA9" i="1"/>
  <c r="AB9" i="1"/>
  <c r="AC9" i="1"/>
  <c r="AD9" i="1"/>
  <c r="AE9" i="1"/>
  <c r="AF9" i="1"/>
  <c r="AG9" i="1"/>
  <c r="AH9" i="1"/>
  <c r="AI9" i="1"/>
  <c r="AJ9" i="1"/>
  <c r="AK9" i="1"/>
  <c r="AL9" i="1"/>
  <c r="AM9" i="1"/>
  <c r="AN9" i="1"/>
  <c r="AO9" i="1"/>
  <c r="AP9" i="1"/>
  <c r="AQ9" i="1"/>
  <c r="AR9" i="1"/>
  <c r="AS9" i="1"/>
  <c r="AT9" i="1"/>
  <c r="AU9" i="1"/>
  <c r="AV9" i="1"/>
  <c r="AW9" i="1"/>
  <c r="AX9" i="1"/>
  <c r="AY9" i="1"/>
  <c r="AZ9" i="1"/>
  <c r="BA9" i="1"/>
  <c r="BB9" i="1"/>
  <c r="BC9" i="1"/>
  <c r="BD9" i="1"/>
  <c r="BE9" i="1"/>
  <c r="BF9" i="1"/>
  <c r="BG9" i="1"/>
  <c r="BH9" i="1"/>
  <c r="BI9" i="1"/>
  <c r="BJ9" i="1"/>
  <c r="BK9" i="1"/>
  <c r="BL9" i="1"/>
  <c r="BM9" i="1"/>
  <c r="BN9" i="1"/>
  <c r="BO9" i="1"/>
  <c r="BP9" i="1"/>
  <c r="BQ9" i="1"/>
  <c r="BR9" i="1"/>
  <c r="BS9" i="1"/>
  <c r="BT9" i="1"/>
  <c r="BU9" i="1"/>
  <c r="BV9" i="1"/>
  <c r="BW9" i="1"/>
  <c r="BX9" i="1"/>
  <c r="BY9" i="1"/>
  <c r="BZ9" i="1"/>
  <c r="CA9" i="1"/>
  <c r="CB9" i="1"/>
  <c r="CC9" i="1"/>
  <c r="CD9" i="1"/>
  <c r="H10" i="1"/>
  <c r="I10" i="1"/>
  <c r="J10" i="1"/>
  <c r="K10" i="1"/>
  <c r="L10" i="1"/>
  <c r="M10" i="1"/>
  <c r="N10" i="1"/>
  <c r="O10" i="1"/>
  <c r="P10" i="1"/>
  <c r="Q10" i="1"/>
  <c r="R10" i="1"/>
  <c r="S10" i="1"/>
  <c r="T10" i="1"/>
  <c r="U10" i="1"/>
  <c r="V10" i="1"/>
  <c r="W10" i="1"/>
  <c r="X10" i="1"/>
  <c r="Y10" i="1"/>
  <c r="Z10" i="1"/>
  <c r="AA10" i="1"/>
  <c r="AB10" i="1"/>
  <c r="AC10" i="1"/>
  <c r="AD10" i="1"/>
  <c r="AE10" i="1"/>
  <c r="AF10" i="1"/>
  <c r="AG10" i="1"/>
  <c r="AH10" i="1"/>
  <c r="AI10" i="1"/>
  <c r="AJ10" i="1"/>
  <c r="AK10" i="1"/>
  <c r="AL10" i="1"/>
  <c r="AM10" i="1"/>
  <c r="AN10"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O11" i="1"/>
  <c r="BP11" i="1"/>
  <c r="BQ11" i="1"/>
  <c r="BR11" i="1"/>
  <c r="BS11" i="1"/>
  <c r="BT11" i="1"/>
  <c r="BU11" i="1"/>
  <c r="BV11" i="1"/>
  <c r="BW11" i="1"/>
  <c r="BX11" i="1"/>
  <c r="BY11" i="1"/>
  <c r="BZ11" i="1"/>
  <c r="CA11" i="1"/>
  <c r="CB11" i="1"/>
  <c r="CC11" i="1"/>
  <c r="CD11" i="1"/>
  <c r="H12" i="1"/>
  <c r="I12" i="1"/>
  <c r="J12"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H13" i="1"/>
  <c r="I13" i="1"/>
  <c r="J13" i="1"/>
  <c r="K13" i="1"/>
  <c r="L13" i="1"/>
  <c r="M13" i="1"/>
  <c r="N13" i="1"/>
  <c r="O13" i="1"/>
  <c r="P13" i="1"/>
  <c r="Q13" i="1"/>
  <c r="R13" i="1"/>
  <c r="S13" i="1"/>
  <c r="T13" i="1"/>
  <c r="U13" i="1"/>
  <c r="V13" i="1"/>
  <c r="W13" i="1"/>
  <c r="X13" i="1"/>
  <c r="Y13" i="1"/>
  <c r="Z13" i="1"/>
  <c r="AA13" i="1"/>
  <c r="AB13" i="1"/>
  <c r="AC13" i="1"/>
  <c r="AD13" i="1"/>
  <c r="AE13" i="1"/>
  <c r="AF13" i="1"/>
  <c r="AG13" i="1"/>
  <c r="AH13" i="1"/>
  <c r="AI13" i="1"/>
  <c r="AJ13" i="1"/>
  <c r="AK13" i="1"/>
  <c r="AL13" i="1"/>
  <c r="AM13" i="1"/>
  <c r="AN13" i="1"/>
  <c r="AO13" i="1"/>
  <c r="AP13" i="1"/>
  <c r="AQ13" i="1"/>
  <c r="AR13" i="1"/>
  <c r="AS13" i="1"/>
  <c r="AT13" i="1"/>
  <c r="AU13" i="1"/>
  <c r="AV13" i="1"/>
  <c r="AW13" i="1"/>
  <c r="AX13" i="1"/>
  <c r="AY13" i="1"/>
  <c r="AZ13" i="1"/>
  <c r="BA13" i="1"/>
  <c r="BB13" i="1"/>
  <c r="BC13" i="1"/>
  <c r="BD13" i="1"/>
  <c r="BE13" i="1"/>
  <c r="BF13" i="1"/>
  <c r="BG13" i="1"/>
  <c r="BH13" i="1"/>
  <c r="BI13" i="1"/>
  <c r="BJ13" i="1"/>
  <c r="BK13" i="1"/>
  <c r="BL13" i="1"/>
  <c r="BM13" i="1"/>
  <c r="BN13" i="1"/>
  <c r="BO13" i="1"/>
  <c r="BP13" i="1"/>
  <c r="BQ13" i="1"/>
  <c r="BR13" i="1"/>
  <c r="BS13" i="1"/>
  <c r="BT13" i="1"/>
  <c r="BU13" i="1"/>
  <c r="BV13" i="1"/>
  <c r="BW13" i="1"/>
  <c r="BX13" i="1"/>
  <c r="BY13" i="1"/>
  <c r="BZ13" i="1"/>
  <c r="CA13" i="1"/>
  <c r="CB13" i="1"/>
  <c r="CC13" i="1"/>
  <c r="CD13" i="1"/>
  <c r="H14" i="1"/>
  <c r="I14" i="1"/>
  <c r="J14" i="1"/>
  <c r="K14" i="1"/>
  <c r="L14" i="1"/>
  <c r="M14" i="1"/>
  <c r="N14" i="1"/>
  <c r="O14" i="1"/>
  <c r="P14" i="1"/>
  <c r="Q14" i="1"/>
  <c r="R14" i="1"/>
  <c r="S14" i="1"/>
  <c r="T14" i="1"/>
  <c r="U14" i="1"/>
  <c r="V14" i="1"/>
  <c r="W14" i="1"/>
  <c r="X14" i="1"/>
  <c r="Y14" i="1"/>
  <c r="Z14" i="1"/>
  <c r="AA14" i="1"/>
  <c r="AB14" i="1"/>
  <c r="AC14" i="1"/>
  <c r="AD14" i="1"/>
  <c r="AE14" i="1"/>
  <c r="AF14" i="1"/>
  <c r="AG14" i="1"/>
  <c r="AH14" i="1"/>
  <c r="AI14" i="1"/>
  <c r="AJ14" i="1"/>
  <c r="AK14" i="1"/>
  <c r="AL14" i="1"/>
  <c r="AM14" i="1"/>
  <c r="AN14" i="1"/>
  <c r="AO14" i="1"/>
  <c r="AP14" i="1"/>
  <c r="AQ14" i="1"/>
  <c r="AR14" i="1"/>
  <c r="AS14" i="1"/>
  <c r="AT14" i="1"/>
  <c r="AU14" i="1"/>
  <c r="AV14" i="1"/>
  <c r="AW14" i="1"/>
  <c r="AX14" i="1"/>
  <c r="AY14" i="1"/>
  <c r="AZ14" i="1"/>
  <c r="BA14" i="1"/>
  <c r="BB14" i="1"/>
  <c r="BC14" i="1"/>
  <c r="BD14" i="1"/>
  <c r="BE14" i="1"/>
  <c r="BF14" i="1"/>
  <c r="BG14" i="1"/>
  <c r="BH14" i="1"/>
  <c r="BI14" i="1"/>
  <c r="BJ14" i="1"/>
  <c r="BK14" i="1"/>
  <c r="BL14" i="1"/>
  <c r="BM14" i="1"/>
  <c r="BN14" i="1"/>
  <c r="BO14" i="1"/>
  <c r="BP14" i="1"/>
  <c r="BQ14" i="1"/>
  <c r="BR14" i="1"/>
  <c r="BS14" i="1"/>
  <c r="BT14" i="1"/>
  <c r="BU14" i="1"/>
  <c r="BV14" i="1"/>
  <c r="BW14" i="1"/>
  <c r="BX14" i="1"/>
  <c r="BY14" i="1"/>
  <c r="BZ14" i="1"/>
  <c r="CA14" i="1"/>
  <c r="CB14" i="1"/>
  <c r="CC14" i="1"/>
  <c r="CD14" i="1"/>
  <c r="H15" i="1"/>
  <c r="I15" i="1"/>
  <c r="J15" i="1"/>
  <c r="K15" i="1"/>
  <c r="L15" i="1"/>
  <c r="M15" i="1"/>
  <c r="N15" i="1"/>
  <c r="O15" i="1"/>
  <c r="P15" i="1"/>
  <c r="Q15" i="1"/>
  <c r="R15" i="1"/>
  <c r="S15" i="1"/>
  <c r="T15" i="1"/>
  <c r="U15" i="1"/>
  <c r="V15" i="1"/>
  <c r="W15" i="1"/>
  <c r="X15" i="1"/>
  <c r="Y15" i="1"/>
  <c r="Z15" i="1"/>
  <c r="AA15" i="1"/>
  <c r="AB15" i="1"/>
  <c r="AC15" i="1"/>
  <c r="AD15" i="1"/>
  <c r="AE15" i="1"/>
  <c r="AF15" i="1"/>
  <c r="AG15" i="1"/>
  <c r="AH15" i="1"/>
  <c r="AI15" i="1"/>
  <c r="AJ15" i="1"/>
  <c r="AK15" i="1"/>
  <c r="AL15" i="1"/>
  <c r="AM15" i="1"/>
  <c r="AN15" i="1"/>
  <c r="AO15" i="1"/>
  <c r="AP15" i="1"/>
  <c r="AQ15" i="1"/>
  <c r="AR15" i="1"/>
  <c r="AS15" i="1"/>
  <c r="AT15" i="1"/>
  <c r="AU15" i="1"/>
  <c r="AV15" i="1"/>
  <c r="AW15" i="1"/>
  <c r="AX15" i="1"/>
  <c r="AY15" i="1"/>
  <c r="AZ15" i="1"/>
  <c r="BA15" i="1"/>
  <c r="BB15" i="1"/>
  <c r="BC15" i="1"/>
  <c r="BD15" i="1"/>
  <c r="BE15" i="1"/>
  <c r="BF15" i="1"/>
  <c r="BG15" i="1"/>
  <c r="BH15" i="1"/>
  <c r="BI15" i="1"/>
  <c r="BJ15" i="1"/>
  <c r="BK15" i="1"/>
  <c r="BL15" i="1"/>
  <c r="BM15" i="1"/>
  <c r="BN15" i="1"/>
  <c r="BO15" i="1"/>
  <c r="BP15" i="1"/>
  <c r="BQ15" i="1"/>
  <c r="BR15" i="1"/>
  <c r="BS15" i="1"/>
  <c r="BT15" i="1"/>
  <c r="BU15" i="1"/>
  <c r="BV15" i="1"/>
  <c r="BW15" i="1"/>
  <c r="BX15" i="1"/>
  <c r="BY15" i="1"/>
  <c r="BZ15" i="1"/>
  <c r="CA15" i="1"/>
  <c r="CB15" i="1"/>
  <c r="CC15" i="1"/>
  <c r="CD15" i="1"/>
  <c r="H16" i="1"/>
  <c r="I16" i="1"/>
  <c r="J16" i="1"/>
  <c r="K16" i="1"/>
  <c r="L16" i="1"/>
  <c r="M16" i="1"/>
  <c r="N16" i="1"/>
  <c r="O16" i="1"/>
  <c r="P16" i="1"/>
  <c r="Q16" i="1"/>
  <c r="R16" i="1"/>
  <c r="S16" i="1"/>
  <c r="T16" i="1"/>
  <c r="U16" i="1"/>
  <c r="V16" i="1"/>
  <c r="W16" i="1"/>
  <c r="X16" i="1"/>
  <c r="Y16" i="1"/>
  <c r="Z16" i="1"/>
  <c r="AA16" i="1"/>
  <c r="AB16" i="1"/>
  <c r="AC16" i="1"/>
  <c r="AD16" i="1"/>
  <c r="AE16" i="1"/>
  <c r="AF16" i="1"/>
  <c r="AG16" i="1"/>
  <c r="AH16" i="1"/>
  <c r="AI16" i="1"/>
  <c r="AJ16" i="1"/>
  <c r="AK16" i="1"/>
  <c r="AL16" i="1"/>
  <c r="AM16" i="1"/>
  <c r="AN16" i="1"/>
  <c r="AO16" i="1"/>
  <c r="AP16" i="1"/>
  <c r="AQ16" i="1"/>
  <c r="AR16" i="1"/>
  <c r="AS16" i="1"/>
  <c r="AT16" i="1"/>
  <c r="AU16" i="1"/>
  <c r="AV16" i="1"/>
  <c r="AW16" i="1"/>
  <c r="AX16" i="1"/>
  <c r="AY16" i="1"/>
  <c r="AZ16" i="1"/>
  <c r="BA16" i="1"/>
  <c r="BB16" i="1"/>
  <c r="BC16" i="1"/>
  <c r="BD16" i="1"/>
  <c r="BE16" i="1"/>
  <c r="BF16" i="1"/>
  <c r="BG16" i="1"/>
  <c r="BH16" i="1"/>
  <c r="BI16" i="1"/>
  <c r="BJ16" i="1"/>
  <c r="BK16" i="1"/>
  <c r="BL16" i="1"/>
  <c r="BM16" i="1"/>
  <c r="BN16" i="1"/>
  <c r="BO16" i="1"/>
  <c r="BP16" i="1"/>
  <c r="BQ16" i="1"/>
  <c r="BR16" i="1"/>
  <c r="BS16" i="1"/>
  <c r="BT16" i="1"/>
  <c r="BU16" i="1"/>
  <c r="BV16" i="1"/>
  <c r="BW16" i="1"/>
  <c r="BX16" i="1"/>
  <c r="BY16" i="1"/>
  <c r="BZ16" i="1"/>
  <c r="CA16" i="1"/>
  <c r="CB16" i="1"/>
  <c r="CC16" i="1"/>
  <c r="CD16" i="1"/>
  <c r="H17" i="1"/>
  <c r="I17" i="1"/>
  <c r="J17" i="1"/>
  <c r="K17" i="1"/>
  <c r="L17" i="1"/>
  <c r="M17" i="1"/>
  <c r="N17" i="1"/>
  <c r="O17" i="1"/>
  <c r="P17" i="1"/>
  <c r="Q17" i="1"/>
  <c r="R17" i="1"/>
  <c r="S17" i="1"/>
  <c r="T17" i="1"/>
  <c r="U17" i="1"/>
  <c r="V17" i="1"/>
  <c r="W17" i="1"/>
  <c r="X17" i="1"/>
  <c r="Y17" i="1"/>
  <c r="Z17" i="1"/>
  <c r="AA17" i="1"/>
  <c r="AB17" i="1"/>
  <c r="AC17" i="1"/>
  <c r="AD17" i="1"/>
  <c r="AE17" i="1"/>
  <c r="AF17" i="1"/>
  <c r="AG17" i="1"/>
  <c r="AH17" i="1"/>
  <c r="AI17" i="1"/>
  <c r="AJ17" i="1"/>
  <c r="AK17" i="1"/>
  <c r="AL17" i="1"/>
  <c r="AM17" i="1"/>
  <c r="AN17" i="1"/>
  <c r="AO17" i="1"/>
  <c r="AP17" i="1"/>
  <c r="AQ17" i="1"/>
  <c r="AR17" i="1"/>
  <c r="AS17" i="1"/>
  <c r="AT17" i="1"/>
  <c r="AU17" i="1"/>
  <c r="AV17" i="1"/>
  <c r="AW17" i="1"/>
  <c r="AX17" i="1"/>
  <c r="AY17" i="1"/>
  <c r="AZ17" i="1"/>
  <c r="BA17" i="1"/>
  <c r="BB17" i="1"/>
  <c r="BC17" i="1"/>
  <c r="BD17" i="1"/>
  <c r="BE17" i="1"/>
  <c r="BF17" i="1"/>
  <c r="BG17" i="1"/>
  <c r="BH17" i="1"/>
  <c r="BI17" i="1"/>
  <c r="BJ17" i="1"/>
  <c r="BK17" i="1"/>
  <c r="BL17" i="1"/>
  <c r="BM17" i="1"/>
  <c r="BN17" i="1"/>
  <c r="BO17" i="1"/>
  <c r="BP17" i="1"/>
  <c r="BQ17" i="1"/>
  <c r="BR17" i="1"/>
  <c r="BS17" i="1"/>
  <c r="BT17" i="1"/>
  <c r="BU17" i="1"/>
  <c r="BV17" i="1"/>
  <c r="BW17" i="1"/>
  <c r="BX17" i="1"/>
  <c r="BY17" i="1"/>
  <c r="BZ17" i="1"/>
  <c r="CA17" i="1"/>
  <c r="CB17" i="1"/>
  <c r="CC17" i="1"/>
  <c r="CD17" i="1"/>
  <c r="H18" i="1"/>
  <c r="I18" i="1"/>
  <c r="J18" i="1"/>
  <c r="K18" i="1"/>
  <c r="L18" i="1"/>
  <c r="M18" i="1"/>
  <c r="N18" i="1"/>
  <c r="O18" i="1"/>
  <c r="P18" i="1"/>
  <c r="Q18" i="1"/>
  <c r="R18" i="1"/>
  <c r="S18" i="1"/>
  <c r="T18" i="1"/>
  <c r="U18" i="1"/>
  <c r="V18" i="1"/>
  <c r="W18" i="1"/>
  <c r="X18" i="1"/>
  <c r="Y18" i="1"/>
  <c r="Z18" i="1"/>
  <c r="AA18" i="1"/>
  <c r="AB18" i="1"/>
  <c r="AC18" i="1"/>
  <c r="AD18" i="1"/>
  <c r="AE18" i="1"/>
  <c r="AF18" i="1"/>
  <c r="AG18" i="1"/>
  <c r="AH18" i="1"/>
  <c r="AI18" i="1"/>
  <c r="AJ18" i="1"/>
  <c r="AK18" i="1"/>
  <c r="AL18" i="1"/>
  <c r="AM18" i="1"/>
  <c r="AN18" i="1"/>
  <c r="AO18" i="1"/>
  <c r="AP18" i="1"/>
  <c r="AQ18" i="1"/>
  <c r="AR18" i="1"/>
  <c r="AS18" i="1"/>
  <c r="AT18" i="1"/>
  <c r="AU18" i="1"/>
  <c r="AV18" i="1"/>
  <c r="AW18" i="1"/>
  <c r="AX18" i="1"/>
  <c r="AY18" i="1"/>
  <c r="AZ18" i="1"/>
  <c r="BA18" i="1"/>
  <c r="BB18" i="1"/>
  <c r="BC18" i="1"/>
  <c r="BD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G7" i="1"/>
  <c r="G20" i="1"/>
  <c r="H20" i="1"/>
  <c r="I20" i="1"/>
  <c r="J20" i="1"/>
  <c r="K20" i="1"/>
  <c r="L20" i="1"/>
  <c r="M20" i="1"/>
  <c r="N20" i="1"/>
  <c r="O20" i="1"/>
  <c r="P20" i="1"/>
  <c r="Q20" i="1"/>
  <c r="R20" i="1"/>
  <c r="S20" i="1"/>
  <c r="T20" i="1"/>
  <c r="U20" i="1"/>
  <c r="V20" i="1"/>
  <c r="W20" i="1"/>
  <c r="X20" i="1"/>
  <c r="Y20" i="1"/>
  <c r="Z20" i="1"/>
  <c r="AA20" i="1"/>
  <c r="AB20" i="1"/>
  <c r="AC20" i="1"/>
  <c r="AD20" i="1"/>
  <c r="AE20" i="1"/>
  <c r="AF20" i="1"/>
  <c r="AG20" i="1"/>
  <c r="AH20" i="1"/>
  <c r="AI20" i="1"/>
  <c r="AJ20" i="1"/>
  <c r="AK20" i="1"/>
  <c r="AL20" i="1"/>
  <c r="AM20" i="1"/>
  <c r="AN20" i="1"/>
  <c r="AO20" i="1"/>
  <c r="AP20" i="1"/>
  <c r="AQ20" i="1"/>
  <c r="AR20" i="1"/>
  <c r="AS20" i="1"/>
  <c r="AT20" i="1"/>
  <c r="AU20" i="1"/>
  <c r="AV20" i="1"/>
  <c r="AW20" i="1"/>
  <c r="AX20" i="1"/>
  <c r="AY20" i="1"/>
  <c r="AZ20" i="1"/>
  <c r="BA20" i="1"/>
  <c r="BB20" i="1"/>
  <c r="BC20" i="1"/>
  <c r="BD20" i="1"/>
  <c r="BE20" i="1"/>
  <c r="BF20" i="1"/>
  <c r="BG20" i="1"/>
  <c r="BH20" i="1"/>
  <c r="BI20" i="1"/>
  <c r="BJ20" i="1"/>
  <c r="BK20" i="1"/>
  <c r="BL20" i="1"/>
  <c r="BM20" i="1"/>
  <c r="BN20" i="1"/>
  <c r="BO20" i="1"/>
  <c r="BP20" i="1"/>
  <c r="BQ20" i="1"/>
  <c r="BR20" i="1"/>
  <c r="BS20" i="1"/>
  <c r="BT20" i="1"/>
  <c r="BU20" i="1"/>
  <c r="BV20" i="1"/>
  <c r="BW20" i="1"/>
  <c r="BX20" i="1"/>
  <c r="BY20" i="1"/>
  <c r="BZ20" i="1"/>
  <c r="CA20" i="1"/>
  <c r="CB20" i="1"/>
  <c r="CC20" i="1"/>
  <c r="CD20" i="1"/>
  <c r="H21" i="1"/>
  <c r="I21" i="1"/>
  <c r="J21" i="1"/>
  <c r="K21" i="1"/>
  <c r="L21" i="1"/>
  <c r="M21" i="1"/>
  <c r="N21" i="1"/>
  <c r="O21" i="1"/>
  <c r="P21" i="1"/>
  <c r="Q21" i="1"/>
  <c r="R21" i="1"/>
  <c r="S21" i="1"/>
  <c r="T21" i="1"/>
  <c r="U21" i="1"/>
  <c r="V21" i="1"/>
  <c r="W21" i="1"/>
  <c r="X21" i="1"/>
  <c r="Y21" i="1"/>
  <c r="Z21" i="1"/>
  <c r="AA21" i="1"/>
  <c r="AB21" i="1"/>
  <c r="AC21" i="1"/>
  <c r="AD21" i="1"/>
  <c r="AE21" i="1"/>
  <c r="AF21" i="1"/>
  <c r="AG21" i="1"/>
  <c r="AH21" i="1"/>
  <c r="AI21" i="1"/>
  <c r="AJ21" i="1"/>
  <c r="AK21" i="1"/>
  <c r="AL21" i="1"/>
  <c r="AM21" i="1"/>
  <c r="AN21" i="1"/>
  <c r="AO21" i="1"/>
  <c r="AP21" i="1"/>
  <c r="AQ21" i="1"/>
  <c r="AR21" i="1"/>
  <c r="AS21" i="1"/>
  <c r="AT21" i="1"/>
  <c r="AU21" i="1"/>
  <c r="AV21" i="1"/>
  <c r="AW21" i="1"/>
  <c r="AX21" i="1"/>
  <c r="AY21" i="1"/>
  <c r="AZ21" i="1"/>
  <c r="BA21" i="1"/>
  <c r="BB21" i="1"/>
  <c r="BC21" i="1"/>
  <c r="BD21" i="1"/>
  <c r="BE21" i="1"/>
  <c r="BF21" i="1"/>
  <c r="BG21" i="1"/>
  <c r="BH21" i="1"/>
  <c r="BI21" i="1"/>
  <c r="BJ21" i="1"/>
  <c r="BK21" i="1"/>
  <c r="BL21" i="1"/>
  <c r="BM21" i="1"/>
  <c r="BN21" i="1"/>
  <c r="BO21" i="1"/>
  <c r="BP21" i="1"/>
  <c r="BQ21" i="1"/>
  <c r="BR21" i="1"/>
  <c r="BS21" i="1"/>
  <c r="BT21" i="1"/>
  <c r="BU21" i="1"/>
  <c r="BV21" i="1"/>
  <c r="BW21" i="1"/>
  <c r="BX21" i="1"/>
  <c r="BY21" i="1"/>
  <c r="BZ21" i="1"/>
  <c r="CA21" i="1"/>
  <c r="CB21" i="1"/>
  <c r="CC21" i="1"/>
  <c r="CD21" i="1"/>
  <c r="H22" i="1"/>
  <c r="I22" i="1"/>
  <c r="J22" i="1"/>
  <c r="K22" i="1"/>
  <c r="L22" i="1"/>
  <c r="M22" i="1"/>
  <c r="N22" i="1"/>
  <c r="O22" i="1"/>
  <c r="P22" i="1"/>
  <c r="Q22" i="1"/>
  <c r="R22" i="1"/>
  <c r="S22" i="1"/>
  <c r="T22" i="1"/>
  <c r="U22" i="1"/>
  <c r="V22" i="1"/>
  <c r="W22" i="1"/>
  <c r="X22" i="1"/>
  <c r="Y22" i="1"/>
  <c r="Z22" i="1"/>
  <c r="AA22" i="1"/>
  <c r="AB22" i="1"/>
  <c r="AC22" i="1"/>
  <c r="AD22" i="1"/>
  <c r="AE22" i="1"/>
  <c r="AF22" i="1"/>
  <c r="AG22" i="1"/>
  <c r="AH22" i="1"/>
  <c r="AI22" i="1"/>
  <c r="AJ22" i="1"/>
  <c r="AK22" i="1"/>
  <c r="AL22" i="1"/>
  <c r="AM22" i="1"/>
  <c r="AN22" i="1"/>
  <c r="AO22" i="1"/>
  <c r="AP22" i="1"/>
  <c r="AQ22" i="1"/>
  <c r="AR22" i="1"/>
  <c r="AS22" i="1"/>
  <c r="AT22" i="1"/>
  <c r="AU22" i="1"/>
  <c r="AV22" i="1"/>
  <c r="AW22" i="1"/>
  <c r="AX22" i="1"/>
  <c r="AY22" i="1"/>
  <c r="AZ22" i="1"/>
  <c r="BA22" i="1"/>
  <c r="BB22" i="1"/>
  <c r="BC22" i="1"/>
  <c r="BD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H23" i="1"/>
  <c r="I23" i="1"/>
  <c r="J23" i="1"/>
  <c r="K23" i="1"/>
  <c r="L23" i="1"/>
  <c r="M23" i="1"/>
  <c r="N23" i="1"/>
  <c r="O23" i="1"/>
  <c r="P23" i="1"/>
  <c r="Q23" i="1"/>
  <c r="R23" i="1"/>
  <c r="S23" i="1"/>
  <c r="T23" i="1"/>
  <c r="U23" i="1"/>
  <c r="V23" i="1"/>
  <c r="W23" i="1"/>
  <c r="X23" i="1"/>
  <c r="Y23" i="1"/>
  <c r="Z23" i="1"/>
  <c r="AA23" i="1"/>
  <c r="AB23" i="1"/>
  <c r="AC23" i="1"/>
  <c r="AD23" i="1"/>
  <c r="AE23" i="1"/>
  <c r="AF23" i="1"/>
  <c r="AG23" i="1"/>
  <c r="AH23" i="1"/>
  <c r="AI23" i="1"/>
  <c r="AJ23" i="1"/>
  <c r="AK23" i="1"/>
  <c r="AL23" i="1"/>
  <c r="AM23" i="1"/>
  <c r="AN23" i="1"/>
  <c r="AO23" i="1"/>
  <c r="AP23" i="1"/>
  <c r="AQ23" i="1"/>
  <c r="AR23" i="1"/>
  <c r="AS23" i="1"/>
  <c r="AT23" i="1"/>
  <c r="AU23" i="1"/>
  <c r="AV23" i="1"/>
  <c r="AW23" i="1"/>
  <c r="AX23" i="1"/>
  <c r="AY23" i="1"/>
  <c r="AZ23" i="1"/>
  <c r="BA23" i="1"/>
  <c r="BB23" i="1"/>
  <c r="BC23" i="1"/>
  <c r="BD23" i="1"/>
  <c r="BE23" i="1"/>
  <c r="BF23" i="1"/>
  <c r="BG23" i="1"/>
  <c r="BH23" i="1"/>
  <c r="BI23" i="1"/>
  <c r="BJ23" i="1"/>
  <c r="BK23" i="1"/>
  <c r="BL23" i="1"/>
  <c r="BM23" i="1"/>
  <c r="BN23" i="1"/>
  <c r="BO23" i="1"/>
  <c r="BP23" i="1"/>
  <c r="BQ23" i="1"/>
  <c r="BR23" i="1"/>
  <c r="BS23" i="1"/>
  <c r="BT23" i="1"/>
  <c r="BU23" i="1"/>
  <c r="BV23" i="1"/>
  <c r="BW23" i="1"/>
  <c r="BX23" i="1"/>
  <c r="BY23" i="1"/>
  <c r="BZ23" i="1"/>
  <c r="CA23" i="1"/>
  <c r="CB23" i="1"/>
  <c r="CC23" i="1"/>
  <c r="CD23" i="1"/>
  <c r="H24" i="1"/>
  <c r="I24" i="1"/>
  <c r="J24" i="1"/>
  <c r="K24" i="1"/>
  <c r="L24" i="1"/>
  <c r="M24" i="1"/>
  <c r="N24" i="1"/>
  <c r="O24" i="1"/>
  <c r="P24" i="1"/>
  <c r="Q24" i="1"/>
  <c r="R24" i="1"/>
  <c r="S24"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BR24" i="1"/>
  <c r="BS24" i="1"/>
  <c r="BT24" i="1"/>
  <c r="BU24" i="1"/>
  <c r="BV24" i="1"/>
  <c r="BW24" i="1"/>
  <c r="BX24" i="1"/>
  <c r="BY24" i="1"/>
  <c r="BZ24" i="1"/>
  <c r="CA24" i="1"/>
  <c r="CB24" i="1"/>
  <c r="CC24" i="1"/>
  <c r="CD24" i="1"/>
  <c r="H25" i="1"/>
  <c r="I25" i="1"/>
  <c r="J25" i="1"/>
  <c r="K25" i="1"/>
  <c r="L25" i="1"/>
  <c r="M25" i="1"/>
  <c r="N25" i="1"/>
  <c r="O25" i="1"/>
  <c r="P25" i="1"/>
  <c r="Q25" i="1"/>
  <c r="R25" i="1"/>
  <c r="S25"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T25" i="1"/>
  <c r="BU25" i="1"/>
  <c r="BV25" i="1"/>
  <c r="BW25" i="1"/>
  <c r="BX25" i="1"/>
  <c r="BY25" i="1"/>
  <c r="BZ25" i="1"/>
  <c r="CA25" i="1"/>
  <c r="CB25" i="1"/>
  <c r="CC25" i="1"/>
  <c r="CD25" i="1"/>
  <c r="H26" i="1"/>
  <c r="I26" i="1"/>
  <c r="J26" i="1"/>
  <c r="K26" i="1"/>
  <c r="L26" i="1"/>
  <c r="M26" i="1"/>
  <c r="N26" i="1"/>
  <c r="O26" i="1"/>
  <c r="P26" i="1"/>
  <c r="Q26" i="1"/>
  <c r="R26" i="1"/>
  <c r="S26" i="1"/>
  <c r="T26" i="1"/>
  <c r="U26" i="1"/>
  <c r="V26" i="1"/>
  <c r="W26" i="1"/>
  <c r="X26" i="1"/>
  <c r="Y26" i="1"/>
  <c r="Z26" i="1"/>
  <c r="AA26" i="1"/>
  <c r="AB26" i="1"/>
  <c r="AC26" i="1"/>
  <c r="AD26" i="1"/>
  <c r="AE26" i="1"/>
  <c r="AF26" i="1"/>
  <c r="AG26" i="1"/>
  <c r="AH26" i="1"/>
  <c r="AI26" i="1"/>
  <c r="AJ26" i="1"/>
  <c r="AK26" i="1"/>
  <c r="AL26" i="1"/>
  <c r="AM26" i="1"/>
  <c r="AN26" i="1"/>
  <c r="AO26" i="1"/>
  <c r="AP26" i="1"/>
  <c r="AQ26" i="1"/>
  <c r="AR26" i="1"/>
  <c r="AS26" i="1"/>
  <c r="AT26" i="1"/>
  <c r="AU26" i="1"/>
  <c r="AV26" i="1"/>
  <c r="AW26" i="1"/>
  <c r="AX26" i="1"/>
  <c r="AY26" i="1"/>
  <c r="AZ26" i="1"/>
  <c r="BA26" i="1"/>
  <c r="BB26" i="1"/>
  <c r="BC26" i="1"/>
  <c r="BD26" i="1"/>
  <c r="BE26" i="1"/>
  <c r="BF26" i="1"/>
  <c r="BG26" i="1"/>
  <c r="BH26" i="1"/>
  <c r="BI26" i="1"/>
  <c r="BJ26" i="1"/>
  <c r="BK26" i="1"/>
  <c r="BL26" i="1"/>
  <c r="BM26" i="1"/>
  <c r="BN26" i="1"/>
  <c r="BO26" i="1"/>
  <c r="BP26" i="1"/>
  <c r="BQ26" i="1"/>
  <c r="BR26" i="1"/>
  <c r="BS26" i="1"/>
  <c r="BT26" i="1"/>
  <c r="BU26" i="1"/>
  <c r="BV26" i="1"/>
  <c r="BW26" i="1"/>
  <c r="BX26" i="1"/>
  <c r="BY26" i="1"/>
  <c r="BZ26" i="1"/>
  <c r="CA26" i="1"/>
  <c r="CB26" i="1"/>
  <c r="CC26" i="1"/>
  <c r="CD26" i="1"/>
  <c r="H27" i="1"/>
  <c r="I27" i="1"/>
  <c r="J27" i="1"/>
  <c r="K27" i="1"/>
  <c r="L27" i="1"/>
  <c r="M27" i="1"/>
  <c r="N27" i="1"/>
  <c r="O27" i="1"/>
  <c r="P27" i="1"/>
  <c r="Q27" i="1"/>
  <c r="R27" i="1"/>
  <c r="S27" i="1"/>
  <c r="T27" i="1"/>
  <c r="U27" i="1"/>
  <c r="V27" i="1"/>
  <c r="W27" i="1"/>
  <c r="X27" i="1"/>
  <c r="Y27" i="1"/>
  <c r="Z27" i="1"/>
  <c r="AA27" i="1"/>
  <c r="AB27" i="1"/>
  <c r="AC27" i="1"/>
  <c r="AD27" i="1"/>
  <c r="AE27" i="1"/>
  <c r="AF27" i="1"/>
  <c r="AG27" i="1"/>
  <c r="AH27" i="1"/>
  <c r="AI27" i="1"/>
  <c r="AJ27" i="1"/>
  <c r="AK27" i="1"/>
  <c r="AL27" i="1"/>
  <c r="AM27" i="1"/>
  <c r="AN27" i="1"/>
  <c r="AO27" i="1"/>
  <c r="AP27" i="1"/>
  <c r="AQ27" i="1"/>
  <c r="AR27" i="1"/>
  <c r="AS27" i="1"/>
  <c r="AT27" i="1"/>
  <c r="AU27" i="1"/>
  <c r="AV27" i="1"/>
  <c r="AW27" i="1"/>
  <c r="AX27" i="1"/>
  <c r="AY27" i="1"/>
  <c r="AZ27" i="1"/>
  <c r="BA27" i="1"/>
  <c r="BB27" i="1"/>
  <c r="BC27" i="1"/>
  <c r="BD27" i="1"/>
  <c r="BE27" i="1"/>
  <c r="BF27" i="1"/>
  <c r="BG27" i="1"/>
  <c r="BH27" i="1"/>
  <c r="BI27" i="1"/>
  <c r="BJ27" i="1"/>
  <c r="BK27" i="1"/>
  <c r="BL27" i="1"/>
  <c r="BM27" i="1"/>
  <c r="BN27" i="1"/>
  <c r="BO27" i="1"/>
  <c r="BP27" i="1"/>
  <c r="BQ27" i="1"/>
  <c r="BR27" i="1"/>
  <c r="BS27" i="1"/>
  <c r="BT27" i="1"/>
  <c r="BU27" i="1"/>
  <c r="BV27" i="1"/>
  <c r="BW27" i="1"/>
  <c r="BX27" i="1"/>
  <c r="BY27" i="1"/>
  <c r="BZ27" i="1"/>
  <c r="CA27" i="1"/>
  <c r="CB27" i="1"/>
  <c r="CC27" i="1"/>
  <c r="CD27" i="1"/>
  <c r="H28" i="1"/>
  <c r="I28" i="1"/>
  <c r="J28" i="1"/>
  <c r="K28" i="1"/>
  <c r="L28" i="1"/>
  <c r="M28" i="1"/>
  <c r="N28" i="1"/>
  <c r="O28" i="1"/>
  <c r="P28" i="1"/>
  <c r="Q28" i="1"/>
  <c r="R28" i="1"/>
  <c r="S28" i="1"/>
  <c r="T28" i="1"/>
  <c r="U28" i="1"/>
  <c r="V28" i="1"/>
  <c r="W28" i="1"/>
  <c r="X28" i="1"/>
  <c r="Y28" i="1"/>
  <c r="Z28" i="1"/>
  <c r="AA28" i="1"/>
  <c r="AB28" i="1"/>
  <c r="AC28" i="1"/>
  <c r="AD28" i="1"/>
  <c r="AE28" i="1"/>
  <c r="AF28" i="1"/>
  <c r="AG28" i="1"/>
  <c r="AH28" i="1"/>
  <c r="AI28" i="1"/>
  <c r="AJ28" i="1"/>
  <c r="AK28" i="1"/>
  <c r="AL28" i="1"/>
  <c r="AM28" i="1"/>
  <c r="AN28" i="1"/>
  <c r="AO28" i="1"/>
  <c r="AP28" i="1"/>
  <c r="AQ28" i="1"/>
  <c r="AR28" i="1"/>
  <c r="AS28" i="1"/>
  <c r="AT28" i="1"/>
  <c r="AU28" i="1"/>
  <c r="AV28" i="1"/>
  <c r="AW28" i="1"/>
  <c r="AX28" i="1"/>
  <c r="AY28" i="1"/>
  <c r="AZ28" i="1"/>
  <c r="BA28" i="1"/>
  <c r="BB28" i="1"/>
  <c r="BC28" i="1"/>
  <c r="BD28" i="1"/>
  <c r="BE28" i="1"/>
  <c r="BF28" i="1"/>
  <c r="BG28" i="1"/>
  <c r="BH28" i="1"/>
  <c r="BI28" i="1"/>
  <c r="BJ28" i="1"/>
  <c r="BK28" i="1"/>
  <c r="BL28" i="1"/>
  <c r="BM28" i="1"/>
  <c r="BN28" i="1"/>
  <c r="BO28" i="1"/>
  <c r="BP28" i="1"/>
  <c r="BQ28" i="1"/>
  <c r="BR28" i="1"/>
  <c r="BS28" i="1"/>
  <c r="BT28" i="1"/>
  <c r="BU28" i="1"/>
  <c r="BV28" i="1"/>
  <c r="BW28" i="1"/>
  <c r="BX28" i="1"/>
  <c r="BY28" i="1"/>
  <c r="BZ28" i="1"/>
  <c r="CA28" i="1"/>
  <c r="CB28" i="1"/>
  <c r="CC28" i="1"/>
  <c r="CD28" i="1"/>
  <c r="H29" i="1"/>
  <c r="I29" i="1"/>
  <c r="J29" i="1"/>
  <c r="K29" i="1"/>
  <c r="L29" i="1"/>
  <c r="M29" i="1"/>
  <c r="N29" i="1"/>
  <c r="O29" i="1"/>
  <c r="P29" i="1"/>
  <c r="Q29" i="1"/>
  <c r="R29" i="1"/>
  <c r="S29" i="1"/>
  <c r="T29" i="1"/>
  <c r="U29" i="1"/>
  <c r="V29" i="1"/>
  <c r="W29" i="1"/>
  <c r="X29" i="1"/>
  <c r="Y29" i="1"/>
  <c r="Z29" i="1"/>
  <c r="AA29" i="1"/>
  <c r="AB29" i="1"/>
  <c r="AC29" i="1"/>
  <c r="AD29" i="1"/>
  <c r="AE29" i="1"/>
  <c r="AF29" i="1"/>
  <c r="AG29" i="1"/>
  <c r="AH29" i="1"/>
  <c r="AI29" i="1"/>
  <c r="AJ29" i="1"/>
  <c r="AK29" i="1"/>
  <c r="AL29" i="1"/>
  <c r="AM29" i="1"/>
  <c r="AN29" i="1"/>
  <c r="AO29" i="1"/>
  <c r="AP29" i="1"/>
  <c r="AQ29" i="1"/>
  <c r="AR29" i="1"/>
  <c r="AS29" i="1"/>
  <c r="AT29" i="1"/>
  <c r="AU29" i="1"/>
  <c r="AV29" i="1"/>
  <c r="AW29" i="1"/>
  <c r="AX29" i="1"/>
  <c r="AY29" i="1"/>
  <c r="AZ29" i="1"/>
  <c r="BA29" i="1"/>
  <c r="BB29" i="1"/>
  <c r="BC29" i="1"/>
  <c r="BD29" i="1"/>
  <c r="BE29" i="1"/>
  <c r="BF29" i="1"/>
  <c r="BG29" i="1"/>
  <c r="BH29" i="1"/>
  <c r="BI29" i="1"/>
  <c r="BJ29" i="1"/>
  <c r="BK29" i="1"/>
  <c r="BL29" i="1"/>
  <c r="BM29" i="1"/>
  <c r="BN29" i="1"/>
  <c r="BO29" i="1"/>
  <c r="BP29" i="1"/>
  <c r="BQ29" i="1"/>
  <c r="BR29" i="1"/>
  <c r="BS29" i="1"/>
  <c r="BT29" i="1"/>
  <c r="BU29" i="1"/>
  <c r="BV29" i="1"/>
  <c r="BW29" i="1"/>
  <c r="BX29" i="1"/>
  <c r="BY29" i="1"/>
  <c r="BZ29" i="1"/>
  <c r="CA29" i="1"/>
  <c r="CB29" i="1"/>
  <c r="CC29" i="1"/>
  <c r="CD29" i="1"/>
  <c r="H30" i="1"/>
  <c r="I30" i="1"/>
  <c r="J30" i="1"/>
  <c r="K30" i="1"/>
  <c r="L30" i="1"/>
  <c r="M30" i="1"/>
  <c r="N30" i="1"/>
  <c r="O30" i="1"/>
  <c r="P30" i="1"/>
  <c r="Q30" i="1"/>
  <c r="R30" i="1"/>
  <c r="S30" i="1"/>
  <c r="T30" i="1"/>
  <c r="U30" i="1"/>
  <c r="V30" i="1"/>
  <c r="W30" i="1"/>
  <c r="X30" i="1"/>
  <c r="Y30" i="1"/>
  <c r="Z30" i="1"/>
  <c r="AA30" i="1"/>
  <c r="AB30" i="1"/>
  <c r="AC30" i="1"/>
  <c r="AD30" i="1"/>
  <c r="AE30" i="1"/>
  <c r="AF30" i="1"/>
  <c r="AG30" i="1"/>
  <c r="AH30" i="1"/>
  <c r="AI30" i="1"/>
  <c r="AJ30" i="1"/>
  <c r="AK30" i="1"/>
  <c r="AL30" i="1"/>
  <c r="AM30" i="1"/>
  <c r="AN30" i="1"/>
  <c r="AO30" i="1"/>
  <c r="AP30" i="1"/>
  <c r="AQ30" i="1"/>
  <c r="AR30" i="1"/>
  <c r="AS30" i="1"/>
  <c r="AT30" i="1"/>
  <c r="AU30" i="1"/>
  <c r="AV30" i="1"/>
  <c r="AW30" i="1"/>
  <c r="AX30" i="1"/>
  <c r="AY30" i="1"/>
  <c r="AZ30" i="1"/>
  <c r="BA30" i="1"/>
  <c r="BB30" i="1"/>
  <c r="BC30" i="1"/>
  <c r="BD30" i="1"/>
  <c r="BE30" i="1"/>
  <c r="BF30" i="1"/>
  <c r="BG30" i="1"/>
  <c r="BH30" i="1"/>
  <c r="BI30" i="1"/>
  <c r="BJ30" i="1"/>
  <c r="BK30" i="1"/>
  <c r="BL30" i="1"/>
  <c r="BM30" i="1"/>
  <c r="BN30" i="1"/>
  <c r="BO30" i="1"/>
  <c r="BP30" i="1"/>
  <c r="BQ30" i="1"/>
  <c r="BR30" i="1"/>
  <c r="BS30" i="1"/>
  <c r="BT30" i="1"/>
  <c r="BU30" i="1"/>
  <c r="BV30" i="1"/>
  <c r="BW30" i="1"/>
  <c r="BX30" i="1"/>
  <c r="BY30" i="1"/>
  <c r="BZ30" i="1"/>
  <c r="CA30" i="1"/>
  <c r="CB30" i="1"/>
  <c r="CC30" i="1"/>
  <c r="CD30" i="1"/>
  <c r="H31" i="1"/>
  <c r="I31" i="1"/>
  <c r="J31" i="1"/>
  <c r="K31" i="1"/>
  <c r="L31" i="1"/>
  <c r="M31" i="1"/>
  <c r="N31" i="1"/>
  <c r="O31" i="1"/>
  <c r="P31" i="1"/>
  <c r="Q31" i="1"/>
  <c r="R31" i="1"/>
  <c r="S31" i="1"/>
  <c r="T31" i="1"/>
  <c r="U31" i="1"/>
  <c r="V31" i="1"/>
  <c r="W31" i="1"/>
  <c r="X31" i="1"/>
  <c r="Y31" i="1"/>
  <c r="Z31" i="1"/>
  <c r="AA31" i="1"/>
  <c r="AB31" i="1"/>
  <c r="AC31" i="1"/>
  <c r="AD31" i="1"/>
  <c r="AE31" i="1"/>
  <c r="AF31" i="1"/>
  <c r="AG31" i="1"/>
  <c r="AH31" i="1"/>
  <c r="AI31" i="1"/>
  <c r="AJ31" i="1"/>
  <c r="AK31" i="1"/>
  <c r="AL31" i="1"/>
  <c r="AM31" i="1"/>
  <c r="AN31" i="1"/>
  <c r="AO31" i="1"/>
  <c r="AP31" i="1"/>
  <c r="AQ31" i="1"/>
  <c r="AR31" i="1"/>
  <c r="AS31" i="1"/>
  <c r="AT31" i="1"/>
  <c r="AU31" i="1"/>
  <c r="AV31" i="1"/>
  <c r="AW31" i="1"/>
  <c r="AX31" i="1"/>
  <c r="AY31" i="1"/>
  <c r="AZ31" i="1"/>
  <c r="BA31" i="1"/>
  <c r="BB31" i="1"/>
  <c r="BC31" i="1"/>
  <c r="BD31" i="1"/>
  <c r="BE31" i="1"/>
  <c r="BF31" i="1"/>
  <c r="BG31" i="1"/>
  <c r="BH31" i="1"/>
  <c r="BI31" i="1"/>
  <c r="BJ31" i="1"/>
  <c r="BK31" i="1"/>
  <c r="BL31" i="1"/>
  <c r="BM31" i="1"/>
  <c r="BN31" i="1"/>
  <c r="BO31" i="1"/>
  <c r="BP31" i="1"/>
  <c r="BQ31" i="1"/>
  <c r="BR31" i="1"/>
  <c r="BS31" i="1"/>
  <c r="BT31" i="1"/>
  <c r="BU31" i="1"/>
  <c r="BV31" i="1"/>
  <c r="BW31" i="1"/>
  <c r="BX31" i="1"/>
  <c r="BY31" i="1"/>
  <c r="BZ31" i="1"/>
  <c r="CA31" i="1"/>
  <c r="CB31" i="1"/>
  <c r="CC31" i="1"/>
  <c r="CD31" i="1"/>
  <c r="H32" i="1"/>
  <c r="I32" i="1"/>
  <c r="J32" i="1"/>
  <c r="K32" i="1"/>
  <c r="L32" i="1"/>
  <c r="M32" i="1"/>
  <c r="N32" i="1"/>
  <c r="O32" i="1"/>
  <c r="P32" i="1"/>
  <c r="Q32" i="1"/>
  <c r="R32" i="1"/>
  <c r="S32" i="1"/>
  <c r="T32" i="1"/>
  <c r="U32" i="1"/>
  <c r="V32" i="1"/>
  <c r="W32" i="1"/>
  <c r="X32" i="1"/>
  <c r="Y32" i="1"/>
  <c r="Z32" i="1"/>
  <c r="AA32" i="1"/>
  <c r="AB32" i="1"/>
  <c r="AC32" i="1"/>
  <c r="AD32" i="1"/>
  <c r="AE32" i="1"/>
  <c r="AF32" i="1"/>
  <c r="AG32" i="1"/>
  <c r="AH32" i="1"/>
  <c r="AI32" i="1"/>
  <c r="AJ32" i="1"/>
  <c r="AK32" i="1"/>
  <c r="AL32" i="1"/>
  <c r="AM32" i="1"/>
  <c r="AN32" i="1"/>
  <c r="AO32" i="1"/>
  <c r="AP32" i="1"/>
  <c r="AQ32" i="1"/>
  <c r="AR32" i="1"/>
  <c r="AS32" i="1"/>
  <c r="AT32" i="1"/>
  <c r="AU32" i="1"/>
  <c r="AV32" i="1"/>
  <c r="AW32" i="1"/>
  <c r="AX32" i="1"/>
  <c r="AY32" i="1"/>
  <c r="AZ32" i="1"/>
  <c r="BA32" i="1"/>
  <c r="BB32" i="1"/>
  <c r="BC32" i="1"/>
  <c r="BD32" i="1"/>
  <c r="BE32" i="1"/>
  <c r="BF32" i="1"/>
  <c r="BG32" i="1"/>
  <c r="BH32" i="1"/>
  <c r="BI32" i="1"/>
  <c r="BJ32" i="1"/>
  <c r="BK32" i="1"/>
  <c r="BL32" i="1"/>
  <c r="BM32" i="1"/>
  <c r="BN32" i="1"/>
  <c r="BO32" i="1"/>
  <c r="BP32" i="1"/>
  <c r="BQ32" i="1"/>
  <c r="BR32" i="1"/>
  <c r="BS32" i="1"/>
  <c r="BT32" i="1"/>
  <c r="BU32" i="1"/>
  <c r="BV32" i="1"/>
  <c r="BW32" i="1"/>
  <c r="BX32" i="1"/>
  <c r="BY32" i="1"/>
  <c r="BZ32" i="1"/>
  <c r="CA32" i="1"/>
  <c r="CB32" i="1"/>
  <c r="CC32" i="1"/>
  <c r="CD32" i="1"/>
  <c r="H33" i="1"/>
  <c r="I33" i="1"/>
  <c r="J33" i="1"/>
  <c r="K33" i="1"/>
  <c r="L33" i="1"/>
  <c r="M33" i="1"/>
  <c r="N33" i="1"/>
  <c r="O33" i="1"/>
  <c r="P33" i="1"/>
  <c r="Q33" i="1"/>
  <c r="R33" i="1"/>
  <c r="S33" i="1"/>
  <c r="T33" i="1"/>
  <c r="U33" i="1"/>
  <c r="V33" i="1"/>
  <c r="W33" i="1"/>
  <c r="X33" i="1"/>
  <c r="Y33" i="1"/>
  <c r="Z33" i="1"/>
  <c r="AA33" i="1"/>
  <c r="AB33" i="1"/>
  <c r="AC33" i="1"/>
  <c r="AD33" i="1"/>
  <c r="AE33" i="1"/>
  <c r="AF33" i="1"/>
  <c r="AG33" i="1"/>
  <c r="AH33" i="1"/>
  <c r="AI33" i="1"/>
  <c r="AJ33" i="1"/>
  <c r="AK33" i="1"/>
  <c r="AL33" i="1"/>
  <c r="AM33" i="1"/>
  <c r="AN33" i="1"/>
  <c r="AO33" i="1"/>
  <c r="AP33" i="1"/>
  <c r="AQ33" i="1"/>
  <c r="AR33" i="1"/>
  <c r="AS33" i="1"/>
  <c r="AT33" i="1"/>
  <c r="AU33" i="1"/>
  <c r="AV33" i="1"/>
  <c r="AW33" i="1"/>
  <c r="AX33" i="1"/>
  <c r="AY33" i="1"/>
  <c r="AZ33" i="1"/>
  <c r="BA33" i="1"/>
  <c r="BB33" i="1"/>
  <c r="BC33" i="1"/>
  <c r="BD33" i="1"/>
  <c r="BE33" i="1"/>
  <c r="BF33" i="1"/>
  <c r="BG33" i="1"/>
  <c r="BH33" i="1"/>
  <c r="BI33" i="1"/>
  <c r="BJ33" i="1"/>
  <c r="BK33" i="1"/>
  <c r="BL33" i="1"/>
  <c r="BM33" i="1"/>
  <c r="BN33" i="1"/>
  <c r="BO33" i="1"/>
  <c r="BP33" i="1"/>
  <c r="BQ33" i="1"/>
  <c r="BR33" i="1"/>
  <c r="BS33" i="1"/>
  <c r="BT33" i="1"/>
  <c r="BU33" i="1"/>
  <c r="BV33" i="1"/>
  <c r="BW33" i="1"/>
  <c r="BX33" i="1"/>
  <c r="BY33" i="1"/>
  <c r="BZ33" i="1"/>
  <c r="CA33" i="1"/>
  <c r="CB33" i="1"/>
  <c r="CC33" i="1"/>
  <c r="CD33"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BR34" i="1"/>
  <c r="BS34" i="1"/>
  <c r="BT34" i="1"/>
  <c r="BU34" i="1"/>
  <c r="BV34" i="1"/>
  <c r="BW34" i="1"/>
  <c r="BX34" i="1"/>
  <c r="BY34" i="1"/>
  <c r="BZ34" i="1"/>
  <c r="CA34" i="1"/>
  <c r="CB34" i="1"/>
  <c r="CC34" i="1"/>
  <c r="CD34" i="1"/>
  <c r="H35" i="1"/>
  <c r="I35" i="1"/>
  <c r="J35"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BR35" i="1"/>
  <c r="BS35" i="1"/>
  <c r="BT35" i="1"/>
  <c r="BU35" i="1"/>
  <c r="BV35" i="1"/>
  <c r="BW35" i="1"/>
  <c r="BX35" i="1"/>
  <c r="BY35" i="1"/>
  <c r="BZ35" i="1"/>
  <c r="CA35" i="1"/>
  <c r="CB35" i="1"/>
  <c r="CC35" i="1"/>
  <c r="CD35"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BV36" i="1"/>
  <c r="BW36" i="1"/>
  <c r="BX36" i="1"/>
  <c r="BY36" i="1"/>
  <c r="BZ36" i="1"/>
  <c r="CA36" i="1"/>
  <c r="CB36" i="1"/>
  <c r="CC36" i="1"/>
  <c r="CD36"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BR37" i="1"/>
  <c r="BS37" i="1"/>
  <c r="BT37" i="1"/>
  <c r="BU37" i="1"/>
  <c r="BV37" i="1"/>
  <c r="BW37" i="1"/>
  <c r="BX37" i="1"/>
  <c r="BY37" i="1"/>
  <c r="BZ37" i="1"/>
  <c r="CA37" i="1"/>
  <c r="CB37" i="1"/>
  <c r="CC37" i="1"/>
  <c r="CD37"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BR38" i="1"/>
  <c r="BS38" i="1"/>
  <c r="BT38" i="1"/>
  <c r="BU38" i="1"/>
  <c r="BV38" i="1"/>
  <c r="BW38" i="1"/>
  <c r="BX38" i="1"/>
  <c r="BY38" i="1"/>
  <c r="BZ38" i="1"/>
  <c r="CA38" i="1"/>
  <c r="CB38" i="1"/>
  <c r="CC38" i="1"/>
  <c r="CD38"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H40" i="1"/>
  <c r="I40" i="1"/>
  <c r="J40" i="1"/>
  <c r="K40" i="1"/>
  <c r="L40" i="1"/>
  <c r="M40" i="1"/>
  <c r="N40" i="1"/>
  <c r="O40" i="1"/>
  <c r="P40" i="1"/>
  <c r="Q40" i="1"/>
  <c r="R40" i="1"/>
  <c r="S40" i="1"/>
  <c r="T40" i="1"/>
  <c r="U40" i="1"/>
  <c r="V40" i="1"/>
  <c r="W40" i="1"/>
  <c r="X40" i="1"/>
  <c r="Y40" i="1"/>
  <c r="Z40" i="1"/>
  <c r="AA40" i="1"/>
  <c r="AB40" i="1"/>
  <c r="AC40" i="1"/>
  <c r="AD40" i="1"/>
  <c r="AE40" i="1"/>
  <c r="AF40" i="1"/>
  <c r="AG40" i="1"/>
  <c r="AH40" i="1"/>
  <c r="AI40" i="1"/>
  <c r="AJ40" i="1"/>
  <c r="AK40" i="1"/>
  <c r="AL40" i="1"/>
  <c r="AM40" i="1"/>
  <c r="AN40" i="1"/>
  <c r="AO40" i="1"/>
  <c r="AP40" i="1"/>
  <c r="AQ40" i="1"/>
  <c r="AR40" i="1"/>
  <c r="AS40" i="1"/>
  <c r="AT40" i="1"/>
  <c r="AU40" i="1"/>
  <c r="AV40" i="1"/>
  <c r="AW40" i="1"/>
  <c r="AX40" i="1"/>
  <c r="AY40" i="1"/>
  <c r="AZ40" i="1"/>
  <c r="BA40" i="1"/>
  <c r="BB40" i="1"/>
  <c r="BC40" i="1"/>
  <c r="BD40" i="1"/>
  <c r="BE40" i="1"/>
  <c r="BF40" i="1"/>
  <c r="BG40" i="1"/>
  <c r="BH40" i="1"/>
  <c r="BI40" i="1"/>
  <c r="BJ40" i="1"/>
  <c r="BK40" i="1"/>
  <c r="BL40" i="1"/>
  <c r="BM40" i="1"/>
  <c r="BN40" i="1"/>
  <c r="BO40" i="1"/>
  <c r="BP40" i="1"/>
  <c r="BQ40" i="1"/>
  <c r="BR40" i="1"/>
  <c r="BS40" i="1"/>
  <c r="BT40" i="1"/>
  <c r="BU40" i="1"/>
  <c r="BV40" i="1"/>
  <c r="BW40" i="1"/>
  <c r="BX40" i="1"/>
  <c r="BY40" i="1"/>
  <c r="BZ40" i="1"/>
  <c r="CA40" i="1"/>
  <c r="CB40" i="1"/>
  <c r="CC40" i="1"/>
  <c r="CD40" i="1"/>
  <c r="H41" i="1"/>
  <c r="I41" i="1"/>
  <c r="J41" i="1"/>
  <c r="K41" i="1"/>
  <c r="L41" i="1"/>
  <c r="M41" i="1"/>
  <c r="N41" i="1"/>
  <c r="O41" i="1"/>
  <c r="P41" i="1"/>
  <c r="Q41" i="1"/>
  <c r="R41" i="1"/>
  <c r="S41" i="1"/>
  <c r="T41" i="1"/>
  <c r="U41" i="1"/>
  <c r="V41" i="1"/>
  <c r="W41" i="1"/>
  <c r="X41" i="1"/>
  <c r="Y41" i="1"/>
  <c r="Z41" i="1"/>
  <c r="AA41" i="1"/>
  <c r="AB41" i="1"/>
  <c r="AC41" i="1"/>
  <c r="AD41" i="1"/>
  <c r="AE41" i="1"/>
  <c r="AF41" i="1"/>
  <c r="AG41" i="1"/>
  <c r="AH41" i="1"/>
  <c r="AI41" i="1"/>
  <c r="AJ41" i="1"/>
  <c r="AK41" i="1"/>
  <c r="AL41" i="1"/>
  <c r="AM41" i="1"/>
  <c r="AN41" i="1"/>
  <c r="AO41" i="1"/>
  <c r="AP41" i="1"/>
  <c r="AQ41" i="1"/>
  <c r="AR41" i="1"/>
  <c r="AS41" i="1"/>
  <c r="AT41" i="1"/>
  <c r="AU41" i="1"/>
  <c r="AV41" i="1"/>
  <c r="AW41" i="1"/>
  <c r="AX41" i="1"/>
  <c r="AY41" i="1"/>
  <c r="AZ41" i="1"/>
  <c r="BA41" i="1"/>
  <c r="BB41" i="1"/>
  <c r="BC41" i="1"/>
  <c r="BD41" i="1"/>
  <c r="BE41" i="1"/>
  <c r="BF41" i="1"/>
  <c r="BG41" i="1"/>
  <c r="BH41" i="1"/>
  <c r="BI41" i="1"/>
  <c r="BJ41" i="1"/>
  <c r="BK41" i="1"/>
  <c r="BL41" i="1"/>
  <c r="BM41" i="1"/>
  <c r="BN41" i="1"/>
  <c r="BO41" i="1"/>
  <c r="BP41" i="1"/>
  <c r="BQ41" i="1"/>
  <c r="BR41" i="1"/>
  <c r="BS41" i="1"/>
  <c r="BT41" i="1"/>
  <c r="BU41" i="1"/>
  <c r="BV41" i="1"/>
  <c r="BW41" i="1"/>
  <c r="BX41" i="1"/>
  <c r="BY41" i="1"/>
  <c r="BZ41" i="1"/>
  <c r="CA41" i="1"/>
  <c r="CB41" i="1"/>
  <c r="CC41" i="1"/>
  <c r="CD41"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BR42" i="1"/>
  <c r="BS42" i="1"/>
  <c r="BT42" i="1"/>
  <c r="BU42" i="1"/>
  <c r="BV42" i="1"/>
  <c r="BW42" i="1"/>
  <c r="BX42" i="1"/>
  <c r="BY42" i="1"/>
  <c r="BZ42" i="1"/>
  <c r="CA42" i="1"/>
  <c r="CB42" i="1"/>
  <c r="CC42" i="1"/>
  <c r="CD42"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BR43" i="1"/>
  <c r="BS43" i="1"/>
  <c r="BT43" i="1"/>
  <c r="BU43" i="1"/>
  <c r="BV43" i="1"/>
  <c r="BW43" i="1"/>
  <c r="BX43" i="1"/>
  <c r="BY43" i="1"/>
  <c r="BZ43" i="1"/>
  <c r="CA43" i="1"/>
  <c r="CB43" i="1"/>
  <c r="CC43" i="1"/>
  <c r="CD43" i="1"/>
  <c r="H44" i="1"/>
  <c r="I44" i="1"/>
  <c r="J44" i="1"/>
  <c r="K44" i="1"/>
  <c r="L44" i="1"/>
  <c r="M44" i="1"/>
  <c r="N44" i="1"/>
  <c r="O44" i="1"/>
  <c r="P44" i="1"/>
  <c r="Q44" i="1"/>
  <c r="R44" i="1"/>
  <c r="S44" i="1"/>
  <c r="T44" i="1"/>
  <c r="U44" i="1"/>
  <c r="V44" i="1"/>
  <c r="W44" i="1"/>
  <c r="X44" i="1"/>
  <c r="Y44" i="1"/>
  <c r="Z44" i="1"/>
  <c r="AA44" i="1"/>
  <c r="AB44" i="1"/>
  <c r="AC44" i="1"/>
  <c r="AD44" i="1"/>
  <c r="AE44" i="1"/>
  <c r="AF44" i="1"/>
  <c r="AG44" i="1"/>
  <c r="AH44" i="1"/>
  <c r="AI44" i="1"/>
  <c r="AJ44" i="1"/>
  <c r="AK44" i="1"/>
  <c r="AL44" i="1"/>
  <c r="AM44" i="1"/>
  <c r="AN44" i="1"/>
  <c r="AO44" i="1"/>
  <c r="AP44" i="1"/>
  <c r="AQ44" i="1"/>
  <c r="AR44" i="1"/>
  <c r="AS44" i="1"/>
  <c r="AT44" i="1"/>
  <c r="AU44" i="1"/>
  <c r="AV44" i="1"/>
  <c r="AW44" i="1"/>
  <c r="AX44" i="1"/>
  <c r="AY44" i="1"/>
  <c r="AZ44" i="1"/>
  <c r="BA44" i="1"/>
  <c r="BB44" i="1"/>
  <c r="BC44" i="1"/>
  <c r="BD44" i="1"/>
  <c r="BE44" i="1"/>
  <c r="BF44" i="1"/>
  <c r="BG44" i="1"/>
  <c r="BH44" i="1"/>
  <c r="BI44" i="1"/>
  <c r="BJ44" i="1"/>
  <c r="BK44" i="1"/>
  <c r="BL44" i="1"/>
  <c r="BM44" i="1"/>
  <c r="BN44" i="1"/>
  <c r="BO44" i="1"/>
  <c r="BP44" i="1"/>
  <c r="BQ44" i="1"/>
  <c r="BR44" i="1"/>
  <c r="BS44" i="1"/>
  <c r="BT44" i="1"/>
  <c r="BU44" i="1"/>
  <c r="BV44" i="1"/>
  <c r="BW44" i="1"/>
  <c r="BX44" i="1"/>
  <c r="BY44" i="1"/>
  <c r="BZ44" i="1"/>
  <c r="CA44" i="1"/>
  <c r="CB44" i="1"/>
  <c r="CC44" i="1"/>
  <c r="CD44"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AJ45" i="1"/>
  <c r="AK45" i="1"/>
  <c r="AL45" i="1"/>
  <c r="AM45" i="1"/>
  <c r="AN45" i="1"/>
  <c r="AO45" i="1"/>
  <c r="AP45" i="1"/>
  <c r="AQ45" i="1"/>
  <c r="AR45" i="1"/>
  <c r="AS45" i="1"/>
  <c r="AT45" i="1"/>
  <c r="AU45" i="1"/>
  <c r="AV45" i="1"/>
  <c r="AW45" i="1"/>
  <c r="AX45" i="1"/>
  <c r="AY45" i="1"/>
  <c r="AZ45" i="1"/>
  <c r="BA45" i="1"/>
  <c r="BB45" i="1"/>
  <c r="BC45" i="1"/>
  <c r="BD45" i="1"/>
  <c r="BE45" i="1"/>
  <c r="BF45" i="1"/>
  <c r="BG45" i="1"/>
  <c r="BH45" i="1"/>
  <c r="BI45" i="1"/>
  <c r="BJ45" i="1"/>
  <c r="BK45" i="1"/>
  <c r="BL45" i="1"/>
  <c r="BM45" i="1"/>
  <c r="BN45" i="1"/>
  <c r="BO45" i="1"/>
  <c r="BP45" i="1"/>
  <c r="BQ45" i="1"/>
  <c r="BR45" i="1"/>
  <c r="BS45" i="1"/>
  <c r="BT45" i="1"/>
  <c r="BU45" i="1"/>
  <c r="BV45" i="1"/>
  <c r="BW45" i="1"/>
  <c r="BX45" i="1"/>
  <c r="BY45" i="1"/>
  <c r="BZ45" i="1"/>
  <c r="CA45" i="1"/>
  <c r="CB45" i="1"/>
  <c r="CC45" i="1"/>
  <c r="CD45"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AJ46" i="1"/>
  <c r="AK46" i="1"/>
  <c r="AL46" i="1"/>
  <c r="AM46" i="1"/>
  <c r="AN46" i="1"/>
  <c r="AO46" i="1"/>
  <c r="AP46" i="1"/>
  <c r="AQ46" i="1"/>
  <c r="AR46" i="1"/>
  <c r="AS46" i="1"/>
  <c r="AT46" i="1"/>
  <c r="AU46" i="1"/>
  <c r="AV46" i="1"/>
  <c r="AW46" i="1"/>
  <c r="AX46" i="1"/>
  <c r="AY46" i="1"/>
  <c r="AZ46" i="1"/>
  <c r="BA46" i="1"/>
  <c r="BB46" i="1"/>
  <c r="BC46" i="1"/>
  <c r="BD46" i="1"/>
  <c r="BE46" i="1"/>
  <c r="BF46" i="1"/>
  <c r="BG46" i="1"/>
  <c r="BH46" i="1"/>
  <c r="BI46" i="1"/>
  <c r="BJ46" i="1"/>
  <c r="BK46" i="1"/>
  <c r="BL46" i="1"/>
  <c r="BM46" i="1"/>
  <c r="BN46" i="1"/>
  <c r="BO46" i="1"/>
  <c r="BP46" i="1"/>
  <c r="BQ46" i="1"/>
  <c r="BR46" i="1"/>
  <c r="BS46" i="1"/>
  <c r="BT46" i="1"/>
  <c r="BU46" i="1"/>
  <c r="BV46" i="1"/>
  <c r="BW46" i="1"/>
  <c r="BX46" i="1"/>
  <c r="BY46" i="1"/>
  <c r="BZ46" i="1"/>
  <c r="CA46" i="1"/>
  <c r="CB46" i="1"/>
  <c r="CC46" i="1"/>
  <c r="CD46" i="1"/>
  <c r="H48" i="1"/>
  <c r="I48" i="1"/>
  <c r="J48" i="1"/>
  <c r="K48" i="1"/>
  <c r="L48" i="1"/>
  <c r="M48" i="1"/>
  <c r="N48" i="1"/>
  <c r="O48" i="1"/>
  <c r="P48" i="1"/>
  <c r="Q48" i="1"/>
  <c r="R48" i="1"/>
  <c r="S48" i="1"/>
  <c r="T48" i="1"/>
  <c r="U48" i="1"/>
  <c r="V48" i="1"/>
  <c r="W48" i="1"/>
  <c r="X48" i="1"/>
  <c r="Y48" i="1"/>
  <c r="Z48" i="1"/>
  <c r="AA48" i="1"/>
  <c r="AB48" i="1"/>
  <c r="AC48" i="1"/>
  <c r="AD48" i="1"/>
  <c r="AE48" i="1"/>
  <c r="AF48" i="1"/>
  <c r="AG48" i="1"/>
  <c r="AH48" i="1"/>
  <c r="AI48" i="1"/>
  <c r="AJ48" i="1"/>
  <c r="AK48" i="1"/>
  <c r="AL48" i="1"/>
  <c r="AM48" i="1"/>
  <c r="AN48" i="1"/>
  <c r="AO48" i="1"/>
  <c r="AP48" i="1"/>
  <c r="AQ48" i="1"/>
  <c r="AR48" i="1"/>
  <c r="AS48" i="1"/>
  <c r="AT48" i="1"/>
  <c r="AU48" i="1"/>
  <c r="AV48" i="1"/>
  <c r="AW48" i="1"/>
  <c r="AX48" i="1"/>
  <c r="AY48" i="1"/>
  <c r="AZ48" i="1"/>
  <c r="BA48" i="1"/>
  <c r="BB48" i="1"/>
  <c r="BC48" i="1"/>
  <c r="BD48" i="1"/>
  <c r="BE48" i="1"/>
  <c r="BF48" i="1"/>
  <c r="BG48" i="1"/>
  <c r="BH48" i="1"/>
  <c r="BI48" i="1"/>
  <c r="BJ48" i="1"/>
  <c r="BK48" i="1"/>
  <c r="BL48" i="1"/>
  <c r="BM48" i="1"/>
  <c r="BN48" i="1"/>
  <c r="BO48" i="1"/>
  <c r="BP48" i="1"/>
  <c r="BQ48" i="1"/>
  <c r="BR48" i="1"/>
  <c r="BS48" i="1"/>
  <c r="BT48" i="1"/>
  <c r="BU48" i="1"/>
  <c r="BV48" i="1"/>
  <c r="BW48" i="1"/>
  <c r="BX48" i="1"/>
  <c r="BY48" i="1"/>
  <c r="BZ48" i="1"/>
  <c r="CA48" i="1"/>
  <c r="CB48" i="1"/>
  <c r="CC48" i="1"/>
  <c r="CD48" i="1"/>
  <c r="H49" i="1"/>
  <c r="I49" i="1"/>
  <c r="J49" i="1"/>
  <c r="K49" i="1"/>
  <c r="L49" i="1"/>
  <c r="M49" i="1"/>
  <c r="N49" i="1"/>
  <c r="O49" i="1"/>
  <c r="P49" i="1"/>
  <c r="Q49" i="1"/>
  <c r="R49" i="1"/>
  <c r="S49" i="1"/>
  <c r="T49" i="1"/>
  <c r="U49" i="1"/>
  <c r="V49" i="1"/>
  <c r="W49" i="1"/>
  <c r="X49" i="1"/>
  <c r="Y49" i="1"/>
  <c r="Z49" i="1"/>
  <c r="AA49" i="1"/>
  <c r="AB49" i="1"/>
  <c r="AC49" i="1"/>
  <c r="AD49" i="1"/>
  <c r="AE49" i="1"/>
  <c r="AF49" i="1"/>
  <c r="AG49" i="1"/>
  <c r="AH49" i="1"/>
  <c r="AI49" i="1"/>
  <c r="AJ49" i="1"/>
  <c r="AK49" i="1"/>
  <c r="AL49" i="1"/>
  <c r="AM49" i="1"/>
  <c r="AN49" i="1"/>
  <c r="AO49" i="1"/>
  <c r="AP49" i="1"/>
  <c r="AQ49" i="1"/>
  <c r="AR49" i="1"/>
  <c r="AS49" i="1"/>
  <c r="AT49" i="1"/>
  <c r="AU49" i="1"/>
  <c r="AV49" i="1"/>
  <c r="AW49" i="1"/>
  <c r="AX49" i="1"/>
  <c r="AY49" i="1"/>
  <c r="AZ49" i="1"/>
  <c r="BA49" i="1"/>
  <c r="BB49" i="1"/>
  <c r="BC49" i="1"/>
  <c r="BD49" i="1"/>
  <c r="BE49" i="1"/>
  <c r="BF49" i="1"/>
  <c r="BG49" i="1"/>
  <c r="BH49" i="1"/>
  <c r="BI49" i="1"/>
  <c r="BJ49" i="1"/>
  <c r="BK49" i="1"/>
  <c r="BL49" i="1"/>
  <c r="BM49" i="1"/>
  <c r="BN49" i="1"/>
  <c r="BO49" i="1"/>
  <c r="BP49" i="1"/>
  <c r="BQ49" i="1"/>
  <c r="BR49" i="1"/>
  <c r="BS49" i="1"/>
  <c r="BT49" i="1"/>
  <c r="BU49" i="1"/>
  <c r="BV49" i="1"/>
  <c r="BW49" i="1"/>
  <c r="BX49" i="1"/>
  <c r="BY49" i="1"/>
  <c r="BZ49" i="1"/>
  <c r="CA49" i="1"/>
  <c r="CB49" i="1"/>
  <c r="CC49" i="1"/>
  <c r="CD49" i="1"/>
  <c r="H50" i="1"/>
  <c r="I50" i="1"/>
  <c r="J50" i="1"/>
  <c r="K50" i="1"/>
  <c r="L50" i="1"/>
  <c r="M50" i="1"/>
  <c r="N50" i="1"/>
  <c r="O50" i="1"/>
  <c r="P50" i="1"/>
  <c r="Q50" i="1"/>
  <c r="R50" i="1"/>
  <c r="S50" i="1"/>
  <c r="T50" i="1"/>
  <c r="U50" i="1"/>
  <c r="V50" i="1"/>
  <c r="W50" i="1"/>
  <c r="X50" i="1"/>
  <c r="Y50" i="1"/>
  <c r="Z50" i="1"/>
  <c r="AA50" i="1"/>
  <c r="AB50" i="1"/>
  <c r="AC50" i="1"/>
  <c r="AD50" i="1"/>
  <c r="AE50" i="1"/>
  <c r="AF50" i="1"/>
  <c r="AG50" i="1"/>
  <c r="AH50" i="1"/>
  <c r="AI50" i="1"/>
  <c r="AJ50" i="1"/>
  <c r="AK50" i="1"/>
  <c r="AL50" i="1"/>
  <c r="AM50" i="1"/>
  <c r="AN50" i="1"/>
  <c r="AO50" i="1"/>
  <c r="AP50" i="1"/>
  <c r="AQ50" i="1"/>
  <c r="AR50" i="1"/>
  <c r="AS50" i="1"/>
  <c r="AT50" i="1"/>
  <c r="AU50" i="1"/>
  <c r="AV50" i="1"/>
  <c r="AW50" i="1"/>
  <c r="AX50" i="1"/>
  <c r="AY50" i="1"/>
  <c r="AZ50" i="1"/>
  <c r="BA50" i="1"/>
  <c r="BB50" i="1"/>
  <c r="BC50" i="1"/>
  <c r="BD50" i="1"/>
  <c r="BE50" i="1"/>
  <c r="BF50" i="1"/>
  <c r="BG50" i="1"/>
  <c r="BH50" i="1"/>
  <c r="BI50" i="1"/>
  <c r="BJ50" i="1"/>
  <c r="BK50" i="1"/>
  <c r="BL50" i="1"/>
  <c r="BM50" i="1"/>
  <c r="BN50" i="1"/>
  <c r="BO50" i="1"/>
  <c r="BP50" i="1"/>
  <c r="BQ50" i="1"/>
  <c r="BR50" i="1"/>
  <c r="BS50" i="1"/>
  <c r="BT50" i="1"/>
  <c r="BU50" i="1"/>
  <c r="BV50" i="1"/>
  <c r="BW50" i="1"/>
  <c r="BX50" i="1"/>
  <c r="BY50" i="1"/>
  <c r="BZ50" i="1"/>
  <c r="CA50" i="1"/>
  <c r="CB50" i="1"/>
  <c r="CC50" i="1"/>
  <c r="CD50"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H53" i="1"/>
  <c r="I53" i="1"/>
  <c r="J53" i="1"/>
  <c r="K53" i="1"/>
  <c r="L53" i="1"/>
  <c r="M53" i="1"/>
  <c r="N53" i="1"/>
  <c r="O53" i="1"/>
  <c r="P53" i="1"/>
  <c r="Q53" i="1"/>
  <c r="R53" i="1"/>
  <c r="S53" i="1"/>
  <c r="T53" i="1"/>
  <c r="U53" i="1"/>
  <c r="V53" i="1"/>
  <c r="W53" i="1"/>
  <c r="X53" i="1"/>
  <c r="Y53" i="1"/>
  <c r="Z53" i="1"/>
  <c r="AA53" i="1"/>
  <c r="AB53" i="1"/>
  <c r="AC53" i="1"/>
  <c r="AD53" i="1"/>
  <c r="AE53" i="1"/>
  <c r="AF53" i="1"/>
  <c r="AG53" i="1"/>
  <c r="AH53" i="1"/>
  <c r="AI53" i="1"/>
  <c r="AJ53" i="1"/>
  <c r="AK53" i="1"/>
  <c r="AL53" i="1"/>
  <c r="AM53" i="1"/>
  <c r="AN53" i="1"/>
  <c r="AO53" i="1"/>
  <c r="AP53" i="1"/>
  <c r="AQ53" i="1"/>
  <c r="AR53" i="1"/>
  <c r="AS53" i="1"/>
  <c r="AT53" i="1"/>
  <c r="AU53" i="1"/>
  <c r="AV53" i="1"/>
  <c r="AW53" i="1"/>
  <c r="AX53" i="1"/>
  <c r="AY53" i="1"/>
  <c r="AZ53" i="1"/>
  <c r="BA53" i="1"/>
  <c r="BB53" i="1"/>
  <c r="BC53" i="1"/>
  <c r="BD53" i="1"/>
  <c r="BE53" i="1"/>
  <c r="BF53" i="1"/>
  <c r="BG53" i="1"/>
  <c r="BH53" i="1"/>
  <c r="BI53" i="1"/>
  <c r="BJ53" i="1"/>
  <c r="BK53" i="1"/>
  <c r="BL53" i="1"/>
  <c r="BM53" i="1"/>
  <c r="BN53" i="1"/>
  <c r="BO53" i="1"/>
  <c r="BP53" i="1"/>
  <c r="BQ53" i="1"/>
  <c r="BR53" i="1"/>
  <c r="BS53" i="1"/>
  <c r="BT53" i="1"/>
  <c r="BU53" i="1"/>
  <c r="BV53" i="1"/>
  <c r="BW53" i="1"/>
  <c r="BX53" i="1"/>
  <c r="BY53" i="1"/>
  <c r="BZ53" i="1"/>
  <c r="CA53" i="1"/>
  <c r="CB53" i="1"/>
  <c r="CC53" i="1"/>
  <c r="CD53" i="1"/>
  <c r="H54" i="1"/>
  <c r="I54" i="1"/>
  <c r="J54" i="1"/>
  <c r="K54" i="1"/>
  <c r="L54" i="1"/>
  <c r="M54" i="1"/>
  <c r="N54" i="1"/>
  <c r="O54" i="1"/>
  <c r="P54" i="1"/>
  <c r="Q54" i="1"/>
  <c r="R54" i="1"/>
  <c r="S54" i="1"/>
  <c r="T54" i="1"/>
  <c r="U54" i="1"/>
  <c r="V54" i="1"/>
  <c r="W54" i="1"/>
  <c r="X54" i="1"/>
  <c r="Y54" i="1"/>
  <c r="Z54" i="1"/>
  <c r="AA54" i="1"/>
  <c r="AB54" i="1"/>
  <c r="AC54" i="1"/>
  <c r="AD54" i="1"/>
  <c r="AE54" i="1"/>
  <c r="AF54" i="1"/>
  <c r="AG54" i="1"/>
  <c r="AH54" i="1"/>
  <c r="AI54" i="1"/>
  <c r="AJ54" i="1"/>
  <c r="AK54" i="1"/>
  <c r="AL54" i="1"/>
  <c r="AM54" i="1"/>
  <c r="AN54" i="1"/>
  <c r="AO54" i="1"/>
  <c r="AP54" i="1"/>
  <c r="AQ54" i="1"/>
  <c r="AR54" i="1"/>
  <c r="AS54" i="1"/>
  <c r="AT54" i="1"/>
  <c r="AU54" i="1"/>
  <c r="AV54" i="1"/>
  <c r="AW54" i="1"/>
  <c r="AX54" i="1"/>
  <c r="AY54" i="1"/>
  <c r="AZ54" i="1"/>
  <c r="BA54" i="1"/>
  <c r="BB54" i="1"/>
  <c r="BC54" i="1"/>
  <c r="BD54" i="1"/>
  <c r="BE54" i="1"/>
  <c r="BF54" i="1"/>
  <c r="BG54" i="1"/>
  <c r="BH54" i="1"/>
  <c r="BI54" i="1"/>
  <c r="BJ54" i="1"/>
  <c r="BK54" i="1"/>
  <c r="BL54" i="1"/>
  <c r="BM54" i="1"/>
  <c r="BN54" i="1"/>
  <c r="BO54" i="1"/>
  <c r="BP54" i="1"/>
  <c r="BQ54" i="1"/>
  <c r="BR54" i="1"/>
  <c r="BS54" i="1"/>
  <c r="BT54" i="1"/>
  <c r="BU54" i="1"/>
  <c r="BV54" i="1"/>
  <c r="BW54" i="1"/>
  <c r="BX54" i="1"/>
  <c r="BY54" i="1"/>
  <c r="BZ54" i="1"/>
  <c r="CA54" i="1"/>
  <c r="CB54" i="1"/>
  <c r="CC54" i="1"/>
  <c r="CD54" i="1"/>
  <c r="H55" i="1"/>
  <c r="I55" i="1"/>
  <c r="J55" i="1"/>
  <c r="K55" i="1"/>
  <c r="L55" i="1"/>
  <c r="M55" i="1"/>
  <c r="N55" i="1"/>
  <c r="O55" i="1"/>
  <c r="P55" i="1"/>
  <c r="Q55" i="1"/>
  <c r="R55" i="1"/>
  <c r="S55" i="1"/>
  <c r="T55" i="1"/>
  <c r="U55" i="1"/>
  <c r="V55" i="1"/>
  <c r="W55" i="1"/>
  <c r="X55" i="1"/>
  <c r="Y55" i="1"/>
  <c r="Z55" i="1"/>
  <c r="AA55" i="1"/>
  <c r="AB55" i="1"/>
  <c r="AC55" i="1"/>
  <c r="AD55" i="1"/>
  <c r="AE55" i="1"/>
  <c r="AF55" i="1"/>
  <c r="AG55" i="1"/>
  <c r="AH55" i="1"/>
  <c r="AI55" i="1"/>
  <c r="AJ55" i="1"/>
  <c r="AK55" i="1"/>
  <c r="AL55" i="1"/>
  <c r="AM55" i="1"/>
  <c r="AN55" i="1"/>
  <c r="AO55" i="1"/>
  <c r="AP55" i="1"/>
  <c r="AQ55" i="1"/>
  <c r="AR55" i="1"/>
  <c r="AS55" i="1"/>
  <c r="AT55" i="1"/>
  <c r="AU55" i="1"/>
  <c r="AV55" i="1"/>
  <c r="AW55" i="1"/>
  <c r="AX55" i="1"/>
  <c r="AY55" i="1"/>
  <c r="AZ55" i="1"/>
  <c r="BA55" i="1"/>
  <c r="BB55" i="1"/>
  <c r="BC55" i="1"/>
  <c r="BD55" i="1"/>
  <c r="BE55" i="1"/>
  <c r="BF55" i="1"/>
  <c r="BG55" i="1"/>
  <c r="BH55" i="1"/>
  <c r="BI55" i="1"/>
  <c r="BJ55" i="1"/>
  <c r="BK55" i="1"/>
  <c r="BL55" i="1"/>
  <c r="BM55" i="1"/>
  <c r="BN55" i="1"/>
  <c r="BO55" i="1"/>
  <c r="BP55" i="1"/>
  <c r="BQ55" i="1"/>
  <c r="BR55" i="1"/>
  <c r="BS55" i="1"/>
  <c r="BT55" i="1"/>
  <c r="BU55" i="1"/>
  <c r="BV55" i="1"/>
  <c r="BW55" i="1"/>
  <c r="BX55" i="1"/>
  <c r="BY55" i="1"/>
  <c r="BZ55" i="1"/>
  <c r="CA55" i="1"/>
  <c r="CB55" i="1"/>
  <c r="CC55" i="1"/>
  <c r="CD55" i="1"/>
  <c r="H56" i="1"/>
  <c r="I56" i="1"/>
  <c r="J56" i="1"/>
  <c r="K56" i="1"/>
  <c r="L56" i="1"/>
  <c r="M56" i="1"/>
  <c r="N56" i="1"/>
  <c r="O56" i="1"/>
  <c r="P56" i="1"/>
  <c r="Q56" i="1"/>
  <c r="R56" i="1"/>
  <c r="S56" i="1"/>
  <c r="T56" i="1"/>
  <c r="U56" i="1"/>
  <c r="V56" i="1"/>
  <c r="W56" i="1"/>
  <c r="X56" i="1"/>
  <c r="Y56" i="1"/>
  <c r="Z56" i="1"/>
  <c r="AA56" i="1"/>
  <c r="AB56" i="1"/>
  <c r="AC56" i="1"/>
  <c r="AD56" i="1"/>
  <c r="AE56" i="1"/>
  <c r="AF56" i="1"/>
  <c r="AG56" i="1"/>
  <c r="AH56" i="1"/>
  <c r="AI56" i="1"/>
  <c r="AJ56" i="1"/>
  <c r="AK56" i="1"/>
  <c r="AL56" i="1"/>
  <c r="AM56" i="1"/>
  <c r="AN56" i="1"/>
  <c r="AO56" i="1"/>
  <c r="AP56" i="1"/>
  <c r="AQ56" i="1"/>
  <c r="AR56" i="1"/>
  <c r="AS56" i="1"/>
  <c r="AT56" i="1"/>
  <c r="AU56" i="1"/>
  <c r="AV56" i="1"/>
  <c r="AW56" i="1"/>
  <c r="AX56" i="1"/>
  <c r="AY56" i="1"/>
  <c r="AZ56" i="1"/>
  <c r="BA56" i="1"/>
  <c r="BB56" i="1"/>
  <c r="BC56" i="1"/>
  <c r="BD56" i="1"/>
  <c r="BE56" i="1"/>
  <c r="BF56" i="1"/>
  <c r="BG56" i="1"/>
  <c r="BH56" i="1"/>
  <c r="BI56" i="1"/>
  <c r="BJ56" i="1"/>
  <c r="BK56" i="1"/>
  <c r="BL56" i="1"/>
  <c r="BM56" i="1"/>
  <c r="BN56" i="1"/>
  <c r="BO56" i="1"/>
  <c r="BP56" i="1"/>
  <c r="BQ56" i="1"/>
  <c r="BR56" i="1"/>
  <c r="BS56" i="1"/>
  <c r="BT56" i="1"/>
  <c r="BU56" i="1"/>
  <c r="BV56" i="1"/>
  <c r="BW56" i="1"/>
  <c r="BX56" i="1"/>
  <c r="BY56" i="1"/>
  <c r="BZ56" i="1"/>
  <c r="CA56" i="1"/>
  <c r="CB56" i="1"/>
  <c r="CC56" i="1"/>
  <c r="CD56" i="1"/>
  <c r="H57" i="1"/>
  <c r="I57" i="1"/>
  <c r="J57"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AR57" i="1"/>
  <c r="AS57" i="1"/>
  <c r="AT57" i="1"/>
  <c r="AU57" i="1"/>
  <c r="AV57" i="1"/>
  <c r="AW57" i="1"/>
  <c r="AX57" i="1"/>
  <c r="AY57" i="1"/>
  <c r="AZ57" i="1"/>
  <c r="BA57" i="1"/>
  <c r="BB57" i="1"/>
  <c r="BC57" i="1"/>
  <c r="BD57" i="1"/>
  <c r="BE57" i="1"/>
  <c r="BF57" i="1"/>
  <c r="BG57" i="1"/>
  <c r="BH57" i="1"/>
  <c r="BI57" i="1"/>
  <c r="BJ57" i="1"/>
  <c r="BK57" i="1"/>
  <c r="BL57" i="1"/>
  <c r="BM57" i="1"/>
  <c r="BN57" i="1"/>
  <c r="BO57" i="1"/>
  <c r="BP57" i="1"/>
  <c r="BQ57" i="1"/>
  <c r="BR57" i="1"/>
  <c r="BS57" i="1"/>
  <c r="BT57" i="1"/>
  <c r="BU57" i="1"/>
  <c r="BV57" i="1"/>
  <c r="BW57" i="1"/>
  <c r="BX57" i="1"/>
  <c r="BY57" i="1"/>
  <c r="BZ57" i="1"/>
  <c r="CA57" i="1"/>
  <c r="CB57" i="1"/>
  <c r="CC57" i="1"/>
  <c r="CD57"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U58" i="1"/>
  <c r="AV58" i="1"/>
  <c r="AW58" i="1"/>
  <c r="AX58" i="1"/>
  <c r="AY58" i="1"/>
  <c r="AZ58" i="1"/>
  <c r="BA58" i="1"/>
  <c r="BB58" i="1"/>
  <c r="BC58" i="1"/>
  <c r="BD58" i="1"/>
  <c r="BE58" i="1"/>
  <c r="BF58" i="1"/>
  <c r="BG58" i="1"/>
  <c r="BH58" i="1"/>
  <c r="BI58" i="1"/>
  <c r="BJ58" i="1"/>
  <c r="BK58" i="1"/>
  <c r="BL58" i="1"/>
  <c r="BM58" i="1"/>
  <c r="BN58" i="1"/>
  <c r="BO58" i="1"/>
  <c r="BP58" i="1"/>
  <c r="BQ58" i="1"/>
  <c r="BR58" i="1"/>
  <c r="BS58" i="1"/>
  <c r="BT58" i="1"/>
  <c r="BU58" i="1"/>
  <c r="BV58" i="1"/>
  <c r="BW58" i="1"/>
  <c r="BX58" i="1"/>
  <c r="BY58" i="1"/>
  <c r="BZ58" i="1"/>
  <c r="CA58" i="1"/>
  <c r="CB58" i="1"/>
  <c r="CC58" i="1"/>
  <c r="CD58" i="1"/>
  <c r="H59" i="1"/>
  <c r="I59" i="1"/>
  <c r="J59" i="1"/>
  <c r="K59" i="1"/>
  <c r="L59" i="1"/>
  <c r="M59" i="1"/>
  <c r="N59" i="1"/>
  <c r="O59" i="1"/>
  <c r="P59" i="1"/>
  <c r="Q59" i="1"/>
  <c r="R59" i="1"/>
  <c r="S59" i="1"/>
  <c r="T59" i="1"/>
  <c r="U59" i="1"/>
  <c r="V59" i="1"/>
  <c r="W59" i="1"/>
  <c r="X59" i="1"/>
  <c r="Y59" i="1"/>
  <c r="Z59" i="1"/>
  <c r="AA59" i="1"/>
  <c r="AB59" i="1"/>
  <c r="AC59" i="1"/>
  <c r="AD59" i="1"/>
  <c r="AE59" i="1"/>
  <c r="AF59" i="1"/>
  <c r="AG59" i="1"/>
  <c r="AH59" i="1"/>
  <c r="AI59" i="1"/>
  <c r="AJ59" i="1"/>
  <c r="AK59" i="1"/>
  <c r="AL59" i="1"/>
  <c r="AM59" i="1"/>
  <c r="AN59" i="1"/>
  <c r="AO59" i="1"/>
  <c r="AP59" i="1"/>
  <c r="AQ59" i="1"/>
  <c r="AR59" i="1"/>
  <c r="AS59" i="1"/>
  <c r="AT59" i="1"/>
  <c r="AU59" i="1"/>
  <c r="AV59" i="1"/>
  <c r="AW59" i="1"/>
  <c r="AX59" i="1"/>
  <c r="AY59" i="1"/>
  <c r="AZ59" i="1"/>
  <c r="BA59" i="1"/>
  <c r="BB59" i="1"/>
  <c r="BC59" i="1"/>
  <c r="BD59" i="1"/>
  <c r="BE59" i="1"/>
  <c r="BF59" i="1"/>
  <c r="BG59" i="1"/>
  <c r="BH59" i="1"/>
  <c r="BI59" i="1"/>
  <c r="BJ59" i="1"/>
  <c r="BK59" i="1"/>
  <c r="BL59" i="1"/>
  <c r="BM59" i="1"/>
  <c r="BN59" i="1"/>
  <c r="BO59" i="1"/>
  <c r="BP59" i="1"/>
  <c r="BQ59" i="1"/>
  <c r="BR59" i="1"/>
  <c r="BS59" i="1"/>
  <c r="BT59" i="1"/>
  <c r="BU59" i="1"/>
  <c r="BV59" i="1"/>
  <c r="BW59" i="1"/>
  <c r="BX59" i="1"/>
  <c r="BY59" i="1"/>
  <c r="BZ59" i="1"/>
  <c r="CA59" i="1"/>
  <c r="CB59" i="1"/>
  <c r="CC59" i="1"/>
  <c r="CD59" i="1"/>
  <c r="H60" i="1"/>
  <c r="I60" i="1"/>
  <c r="J60" i="1"/>
  <c r="K60" i="1"/>
  <c r="L60" i="1"/>
  <c r="M60" i="1"/>
  <c r="N60" i="1"/>
  <c r="O60" i="1"/>
  <c r="P60" i="1"/>
  <c r="Q60" i="1"/>
  <c r="R60" i="1"/>
  <c r="S60" i="1"/>
  <c r="T60" i="1"/>
  <c r="U60" i="1"/>
  <c r="V60" i="1"/>
  <c r="W60" i="1"/>
  <c r="X60" i="1"/>
  <c r="Y60" i="1"/>
  <c r="Z60" i="1"/>
  <c r="AA60" i="1"/>
  <c r="AB60" i="1"/>
  <c r="AC60" i="1"/>
  <c r="AD60" i="1"/>
  <c r="AE60" i="1"/>
  <c r="AF60" i="1"/>
  <c r="AG60" i="1"/>
  <c r="AH60" i="1"/>
  <c r="AI60" i="1"/>
  <c r="AJ60" i="1"/>
  <c r="AK60" i="1"/>
  <c r="AL60" i="1"/>
  <c r="AM60" i="1"/>
  <c r="AN60" i="1"/>
  <c r="AO60" i="1"/>
  <c r="AP60" i="1"/>
  <c r="AQ60" i="1"/>
  <c r="AR60" i="1"/>
  <c r="AS60" i="1"/>
  <c r="AT60" i="1"/>
  <c r="AU60" i="1"/>
  <c r="AV60" i="1"/>
  <c r="AW60" i="1"/>
  <c r="AX60" i="1"/>
  <c r="AY60" i="1"/>
  <c r="AZ60" i="1"/>
  <c r="BA60" i="1"/>
  <c r="BB60" i="1"/>
  <c r="BC60" i="1"/>
  <c r="BD60" i="1"/>
  <c r="BE60" i="1"/>
  <c r="BF60" i="1"/>
  <c r="BG60" i="1"/>
  <c r="BH60" i="1"/>
  <c r="BI60" i="1"/>
  <c r="BJ60" i="1"/>
  <c r="BK60" i="1"/>
  <c r="BL60" i="1"/>
  <c r="BM60" i="1"/>
  <c r="BN60" i="1"/>
  <c r="BO60" i="1"/>
  <c r="BP60" i="1"/>
  <c r="BQ60" i="1"/>
  <c r="BR60" i="1"/>
  <c r="BS60" i="1"/>
  <c r="BT60" i="1"/>
  <c r="BU60" i="1"/>
  <c r="BV60" i="1"/>
  <c r="BW60" i="1"/>
  <c r="BX60" i="1"/>
  <c r="BY60" i="1"/>
  <c r="BZ60" i="1"/>
  <c r="CA60" i="1"/>
  <c r="CB60" i="1"/>
  <c r="CC60" i="1"/>
  <c r="CD60" i="1"/>
  <c r="H61" i="1"/>
  <c r="I61" i="1"/>
  <c r="J61" i="1"/>
  <c r="K61" i="1"/>
  <c r="L61" i="1"/>
  <c r="M61" i="1"/>
  <c r="N61" i="1"/>
  <c r="O61" i="1"/>
  <c r="P61" i="1"/>
  <c r="Q61" i="1"/>
  <c r="R61" i="1"/>
  <c r="S61" i="1"/>
  <c r="T61" i="1"/>
  <c r="U61" i="1"/>
  <c r="V61" i="1"/>
  <c r="W61" i="1"/>
  <c r="X61" i="1"/>
  <c r="Y61" i="1"/>
  <c r="Z61" i="1"/>
  <c r="AA61" i="1"/>
  <c r="AB61" i="1"/>
  <c r="AC61" i="1"/>
  <c r="AD61" i="1"/>
  <c r="AE61" i="1"/>
  <c r="AF61" i="1"/>
  <c r="AG61" i="1"/>
  <c r="AH61" i="1"/>
  <c r="AI61" i="1"/>
  <c r="AJ61" i="1"/>
  <c r="AK61" i="1"/>
  <c r="AL61" i="1"/>
  <c r="AM61" i="1"/>
  <c r="AN61" i="1"/>
  <c r="AO61" i="1"/>
  <c r="AP61" i="1"/>
  <c r="AQ61" i="1"/>
  <c r="AR61" i="1"/>
  <c r="AS61" i="1"/>
  <c r="AT61" i="1"/>
  <c r="AU61" i="1"/>
  <c r="AV61" i="1"/>
  <c r="AW61" i="1"/>
  <c r="AX61" i="1"/>
  <c r="AY61" i="1"/>
  <c r="AZ61" i="1"/>
  <c r="BA61" i="1"/>
  <c r="BB61" i="1"/>
  <c r="BC61" i="1"/>
  <c r="BD61" i="1"/>
  <c r="BE61" i="1"/>
  <c r="BF61" i="1"/>
  <c r="BG61" i="1"/>
  <c r="BH61" i="1"/>
  <c r="BI61" i="1"/>
  <c r="BJ61" i="1"/>
  <c r="BK61" i="1"/>
  <c r="BL61" i="1"/>
  <c r="BM61" i="1"/>
  <c r="BN61" i="1"/>
  <c r="BO61" i="1"/>
  <c r="BP61" i="1"/>
  <c r="BQ61" i="1"/>
  <c r="BR61" i="1"/>
  <c r="BS61" i="1"/>
  <c r="BT61" i="1"/>
  <c r="BU61" i="1"/>
  <c r="BV61" i="1"/>
  <c r="BW61" i="1"/>
  <c r="BX61" i="1"/>
  <c r="BY61" i="1"/>
  <c r="BZ61" i="1"/>
  <c r="CA61" i="1"/>
  <c r="CB61" i="1"/>
  <c r="CC61" i="1"/>
  <c r="CD61" i="1"/>
  <c r="H62" i="1"/>
  <c r="I62" i="1"/>
  <c r="J62" i="1"/>
  <c r="K62" i="1"/>
  <c r="L62" i="1"/>
  <c r="M62" i="1"/>
  <c r="N62" i="1"/>
  <c r="O62" i="1"/>
  <c r="P62" i="1"/>
  <c r="Q62" i="1"/>
  <c r="R62" i="1"/>
  <c r="S62" i="1"/>
  <c r="T62" i="1"/>
  <c r="U62" i="1"/>
  <c r="V62" i="1"/>
  <c r="W62" i="1"/>
  <c r="X62" i="1"/>
  <c r="Y62" i="1"/>
  <c r="Z62" i="1"/>
  <c r="AA62" i="1"/>
  <c r="AB62" i="1"/>
  <c r="AC62" i="1"/>
  <c r="AD62" i="1"/>
  <c r="AE62" i="1"/>
  <c r="AF62" i="1"/>
  <c r="AG62" i="1"/>
  <c r="AH62" i="1"/>
  <c r="AI62" i="1"/>
  <c r="AJ62" i="1"/>
  <c r="AK62" i="1"/>
  <c r="AL62" i="1"/>
  <c r="AM62" i="1"/>
  <c r="AN62" i="1"/>
  <c r="AO62" i="1"/>
  <c r="AP62" i="1"/>
  <c r="AQ62" i="1"/>
  <c r="AR62" i="1"/>
  <c r="AS62" i="1"/>
  <c r="AT62" i="1"/>
  <c r="AU62" i="1"/>
  <c r="AV62" i="1"/>
  <c r="AW62" i="1"/>
  <c r="AX62" i="1"/>
  <c r="AY62" i="1"/>
  <c r="AZ62" i="1"/>
  <c r="BA62" i="1"/>
  <c r="BB62" i="1"/>
  <c r="BC62" i="1"/>
  <c r="BD62" i="1"/>
  <c r="BE62" i="1"/>
  <c r="BF62" i="1"/>
  <c r="BG62" i="1"/>
  <c r="BH62" i="1"/>
  <c r="BI62" i="1"/>
  <c r="BJ62" i="1"/>
  <c r="BK62" i="1"/>
  <c r="BL62" i="1"/>
  <c r="BM62" i="1"/>
  <c r="BN62" i="1"/>
  <c r="BO62" i="1"/>
  <c r="BP62" i="1"/>
  <c r="BQ62" i="1"/>
  <c r="BR62" i="1"/>
  <c r="BS62" i="1"/>
  <c r="BT62" i="1"/>
  <c r="BU62" i="1"/>
  <c r="BV62" i="1"/>
  <c r="BW62" i="1"/>
  <c r="BX62" i="1"/>
  <c r="BY62" i="1"/>
  <c r="BZ62" i="1"/>
  <c r="CA62" i="1"/>
  <c r="CB62" i="1"/>
  <c r="CC62" i="1"/>
  <c r="CD62"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B63" i="1"/>
  <c r="BC63" i="1"/>
  <c r="BD63" i="1"/>
  <c r="BE63" i="1"/>
  <c r="BF63" i="1"/>
  <c r="BG63" i="1"/>
  <c r="BH63" i="1"/>
  <c r="BI63" i="1"/>
  <c r="BJ63" i="1"/>
  <c r="BK63" i="1"/>
  <c r="BL63" i="1"/>
  <c r="BM63" i="1"/>
  <c r="BN63" i="1"/>
  <c r="BO63" i="1"/>
  <c r="BP63" i="1"/>
  <c r="BQ63" i="1"/>
  <c r="BR63" i="1"/>
  <c r="BS63" i="1"/>
  <c r="BT63" i="1"/>
  <c r="BU63" i="1"/>
  <c r="BV63" i="1"/>
  <c r="BW63" i="1"/>
  <c r="BX63" i="1"/>
  <c r="BY63" i="1"/>
  <c r="BZ63" i="1"/>
  <c r="CA63" i="1"/>
  <c r="CB63" i="1"/>
  <c r="CC63" i="1"/>
  <c r="CD63" i="1"/>
  <c r="H64" i="1"/>
  <c r="I64" i="1"/>
  <c r="J64" i="1"/>
  <c r="K64" i="1"/>
  <c r="L64" i="1"/>
  <c r="M64" i="1"/>
  <c r="N64" i="1"/>
  <c r="O64" i="1"/>
  <c r="P64" i="1"/>
  <c r="Q64" i="1"/>
  <c r="R64" i="1"/>
  <c r="S64" i="1"/>
  <c r="T64" i="1"/>
  <c r="U64" i="1"/>
  <c r="V64" i="1"/>
  <c r="W64" i="1"/>
  <c r="X64" i="1"/>
  <c r="Y64" i="1"/>
  <c r="Z64" i="1"/>
  <c r="AA64" i="1"/>
  <c r="AB64" i="1"/>
  <c r="AC64" i="1"/>
  <c r="AD64" i="1"/>
  <c r="AE64" i="1"/>
  <c r="AF64" i="1"/>
  <c r="AG64" i="1"/>
  <c r="AH64" i="1"/>
  <c r="AI64" i="1"/>
  <c r="AJ64" i="1"/>
  <c r="AK64" i="1"/>
  <c r="AL64" i="1"/>
  <c r="AM64" i="1"/>
  <c r="AN64" i="1"/>
  <c r="AO64" i="1"/>
  <c r="AP64" i="1"/>
  <c r="AQ64" i="1"/>
  <c r="AR64" i="1"/>
  <c r="AS64" i="1"/>
  <c r="AT64" i="1"/>
  <c r="AU64" i="1"/>
  <c r="AV64" i="1"/>
  <c r="AW64" i="1"/>
  <c r="AX64" i="1"/>
  <c r="AY64" i="1"/>
  <c r="AZ64" i="1"/>
  <c r="BA64" i="1"/>
  <c r="BB64" i="1"/>
  <c r="BC64" i="1"/>
  <c r="BD64" i="1"/>
  <c r="BE64" i="1"/>
  <c r="BF64" i="1"/>
  <c r="BG64" i="1"/>
  <c r="BH64" i="1"/>
  <c r="BI64" i="1"/>
  <c r="BJ64" i="1"/>
  <c r="BK64" i="1"/>
  <c r="BL64" i="1"/>
  <c r="BM64" i="1"/>
  <c r="BN64" i="1"/>
  <c r="BO64" i="1"/>
  <c r="BP64" i="1"/>
  <c r="BQ64" i="1"/>
  <c r="BR64" i="1"/>
  <c r="BS64" i="1"/>
  <c r="BT64" i="1"/>
  <c r="BU64" i="1"/>
  <c r="BV64" i="1"/>
  <c r="BW64" i="1"/>
  <c r="BX64" i="1"/>
  <c r="BY64" i="1"/>
  <c r="BZ64" i="1"/>
  <c r="CA64" i="1"/>
  <c r="CB64" i="1"/>
  <c r="CC64" i="1"/>
  <c r="CD64" i="1"/>
  <c r="H65" i="1"/>
  <c r="I65" i="1"/>
  <c r="J65" i="1"/>
  <c r="K65" i="1"/>
  <c r="L65" i="1"/>
  <c r="M65" i="1"/>
  <c r="N65" i="1"/>
  <c r="O65" i="1"/>
  <c r="P65" i="1"/>
  <c r="Q65" i="1"/>
  <c r="R65" i="1"/>
  <c r="S65" i="1"/>
  <c r="T65" i="1"/>
  <c r="U65" i="1"/>
  <c r="V65" i="1"/>
  <c r="W65" i="1"/>
  <c r="X65" i="1"/>
  <c r="Y65" i="1"/>
  <c r="Z65" i="1"/>
  <c r="AA65" i="1"/>
  <c r="AB65" i="1"/>
  <c r="AC65" i="1"/>
  <c r="AD65" i="1"/>
  <c r="AE65" i="1"/>
  <c r="AF65" i="1"/>
  <c r="AG65" i="1"/>
  <c r="AH65" i="1"/>
  <c r="AI65" i="1"/>
  <c r="AJ65" i="1"/>
  <c r="AK65" i="1"/>
  <c r="AL65" i="1"/>
  <c r="AM65" i="1"/>
  <c r="AN65" i="1"/>
  <c r="AO65" i="1"/>
  <c r="AP65" i="1"/>
  <c r="AQ65" i="1"/>
  <c r="AR65" i="1"/>
  <c r="AS65" i="1"/>
  <c r="AT65" i="1"/>
  <c r="AU65" i="1"/>
  <c r="AV65" i="1"/>
  <c r="AW65" i="1"/>
  <c r="AX65" i="1"/>
  <c r="AY65" i="1"/>
  <c r="AZ65" i="1"/>
  <c r="BA65" i="1"/>
  <c r="BB65" i="1"/>
  <c r="BC65" i="1"/>
  <c r="BD65" i="1"/>
  <c r="BE65" i="1"/>
  <c r="BF65" i="1"/>
  <c r="BG65" i="1"/>
  <c r="BH65" i="1"/>
  <c r="BI65" i="1"/>
  <c r="BJ65" i="1"/>
  <c r="BK65" i="1"/>
  <c r="BL65" i="1"/>
  <c r="BM65" i="1"/>
  <c r="BN65" i="1"/>
  <c r="BO65" i="1"/>
  <c r="BP65" i="1"/>
  <c r="BQ65" i="1"/>
  <c r="BR65" i="1"/>
  <c r="BS65" i="1"/>
  <c r="BT65" i="1"/>
  <c r="BU65" i="1"/>
  <c r="BV65" i="1"/>
  <c r="BW65" i="1"/>
  <c r="BX65" i="1"/>
  <c r="BY65" i="1"/>
  <c r="BZ65" i="1"/>
  <c r="CA65" i="1"/>
  <c r="CB65" i="1"/>
  <c r="CC65" i="1"/>
  <c r="CD65" i="1"/>
  <c r="H66" i="1"/>
  <c r="I66" i="1"/>
  <c r="J66" i="1"/>
  <c r="K66" i="1"/>
  <c r="L66" i="1"/>
  <c r="M66" i="1"/>
  <c r="N66" i="1"/>
  <c r="O66" i="1"/>
  <c r="P66" i="1"/>
  <c r="Q66" i="1"/>
  <c r="R66" i="1"/>
  <c r="S66" i="1"/>
  <c r="T66" i="1"/>
  <c r="U66" i="1"/>
  <c r="V66" i="1"/>
  <c r="W66" i="1"/>
  <c r="X66" i="1"/>
  <c r="Y66" i="1"/>
  <c r="Z66" i="1"/>
  <c r="AA66" i="1"/>
  <c r="AB66" i="1"/>
  <c r="AC66" i="1"/>
  <c r="AD66" i="1"/>
  <c r="AE66" i="1"/>
  <c r="AF66" i="1"/>
  <c r="AG66" i="1"/>
  <c r="AH66" i="1"/>
  <c r="AI66" i="1"/>
  <c r="AJ66" i="1"/>
  <c r="AK66" i="1"/>
  <c r="AL66" i="1"/>
  <c r="AM66" i="1"/>
  <c r="AN66" i="1"/>
  <c r="AO66" i="1"/>
  <c r="AP66" i="1"/>
  <c r="AQ66" i="1"/>
  <c r="AR66" i="1"/>
  <c r="AS66" i="1"/>
  <c r="AT66" i="1"/>
  <c r="AU66" i="1"/>
  <c r="AV66" i="1"/>
  <c r="AW66" i="1"/>
  <c r="AX66" i="1"/>
  <c r="AY66" i="1"/>
  <c r="AZ66" i="1"/>
  <c r="BA66" i="1"/>
  <c r="BB66" i="1"/>
  <c r="BC66" i="1"/>
  <c r="BD66" i="1"/>
  <c r="BE66" i="1"/>
  <c r="BF66" i="1"/>
  <c r="BG66" i="1"/>
  <c r="BH66" i="1"/>
  <c r="BI66" i="1"/>
  <c r="BJ66" i="1"/>
  <c r="BK66" i="1"/>
  <c r="BL66" i="1"/>
  <c r="BM66" i="1"/>
  <c r="BN66" i="1"/>
  <c r="BO66" i="1"/>
  <c r="BP66" i="1"/>
  <c r="BQ66" i="1"/>
  <c r="BR66" i="1"/>
  <c r="BS66" i="1"/>
  <c r="BT66" i="1"/>
  <c r="BU66" i="1"/>
  <c r="BV66" i="1"/>
  <c r="BW66" i="1"/>
  <c r="BX66" i="1"/>
  <c r="BY66" i="1"/>
  <c r="BZ66" i="1"/>
  <c r="CA66" i="1"/>
  <c r="CB66" i="1"/>
  <c r="CC66" i="1"/>
  <c r="CD66" i="1"/>
  <c r="H67" i="1"/>
  <c r="I67" i="1"/>
  <c r="J67" i="1"/>
  <c r="K67" i="1"/>
  <c r="L67" i="1"/>
  <c r="M67" i="1"/>
  <c r="N67" i="1"/>
  <c r="O67" i="1"/>
  <c r="P67" i="1"/>
  <c r="Q67" i="1"/>
  <c r="R67" i="1"/>
  <c r="S67" i="1"/>
  <c r="T67" i="1"/>
  <c r="U67" i="1"/>
  <c r="V67" i="1"/>
  <c r="W67" i="1"/>
  <c r="X67" i="1"/>
  <c r="Y67" i="1"/>
  <c r="Z67" i="1"/>
  <c r="AA67" i="1"/>
  <c r="AB67" i="1"/>
  <c r="AC67" i="1"/>
  <c r="AD67" i="1"/>
  <c r="AE67" i="1"/>
  <c r="AF67" i="1"/>
  <c r="AG67" i="1"/>
  <c r="AH67" i="1"/>
  <c r="AI67" i="1"/>
  <c r="AJ67" i="1"/>
  <c r="AK67" i="1"/>
  <c r="AL67" i="1"/>
  <c r="AM67" i="1"/>
  <c r="AN67" i="1"/>
  <c r="AO67" i="1"/>
  <c r="AP67" i="1"/>
  <c r="AQ67" i="1"/>
  <c r="AR67" i="1"/>
  <c r="AS67" i="1"/>
  <c r="AT67" i="1"/>
  <c r="AU67" i="1"/>
  <c r="AV67" i="1"/>
  <c r="AW67" i="1"/>
  <c r="AX67" i="1"/>
  <c r="AY67" i="1"/>
  <c r="AZ67" i="1"/>
  <c r="BA67" i="1"/>
  <c r="BB67" i="1"/>
  <c r="BC67" i="1"/>
  <c r="BD67" i="1"/>
  <c r="BE67" i="1"/>
  <c r="BF67" i="1"/>
  <c r="BG67" i="1"/>
  <c r="BH67" i="1"/>
  <c r="BI67" i="1"/>
  <c r="BJ67" i="1"/>
  <c r="BK67" i="1"/>
  <c r="BL67" i="1"/>
  <c r="BM67" i="1"/>
  <c r="BN67" i="1"/>
  <c r="BO67" i="1"/>
  <c r="BP67" i="1"/>
  <c r="BQ67" i="1"/>
  <c r="BR67" i="1"/>
  <c r="BS67" i="1"/>
  <c r="BT67" i="1"/>
  <c r="BU67" i="1"/>
  <c r="BV67" i="1"/>
  <c r="BW67" i="1"/>
  <c r="BX67" i="1"/>
  <c r="BY67" i="1"/>
  <c r="BZ67" i="1"/>
  <c r="CA67" i="1"/>
  <c r="CB67" i="1"/>
  <c r="CC67" i="1"/>
  <c r="CD67" i="1"/>
  <c r="H68" i="1"/>
  <c r="I68" i="1"/>
  <c r="J68" i="1"/>
  <c r="K68" i="1"/>
  <c r="L68" i="1"/>
  <c r="M68" i="1"/>
  <c r="N68" i="1"/>
  <c r="O68" i="1"/>
  <c r="P68" i="1"/>
  <c r="Q68" i="1"/>
  <c r="R68" i="1"/>
  <c r="S68" i="1"/>
  <c r="T68" i="1"/>
  <c r="U68" i="1"/>
  <c r="V68" i="1"/>
  <c r="W68" i="1"/>
  <c r="X68" i="1"/>
  <c r="Y68" i="1"/>
  <c r="Z68" i="1"/>
  <c r="AA68" i="1"/>
  <c r="AB68" i="1"/>
  <c r="AC68" i="1"/>
  <c r="AD68" i="1"/>
  <c r="AE68" i="1"/>
  <c r="AF68" i="1"/>
  <c r="AG68" i="1"/>
  <c r="AH68" i="1"/>
  <c r="AI68" i="1"/>
  <c r="AJ68" i="1"/>
  <c r="AK68" i="1"/>
  <c r="AL68" i="1"/>
  <c r="AM68" i="1"/>
  <c r="AN68" i="1"/>
  <c r="AO68" i="1"/>
  <c r="AP68" i="1"/>
  <c r="AQ68" i="1"/>
  <c r="AR68" i="1"/>
  <c r="AS68" i="1"/>
  <c r="AT68" i="1"/>
  <c r="AU68" i="1"/>
  <c r="AV68" i="1"/>
  <c r="AW68" i="1"/>
  <c r="AX68" i="1"/>
  <c r="AY68" i="1"/>
  <c r="AZ68" i="1"/>
  <c r="BA68" i="1"/>
  <c r="BB68" i="1"/>
  <c r="BC68" i="1"/>
  <c r="BD68" i="1"/>
  <c r="BE68" i="1"/>
  <c r="BF68" i="1"/>
  <c r="BG68" i="1"/>
  <c r="BH68" i="1"/>
  <c r="BI68" i="1"/>
  <c r="BJ68" i="1"/>
  <c r="BK68" i="1"/>
  <c r="BL68" i="1"/>
  <c r="BM68" i="1"/>
  <c r="BN68" i="1"/>
  <c r="BO68" i="1"/>
  <c r="BP68" i="1"/>
  <c r="BQ68" i="1"/>
  <c r="BR68" i="1"/>
  <c r="BS68" i="1"/>
  <c r="BT68" i="1"/>
  <c r="BU68" i="1"/>
  <c r="BV68" i="1"/>
  <c r="BW68" i="1"/>
  <c r="BX68" i="1"/>
  <c r="BY68" i="1"/>
  <c r="BZ68" i="1"/>
  <c r="CA68" i="1"/>
  <c r="CB68" i="1"/>
  <c r="CC68" i="1"/>
  <c r="CD68" i="1"/>
  <c r="H69" i="1"/>
  <c r="I69" i="1"/>
  <c r="J69" i="1"/>
  <c r="K69" i="1"/>
  <c r="L69" i="1"/>
  <c r="M69" i="1"/>
  <c r="N69" i="1"/>
  <c r="O69" i="1"/>
  <c r="P69" i="1"/>
  <c r="Q69" i="1"/>
  <c r="R69" i="1"/>
  <c r="S69" i="1"/>
  <c r="T69" i="1"/>
  <c r="U69" i="1"/>
  <c r="V69" i="1"/>
  <c r="W69" i="1"/>
  <c r="X69" i="1"/>
  <c r="Y69" i="1"/>
  <c r="Z69" i="1"/>
  <c r="AA69" i="1"/>
  <c r="AB69" i="1"/>
  <c r="AC69" i="1"/>
  <c r="AD69" i="1"/>
  <c r="AE69" i="1"/>
  <c r="AF69" i="1"/>
  <c r="AG69" i="1"/>
  <c r="AH69" i="1"/>
  <c r="AI69" i="1"/>
  <c r="AJ69" i="1"/>
  <c r="AK69" i="1"/>
  <c r="AL69" i="1"/>
  <c r="AM69" i="1"/>
  <c r="AN69" i="1"/>
  <c r="AO69" i="1"/>
  <c r="AP69" i="1"/>
  <c r="AQ69" i="1"/>
  <c r="AR69" i="1"/>
  <c r="AS69" i="1"/>
  <c r="AT69" i="1"/>
  <c r="AU69" i="1"/>
  <c r="AV69" i="1"/>
  <c r="AW69" i="1"/>
  <c r="AX69" i="1"/>
  <c r="AY69" i="1"/>
  <c r="AZ69" i="1"/>
  <c r="BA69" i="1"/>
  <c r="BB69" i="1"/>
  <c r="BC69" i="1"/>
  <c r="BD69" i="1"/>
  <c r="BE69" i="1"/>
  <c r="BF69" i="1"/>
  <c r="BG69" i="1"/>
  <c r="BH69" i="1"/>
  <c r="BI69" i="1"/>
  <c r="BJ69" i="1"/>
  <c r="BK69" i="1"/>
  <c r="BL69" i="1"/>
  <c r="BM69" i="1"/>
  <c r="BN69" i="1"/>
  <c r="BO69" i="1"/>
  <c r="BP69" i="1"/>
  <c r="BQ69" i="1"/>
  <c r="BR69" i="1"/>
  <c r="BS69" i="1"/>
  <c r="BT69" i="1"/>
  <c r="BU69" i="1"/>
  <c r="BV69" i="1"/>
  <c r="BW69" i="1"/>
  <c r="BX69" i="1"/>
  <c r="BY69" i="1"/>
  <c r="BZ69" i="1"/>
  <c r="CA69" i="1"/>
  <c r="CB69" i="1"/>
  <c r="CC69" i="1"/>
  <c r="CD69" i="1"/>
  <c r="H71" i="1"/>
  <c r="I71" i="1"/>
  <c r="J71" i="1"/>
  <c r="K71" i="1"/>
  <c r="L71" i="1"/>
  <c r="M71" i="1"/>
  <c r="N71" i="1"/>
  <c r="O71" i="1"/>
  <c r="P71" i="1"/>
  <c r="Q71" i="1"/>
  <c r="R71" i="1"/>
  <c r="S71" i="1"/>
  <c r="T71" i="1"/>
  <c r="U71" i="1"/>
  <c r="V71" i="1"/>
  <c r="W71" i="1"/>
  <c r="X71" i="1"/>
  <c r="Y71" i="1"/>
  <c r="Z71" i="1"/>
  <c r="AA71" i="1"/>
  <c r="AB71" i="1"/>
  <c r="AC71" i="1"/>
  <c r="AD71" i="1"/>
  <c r="AE71" i="1"/>
  <c r="AF71" i="1"/>
  <c r="AG71" i="1"/>
  <c r="AH71" i="1"/>
  <c r="AI71" i="1"/>
  <c r="AJ71" i="1"/>
  <c r="AK71" i="1"/>
  <c r="AL71" i="1"/>
  <c r="AM71" i="1"/>
  <c r="AN71" i="1"/>
  <c r="AO71" i="1"/>
  <c r="AP71" i="1"/>
  <c r="AQ71" i="1"/>
  <c r="AR71" i="1"/>
  <c r="AS71" i="1"/>
  <c r="AT71" i="1"/>
  <c r="AU71" i="1"/>
  <c r="AV71" i="1"/>
  <c r="AW71" i="1"/>
  <c r="AX71" i="1"/>
  <c r="AY71" i="1"/>
  <c r="AZ71" i="1"/>
  <c r="BA71" i="1"/>
  <c r="BB71" i="1"/>
  <c r="BC71" i="1"/>
  <c r="BD71" i="1"/>
  <c r="BE71" i="1"/>
  <c r="BF71" i="1"/>
  <c r="BG71" i="1"/>
  <c r="BH71" i="1"/>
  <c r="BI71" i="1"/>
  <c r="BJ71" i="1"/>
  <c r="BK71" i="1"/>
  <c r="BL71" i="1"/>
  <c r="BM71" i="1"/>
  <c r="BN71" i="1"/>
  <c r="BO71" i="1"/>
  <c r="BP71" i="1"/>
  <c r="BQ71" i="1"/>
  <c r="BR71" i="1"/>
  <c r="BS71" i="1"/>
  <c r="BT71" i="1"/>
  <c r="BU71" i="1"/>
  <c r="BV71" i="1"/>
  <c r="BW71" i="1"/>
  <c r="BX71" i="1"/>
  <c r="BY71" i="1"/>
  <c r="BZ71" i="1"/>
  <c r="CA71" i="1"/>
  <c r="CB71" i="1"/>
  <c r="CC71" i="1"/>
  <c r="CD71" i="1"/>
  <c r="H72" i="1"/>
  <c r="I72" i="1"/>
  <c r="J72" i="1"/>
  <c r="K72" i="1"/>
  <c r="L72" i="1"/>
  <c r="M72" i="1"/>
  <c r="N72" i="1"/>
  <c r="O72" i="1"/>
  <c r="P72" i="1"/>
  <c r="Q72" i="1"/>
  <c r="R72" i="1"/>
  <c r="S72" i="1"/>
  <c r="T72" i="1"/>
  <c r="U72" i="1"/>
  <c r="V72" i="1"/>
  <c r="W72" i="1"/>
  <c r="X72" i="1"/>
  <c r="Y72" i="1"/>
  <c r="Z72" i="1"/>
  <c r="AA72" i="1"/>
  <c r="AB72" i="1"/>
  <c r="AC72" i="1"/>
  <c r="AD72" i="1"/>
  <c r="AE72" i="1"/>
  <c r="AF72" i="1"/>
  <c r="AG72" i="1"/>
  <c r="AH72" i="1"/>
  <c r="AI72" i="1"/>
  <c r="AJ72" i="1"/>
  <c r="AK72" i="1"/>
  <c r="AL72" i="1"/>
  <c r="AM72" i="1"/>
  <c r="AN72" i="1"/>
  <c r="AO72" i="1"/>
  <c r="AP72" i="1"/>
  <c r="AQ72" i="1"/>
  <c r="AR72" i="1"/>
  <c r="AS72" i="1"/>
  <c r="AT72" i="1"/>
  <c r="AU72" i="1"/>
  <c r="AV72" i="1"/>
  <c r="AW72" i="1"/>
  <c r="AX72" i="1"/>
  <c r="AY72" i="1"/>
  <c r="AZ72" i="1"/>
  <c r="BA72" i="1"/>
  <c r="BB72" i="1"/>
  <c r="BC72" i="1"/>
  <c r="BD72" i="1"/>
  <c r="BE72" i="1"/>
  <c r="BF72" i="1"/>
  <c r="BG72" i="1"/>
  <c r="BH72" i="1"/>
  <c r="BI72" i="1"/>
  <c r="BJ72" i="1"/>
  <c r="BK72" i="1"/>
  <c r="BL72" i="1"/>
  <c r="BM72" i="1"/>
  <c r="BN72" i="1"/>
  <c r="BO72" i="1"/>
  <c r="BP72" i="1"/>
  <c r="BQ72" i="1"/>
  <c r="BR72" i="1"/>
  <c r="BS72" i="1"/>
  <c r="BT72" i="1"/>
  <c r="BU72" i="1"/>
  <c r="BV72" i="1"/>
  <c r="BW72" i="1"/>
  <c r="BX72" i="1"/>
  <c r="BY72" i="1"/>
  <c r="BZ72" i="1"/>
  <c r="CA72" i="1"/>
  <c r="CB72" i="1"/>
  <c r="CC72" i="1"/>
  <c r="CD72" i="1"/>
  <c r="H73" i="1"/>
  <c r="I73" i="1"/>
  <c r="J73" i="1"/>
  <c r="K73" i="1"/>
  <c r="L73" i="1"/>
  <c r="M73" i="1"/>
  <c r="N73" i="1"/>
  <c r="O73" i="1"/>
  <c r="P73" i="1"/>
  <c r="Q73" i="1"/>
  <c r="R73" i="1"/>
  <c r="S73" i="1"/>
  <c r="T73" i="1"/>
  <c r="U73" i="1"/>
  <c r="V73" i="1"/>
  <c r="W73" i="1"/>
  <c r="X73" i="1"/>
  <c r="Y73" i="1"/>
  <c r="Z73" i="1"/>
  <c r="AA73" i="1"/>
  <c r="AB73" i="1"/>
  <c r="AC73" i="1"/>
  <c r="AD73" i="1"/>
  <c r="AE73" i="1"/>
  <c r="AF73" i="1"/>
  <c r="AG73" i="1"/>
  <c r="AH73" i="1"/>
  <c r="AI73" i="1"/>
  <c r="AJ73" i="1"/>
  <c r="AK73" i="1"/>
  <c r="AL73" i="1"/>
  <c r="AM73" i="1"/>
  <c r="AN73" i="1"/>
  <c r="AO73" i="1"/>
  <c r="AP73" i="1"/>
  <c r="AQ73" i="1"/>
  <c r="AR73" i="1"/>
  <c r="AS73" i="1"/>
  <c r="AT73" i="1"/>
  <c r="AU73" i="1"/>
  <c r="AV73" i="1"/>
  <c r="AW73" i="1"/>
  <c r="AX73" i="1"/>
  <c r="AY73" i="1"/>
  <c r="AZ73" i="1"/>
  <c r="BA73" i="1"/>
  <c r="BB73" i="1"/>
  <c r="BC73" i="1"/>
  <c r="BD73" i="1"/>
  <c r="BE73" i="1"/>
  <c r="BF73" i="1"/>
  <c r="BG73" i="1"/>
  <c r="BH73" i="1"/>
  <c r="BI73" i="1"/>
  <c r="BJ73" i="1"/>
  <c r="BK73" i="1"/>
  <c r="BL73" i="1"/>
  <c r="BM73" i="1"/>
  <c r="BN73" i="1"/>
  <c r="BO73" i="1"/>
  <c r="BP73" i="1"/>
  <c r="BQ73" i="1"/>
  <c r="BR73" i="1"/>
  <c r="BS73" i="1"/>
  <c r="BT73" i="1"/>
  <c r="BU73" i="1"/>
  <c r="BV73" i="1"/>
  <c r="BW73" i="1"/>
  <c r="BX73" i="1"/>
  <c r="BY73" i="1"/>
  <c r="BZ73" i="1"/>
  <c r="CA73" i="1"/>
  <c r="CB73" i="1"/>
  <c r="CC73" i="1"/>
  <c r="CD73" i="1"/>
  <c r="H74" i="1"/>
  <c r="I74" i="1"/>
  <c r="J74" i="1"/>
  <c r="K74" i="1"/>
  <c r="L74" i="1"/>
  <c r="M74" i="1"/>
  <c r="N74" i="1"/>
  <c r="O74" i="1"/>
  <c r="P74" i="1"/>
  <c r="Q74" i="1"/>
  <c r="R74" i="1"/>
  <c r="S74" i="1"/>
  <c r="T74" i="1"/>
  <c r="U74" i="1"/>
  <c r="V74" i="1"/>
  <c r="W74" i="1"/>
  <c r="X74" i="1"/>
  <c r="Y74" i="1"/>
  <c r="Z74" i="1"/>
  <c r="AA74" i="1"/>
  <c r="AB74" i="1"/>
  <c r="AC74" i="1"/>
  <c r="AD74" i="1"/>
  <c r="AE74" i="1"/>
  <c r="AF74" i="1"/>
  <c r="AG74" i="1"/>
  <c r="AH74" i="1"/>
  <c r="AI74" i="1"/>
  <c r="AJ74" i="1"/>
  <c r="AK74" i="1"/>
  <c r="AL74" i="1"/>
  <c r="AM74" i="1"/>
  <c r="AN74" i="1"/>
  <c r="AO74" i="1"/>
  <c r="AP74" i="1"/>
  <c r="AQ74" i="1"/>
  <c r="AR74" i="1"/>
  <c r="AS74" i="1"/>
  <c r="AT74" i="1"/>
  <c r="AU74" i="1"/>
  <c r="AV74" i="1"/>
  <c r="AW74" i="1"/>
  <c r="AX74" i="1"/>
  <c r="AY74" i="1"/>
  <c r="AZ74" i="1"/>
  <c r="BA74" i="1"/>
  <c r="BB74" i="1"/>
  <c r="BC74" i="1"/>
  <c r="BD74" i="1"/>
  <c r="BE74" i="1"/>
  <c r="BF74" i="1"/>
  <c r="BG74" i="1"/>
  <c r="BH74" i="1"/>
  <c r="BI74" i="1"/>
  <c r="BJ74" i="1"/>
  <c r="BK74" i="1"/>
  <c r="BL74" i="1"/>
  <c r="BM74" i="1"/>
  <c r="BN74" i="1"/>
  <c r="BO74" i="1"/>
  <c r="BP74" i="1"/>
  <c r="BQ74" i="1"/>
  <c r="BR74" i="1"/>
  <c r="BS74" i="1"/>
  <c r="BT74" i="1"/>
  <c r="BU74" i="1"/>
  <c r="BV74" i="1"/>
  <c r="BW74" i="1"/>
  <c r="BX74" i="1"/>
  <c r="BY74" i="1"/>
  <c r="BZ74" i="1"/>
  <c r="CA74" i="1"/>
  <c r="CB74" i="1"/>
  <c r="CC74" i="1"/>
  <c r="CD74" i="1"/>
  <c r="H75" i="1"/>
  <c r="I75" i="1"/>
  <c r="J75" i="1"/>
  <c r="K75" i="1"/>
  <c r="L75" i="1"/>
  <c r="M75" i="1"/>
  <c r="N75" i="1"/>
  <c r="O75" i="1"/>
  <c r="P75" i="1"/>
  <c r="Q75" i="1"/>
  <c r="R75" i="1"/>
  <c r="S75" i="1"/>
  <c r="T75" i="1"/>
  <c r="U75" i="1"/>
  <c r="V75" i="1"/>
  <c r="W75" i="1"/>
  <c r="X75" i="1"/>
  <c r="Y75" i="1"/>
  <c r="Z75" i="1"/>
  <c r="AA75" i="1"/>
  <c r="AB75" i="1"/>
  <c r="AC75" i="1"/>
  <c r="AD75" i="1"/>
  <c r="AE75" i="1"/>
  <c r="AF75" i="1"/>
  <c r="AG75" i="1"/>
  <c r="AH75" i="1"/>
  <c r="AI75" i="1"/>
  <c r="AJ75" i="1"/>
  <c r="AK75" i="1"/>
  <c r="AL75" i="1"/>
  <c r="AM75" i="1"/>
  <c r="AN75" i="1"/>
  <c r="AO75" i="1"/>
  <c r="AP75" i="1"/>
  <c r="AQ75" i="1"/>
  <c r="AR75" i="1"/>
  <c r="AS75" i="1"/>
  <c r="AT75" i="1"/>
  <c r="AU75" i="1"/>
  <c r="AV75" i="1"/>
  <c r="AW75" i="1"/>
  <c r="AX75" i="1"/>
  <c r="AY75" i="1"/>
  <c r="AZ75" i="1"/>
  <c r="BA75" i="1"/>
  <c r="BB75" i="1"/>
  <c r="BC75" i="1"/>
  <c r="BD75" i="1"/>
  <c r="BE75" i="1"/>
  <c r="BF75" i="1"/>
  <c r="BG75" i="1"/>
  <c r="BH75" i="1"/>
  <c r="BI75" i="1"/>
  <c r="BJ75" i="1"/>
  <c r="BK75" i="1"/>
  <c r="BL75" i="1"/>
  <c r="BM75" i="1"/>
  <c r="BN75" i="1"/>
  <c r="BO75" i="1"/>
  <c r="BP75" i="1"/>
  <c r="BQ75" i="1"/>
  <c r="BR75" i="1"/>
  <c r="BS75" i="1"/>
  <c r="BT75" i="1"/>
  <c r="BU75" i="1"/>
  <c r="BV75" i="1"/>
  <c r="BW75" i="1"/>
  <c r="BX75" i="1"/>
  <c r="BY75" i="1"/>
  <c r="BZ75" i="1"/>
  <c r="CA75" i="1"/>
  <c r="CB75" i="1"/>
  <c r="CC75" i="1"/>
  <c r="CD75" i="1"/>
  <c r="H76" i="1"/>
  <c r="I76" i="1"/>
  <c r="J76" i="1"/>
  <c r="K76" i="1"/>
  <c r="L76" i="1"/>
  <c r="M76" i="1"/>
  <c r="N76" i="1"/>
  <c r="O76" i="1"/>
  <c r="P76" i="1"/>
  <c r="Q76" i="1"/>
  <c r="R76" i="1"/>
  <c r="S76" i="1"/>
  <c r="T76" i="1"/>
  <c r="U76" i="1"/>
  <c r="V76" i="1"/>
  <c r="W76" i="1"/>
  <c r="X76" i="1"/>
  <c r="Y76" i="1"/>
  <c r="Z76" i="1"/>
  <c r="AA76" i="1"/>
  <c r="AB76" i="1"/>
  <c r="AC76" i="1"/>
  <c r="AD76" i="1"/>
  <c r="AE76" i="1"/>
  <c r="AF76" i="1"/>
  <c r="AG76" i="1"/>
  <c r="AH76" i="1"/>
  <c r="AI76" i="1"/>
  <c r="AJ76" i="1"/>
  <c r="AK76" i="1"/>
  <c r="AL76" i="1"/>
  <c r="AM76" i="1"/>
  <c r="AN76" i="1"/>
  <c r="AO76" i="1"/>
  <c r="AP76" i="1"/>
  <c r="AQ76" i="1"/>
  <c r="AR76" i="1"/>
  <c r="AS76" i="1"/>
  <c r="AT76" i="1"/>
  <c r="AU76" i="1"/>
  <c r="AV76" i="1"/>
  <c r="AW76" i="1"/>
  <c r="AX76" i="1"/>
  <c r="AY76" i="1"/>
  <c r="AZ76" i="1"/>
  <c r="BA76" i="1"/>
  <c r="BB76" i="1"/>
  <c r="BC76" i="1"/>
  <c r="BD76" i="1"/>
  <c r="BE76" i="1"/>
  <c r="BF76" i="1"/>
  <c r="BG76" i="1"/>
  <c r="BH76" i="1"/>
  <c r="BI76" i="1"/>
  <c r="BJ76" i="1"/>
  <c r="BK76" i="1"/>
  <c r="BL76" i="1"/>
  <c r="BM76" i="1"/>
  <c r="BN76" i="1"/>
  <c r="BO76" i="1"/>
  <c r="BP76" i="1"/>
  <c r="BQ76" i="1"/>
  <c r="BR76" i="1"/>
  <c r="BS76" i="1"/>
  <c r="BT76" i="1"/>
  <c r="BU76" i="1"/>
  <c r="BV76" i="1"/>
  <c r="BW76" i="1"/>
  <c r="BX76" i="1"/>
  <c r="BY76" i="1"/>
  <c r="BZ76" i="1"/>
  <c r="CA76" i="1"/>
  <c r="CB76" i="1"/>
  <c r="CC76" i="1"/>
  <c r="CD76" i="1"/>
  <c r="H77" i="1"/>
  <c r="I77" i="1"/>
  <c r="J77" i="1"/>
  <c r="K77" i="1"/>
  <c r="L77" i="1"/>
  <c r="M77" i="1"/>
  <c r="N77" i="1"/>
  <c r="O77" i="1"/>
  <c r="P77" i="1"/>
  <c r="Q77" i="1"/>
  <c r="R77" i="1"/>
  <c r="S77" i="1"/>
  <c r="T77" i="1"/>
  <c r="U77" i="1"/>
  <c r="V77" i="1"/>
  <c r="W77" i="1"/>
  <c r="X77" i="1"/>
  <c r="Y77" i="1"/>
  <c r="Z77" i="1"/>
  <c r="AA77" i="1"/>
  <c r="AB77" i="1"/>
  <c r="AC77" i="1"/>
  <c r="AD77" i="1"/>
  <c r="AE77" i="1"/>
  <c r="AF77" i="1"/>
  <c r="AG77" i="1"/>
  <c r="AH77" i="1"/>
  <c r="AI77" i="1"/>
  <c r="AJ77" i="1"/>
  <c r="AK77" i="1"/>
  <c r="AL77" i="1"/>
  <c r="AM77" i="1"/>
  <c r="AN77" i="1"/>
  <c r="AO77" i="1"/>
  <c r="AP77" i="1"/>
  <c r="AQ77" i="1"/>
  <c r="AR77" i="1"/>
  <c r="AS77" i="1"/>
  <c r="AT77" i="1"/>
  <c r="AU77" i="1"/>
  <c r="AV77" i="1"/>
  <c r="AW77" i="1"/>
  <c r="AX77" i="1"/>
  <c r="AY77" i="1"/>
  <c r="AZ77" i="1"/>
  <c r="BA77" i="1"/>
  <c r="BB77" i="1"/>
  <c r="BC77" i="1"/>
  <c r="BD77" i="1"/>
  <c r="BE77" i="1"/>
  <c r="BF77" i="1"/>
  <c r="BG77" i="1"/>
  <c r="BH77" i="1"/>
  <c r="BI77" i="1"/>
  <c r="BJ77" i="1"/>
  <c r="BK77" i="1"/>
  <c r="BL77" i="1"/>
  <c r="BM77" i="1"/>
  <c r="BN77" i="1"/>
  <c r="BO77" i="1"/>
  <c r="BP77" i="1"/>
  <c r="BQ77" i="1"/>
  <c r="BR77" i="1"/>
  <c r="BS77" i="1"/>
  <c r="BT77" i="1"/>
  <c r="BU77" i="1"/>
  <c r="BV77" i="1"/>
  <c r="BW77" i="1"/>
  <c r="BX77" i="1"/>
  <c r="BY77" i="1"/>
  <c r="BZ77" i="1"/>
  <c r="CA77" i="1"/>
  <c r="CB77" i="1"/>
  <c r="CC77" i="1"/>
  <c r="CD77" i="1"/>
  <c r="H78" i="1"/>
  <c r="I78" i="1"/>
  <c r="J78" i="1"/>
  <c r="K78" i="1"/>
  <c r="L78" i="1"/>
  <c r="M78" i="1"/>
  <c r="N78" i="1"/>
  <c r="O78" i="1"/>
  <c r="P78" i="1"/>
  <c r="Q78" i="1"/>
  <c r="R78" i="1"/>
  <c r="S78" i="1"/>
  <c r="T78" i="1"/>
  <c r="U78" i="1"/>
  <c r="V78" i="1"/>
  <c r="W78" i="1"/>
  <c r="X78" i="1"/>
  <c r="Y78" i="1"/>
  <c r="Z78" i="1"/>
  <c r="AA78" i="1"/>
  <c r="AB78" i="1"/>
  <c r="AC78" i="1"/>
  <c r="AD78" i="1"/>
  <c r="AE78" i="1"/>
  <c r="AF78" i="1"/>
  <c r="AG78" i="1"/>
  <c r="AH78" i="1"/>
  <c r="AI78" i="1"/>
  <c r="AJ78" i="1"/>
  <c r="AK78" i="1"/>
  <c r="AL78" i="1"/>
  <c r="AM78" i="1"/>
  <c r="AN78" i="1"/>
  <c r="AO78" i="1"/>
  <c r="AP78" i="1"/>
  <c r="AQ78" i="1"/>
  <c r="AR78" i="1"/>
  <c r="AS78" i="1"/>
  <c r="AT78" i="1"/>
  <c r="AU78" i="1"/>
  <c r="AV78" i="1"/>
  <c r="AW78" i="1"/>
  <c r="AX78" i="1"/>
  <c r="AY78" i="1"/>
  <c r="AZ78" i="1"/>
  <c r="BA78" i="1"/>
  <c r="BB78" i="1"/>
  <c r="BC78" i="1"/>
  <c r="BD78" i="1"/>
  <c r="BE78" i="1"/>
  <c r="BF78" i="1"/>
  <c r="BG78" i="1"/>
  <c r="BH78" i="1"/>
  <c r="BI78" i="1"/>
  <c r="BJ78" i="1"/>
  <c r="BK78" i="1"/>
  <c r="BL78" i="1"/>
  <c r="BM78" i="1"/>
  <c r="BN78" i="1"/>
  <c r="BO78" i="1"/>
  <c r="BP78" i="1"/>
  <c r="BQ78" i="1"/>
  <c r="BR78" i="1"/>
  <c r="BS78" i="1"/>
  <c r="BT78" i="1"/>
  <c r="BU78" i="1"/>
  <c r="BV78" i="1"/>
  <c r="BW78" i="1"/>
  <c r="BX78" i="1"/>
  <c r="BY78" i="1"/>
  <c r="BZ78" i="1"/>
  <c r="CA78" i="1"/>
  <c r="CB78" i="1"/>
  <c r="CC78" i="1"/>
  <c r="CD78" i="1"/>
  <c r="H79" i="1"/>
  <c r="I79" i="1"/>
  <c r="J79" i="1"/>
  <c r="K79" i="1"/>
  <c r="L79" i="1"/>
  <c r="M79" i="1"/>
  <c r="N79" i="1"/>
  <c r="O79" i="1"/>
  <c r="P79" i="1"/>
  <c r="Q79" i="1"/>
  <c r="R79" i="1"/>
  <c r="S79" i="1"/>
  <c r="T79" i="1"/>
  <c r="U79" i="1"/>
  <c r="V79" i="1"/>
  <c r="W79" i="1"/>
  <c r="X79" i="1"/>
  <c r="Y79" i="1"/>
  <c r="Z79" i="1"/>
  <c r="AA79" i="1"/>
  <c r="AB79" i="1"/>
  <c r="AC79" i="1"/>
  <c r="AD79" i="1"/>
  <c r="AE79" i="1"/>
  <c r="AF79" i="1"/>
  <c r="AG79" i="1"/>
  <c r="AH79" i="1"/>
  <c r="AI79" i="1"/>
  <c r="AJ79" i="1"/>
  <c r="AK79" i="1"/>
  <c r="AL79" i="1"/>
  <c r="AM79" i="1"/>
  <c r="AN79" i="1"/>
  <c r="AO79" i="1"/>
  <c r="AP79" i="1"/>
  <c r="AQ79" i="1"/>
  <c r="AR79" i="1"/>
  <c r="AS79" i="1"/>
  <c r="AT79" i="1"/>
  <c r="AU79" i="1"/>
  <c r="AV79" i="1"/>
  <c r="AW79" i="1"/>
  <c r="AX79" i="1"/>
  <c r="AY79" i="1"/>
  <c r="AZ79" i="1"/>
  <c r="BA79" i="1"/>
  <c r="BB79" i="1"/>
  <c r="BC79" i="1"/>
  <c r="BD79" i="1"/>
  <c r="BE79" i="1"/>
  <c r="BF79" i="1"/>
  <c r="BG79" i="1"/>
  <c r="BH79" i="1"/>
  <c r="BI79" i="1"/>
  <c r="BJ79" i="1"/>
  <c r="BK79" i="1"/>
  <c r="BL79" i="1"/>
  <c r="BM79" i="1"/>
  <c r="BN79" i="1"/>
  <c r="BO79" i="1"/>
  <c r="BP79" i="1"/>
  <c r="BQ79" i="1"/>
  <c r="BR79" i="1"/>
  <c r="BS79" i="1"/>
  <c r="BT79" i="1"/>
  <c r="BU79" i="1"/>
  <c r="BV79" i="1"/>
  <c r="BW79" i="1"/>
  <c r="BX79" i="1"/>
  <c r="BY79" i="1"/>
  <c r="BZ79" i="1"/>
  <c r="CA79" i="1"/>
  <c r="CB79" i="1"/>
  <c r="CC79" i="1"/>
  <c r="CD79" i="1"/>
  <c r="H81" i="1"/>
  <c r="I81" i="1"/>
  <c r="J81" i="1"/>
  <c r="K81" i="1"/>
  <c r="L81" i="1"/>
  <c r="M81" i="1"/>
  <c r="N81" i="1"/>
  <c r="O81" i="1"/>
  <c r="P81" i="1"/>
  <c r="Q81" i="1"/>
  <c r="R81" i="1"/>
  <c r="S81" i="1"/>
  <c r="T81" i="1"/>
  <c r="U81" i="1"/>
  <c r="V81" i="1"/>
  <c r="W81" i="1"/>
  <c r="X81" i="1"/>
  <c r="Y81" i="1"/>
  <c r="Z81" i="1"/>
  <c r="AA81" i="1"/>
  <c r="AB81" i="1"/>
  <c r="AC81" i="1"/>
  <c r="AD81" i="1"/>
  <c r="AE81" i="1"/>
  <c r="AF81" i="1"/>
  <c r="AG81" i="1"/>
  <c r="AH81" i="1"/>
  <c r="AI81" i="1"/>
  <c r="AJ81" i="1"/>
  <c r="AK81" i="1"/>
  <c r="AL81" i="1"/>
  <c r="AM81" i="1"/>
  <c r="AN81" i="1"/>
  <c r="AO81" i="1"/>
  <c r="AP81" i="1"/>
  <c r="AQ81" i="1"/>
  <c r="AR81" i="1"/>
  <c r="AS81" i="1"/>
  <c r="AT81" i="1"/>
  <c r="AU81" i="1"/>
  <c r="AV81" i="1"/>
  <c r="AW81" i="1"/>
  <c r="AX81" i="1"/>
  <c r="AY81" i="1"/>
  <c r="AZ81" i="1"/>
  <c r="BA81" i="1"/>
  <c r="BB81" i="1"/>
  <c r="BC81" i="1"/>
  <c r="BD81" i="1"/>
  <c r="BE81" i="1"/>
  <c r="BF81" i="1"/>
  <c r="BG81" i="1"/>
  <c r="BH81" i="1"/>
  <c r="BI81" i="1"/>
  <c r="BJ81" i="1"/>
  <c r="BK81" i="1"/>
  <c r="BL81" i="1"/>
  <c r="BM81" i="1"/>
  <c r="BN81" i="1"/>
  <c r="BO81" i="1"/>
  <c r="BP81" i="1"/>
  <c r="BQ81" i="1"/>
  <c r="BR81" i="1"/>
  <c r="BS81" i="1"/>
  <c r="BT81" i="1"/>
  <c r="BU81" i="1"/>
  <c r="BV81" i="1"/>
  <c r="BW81" i="1"/>
  <c r="BX81" i="1"/>
  <c r="BY81" i="1"/>
  <c r="BZ81" i="1"/>
  <c r="CA81" i="1"/>
  <c r="CB81" i="1"/>
  <c r="CC81" i="1"/>
  <c r="CD81" i="1"/>
  <c r="H82" i="1"/>
  <c r="I82" i="1"/>
  <c r="J82" i="1"/>
  <c r="K82" i="1"/>
  <c r="L82" i="1"/>
  <c r="M82" i="1"/>
  <c r="N82" i="1"/>
  <c r="O82" i="1"/>
  <c r="P82" i="1"/>
  <c r="Q82" i="1"/>
  <c r="R82" i="1"/>
  <c r="S82" i="1"/>
  <c r="T82" i="1"/>
  <c r="U82" i="1"/>
  <c r="V82" i="1"/>
  <c r="W82" i="1"/>
  <c r="X82" i="1"/>
  <c r="Y82" i="1"/>
  <c r="Z82" i="1"/>
  <c r="AA82" i="1"/>
  <c r="AB82" i="1"/>
  <c r="AC82" i="1"/>
  <c r="AD82" i="1"/>
  <c r="AE82" i="1"/>
  <c r="AF82" i="1"/>
  <c r="AG82" i="1"/>
  <c r="AH82" i="1"/>
  <c r="AI82" i="1"/>
  <c r="AJ82" i="1"/>
  <c r="AK82" i="1"/>
  <c r="AL82" i="1"/>
  <c r="AM82" i="1"/>
  <c r="AN82" i="1"/>
  <c r="AO82" i="1"/>
  <c r="AP82" i="1"/>
  <c r="AQ82" i="1"/>
  <c r="AR82" i="1"/>
  <c r="AS82" i="1"/>
  <c r="AT82" i="1"/>
  <c r="AU82" i="1"/>
  <c r="AV82" i="1"/>
  <c r="AW82" i="1"/>
  <c r="AX82" i="1"/>
  <c r="AY82" i="1"/>
  <c r="AZ82" i="1"/>
  <c r="BA82" i="1"/>
  <c r="BB82" i="1"/>
  <c r="BC82" i="1"/>
  <c r="BD82" i="1"/>
  <c r="BE82" i="1"/>
  <c r="BF82" i="1"/>
  <c r="BG82" i="1"/>
  <c r="BH82" i="1"/>
  <c r="BI82" i="1"/>
  <c r="BJ82" i="1"/>
  <c r="BK82" i="1"/>
  <c r="BL82" i="1"/>
  <c r="BM82" i="1"/>
  <c r="BN82" i="1"/>
  <c r="BO82" i="1"/>
  <c r="BP82" i="1"/>
  <c r="BQ82" i="1"/>
  <c r="BR82" i="1"/>
  <c r="BS82" i="1"/>
  <c r="BT82" i="1"/>
  <c r="BU82" i="1"/>
  <c r="BV82" i="1"/>
  <c r="BW82" i="1"/>
  <c r="BX82" i="1"/>
  <c r="BY82" i="1"/>
  <c r="BZ82" i="1"/>
  <c r="CA82" i="1"/>
  <c r="CB82" i="1"/>
  <c r="CC82" i="1"/>
  <c r="CD82" i="1"/>
  <c r="H83" i="1"/>
  <c r="I83" i="1"/>
  <c r="J83" i="1"/>
  <c r="K83" i="1"/>
  <c r="L83" i="1"/>
  <c r="M83" i="1"/>
  <c r="N83" i="1"/>
  <c r="O83" i="1"/>
  <c r="P83" i="1"/>
  <c r="Q83" i="1"/>
  <c r="R83" i="1"/>
  <c r="S83" i="1"/>
  <c r="T83" i="1"/>
  <c r="U83" i="1"/>
  <c r="V83" i="1"/>
  <c r="W83" i="1"/>
  <c r="X83" i="1"/>
  <c r="Y83" i="1"/>
  <c r="Z83" i="1"/>
  <c r="AA83" i="1"/>
  <c r="AB83" i="1"/>
  <c r="AC83" i="1"/>
  <c r="AD83" i="1"/>
  <c r="AE83" i="1"/>
  <c r="AF83" i="1"/>
  <c r="AG83" i="1"/>
  <c r="AH83" i="1"/>
  <c r="AI83" i="1"/>
  <c r="AJ83" i="1"/>
  <c r="AK83" i="1"/>
  <c r="AL83" i="1"/>
  <c r="AM83" i="1"/>
  <c r="AN83" i="1"/>
  <c r="AO83" i="1"/>
  <c r="AP83" i="1"/>
  <c r="AQ83" i="1"/>
  <c r="AR83" i="1"/>
  <c r="AS83" i="1"/>
  <c r="AT83" i="1"/>
  <c r="AU83" i="1"/>
  <c r="AV83" i="1"/>
  <c r="AW83" i="1"/>
  <c r="AX83" i="1"/>
  <c r="AY83" i="1"/>
  <c r="AZ83" i="1"/>
  <c r="BA83" i="1"/>
  <c r="BB83" i="1"/>
  <c r="BC83" i="1"/>
  <c r="BD83" i="1"/>
  <c r="BE83" i="1"/>
  <c r="BF83" i="1"/>
  <c r="BG83" i="1"/>
  <c r="BH83" i="1"/>
  <c r="BI83" i="1"/>
  <c r="BJ83" i="1"/>
  <c r="BK83" i="1"/>
  <c r="BL83" i="1"/>
  <c r="BM83" i="1"/>
  <c r="BN83" i="1"/>
  <c r="BO83" i="1"/>
  <c r="BP83" i="1"/>
  <c r="BQ83" i="1"/>
  <c r="BR83" i="1"/>
  <c r="BS83" i="1"/>
  <c r="BT83" i="1"/>
  <c r="BU83" i="1"/>
  <c r="BV83" i="1"/>
  <c r="BW83" i="1"/>
  <c r="BX83" i="1"/>
  <c r="BY83" i="1"/>
  <c r="BZ83" i="1"/>
  <c r="CA83" i="1"/>
  <c r="CB83" i="1"/>
  <c r="CC83" i="1"/>
  <c r="CD83" i="1"/>
  <c r="H86" i="1"/>
  <c r="I86" i="1"/>
  <c r="J86" i="1"/>
  <c r="K86" i="1"/>
  <c r="L86" i="1"/>
  <c r="M86" i="1"/>
  <c r="N86" i="1"/>
  <c r="O86" i="1"/>
  <c r="P86" i="1"/>
  <c r="Q86" i="1"/>
  <c r="R86" i="1"/>
  <c r="S86" i="1"/>
  <c r="T86" i="1"/>
  <c r="U86" i="1"/>
  <c r="V86" i="1"/>
  <c r="W86" i="1"/>
  <c r="X86" i="1"/>
  <c r="Y86" i="1"/>
  <c r="Z86" i="1"/>
  <c r="AA86" i="1"/>
  <c r="AB86" i="1"/>
  <c r="AC86" i="1"/>
  <c r="AD86" i="1"/>
  <c r="AE86" i="1"/>
  <c r="AF86" i="1"/>
  <c r="AG86" i="1"/>
  <c r="AH86" i="1"/>
  <c r="AI86" i="1"/>
  <c r="AJ86" i="1"/>
  <c r="AK86" i="1"/>
  <c r="AL86" i="1"/>
  <c r="AM86" i="1"/>
  <c r="AN86" i="1"/>
  <c r="AO86" i="1"/>
  <c r="AP86" i="1"/>
  <c r="AQ86" i="1"/>
  <c r="AR86" i="1"/>
  <c r="AS86" i="1"/>
  <c r="AT86" i="1"/>
  <c r="AU86" i="1"/>
  <c r="AV86" i="1"/>
  <c r="AW86" i="1"/>
  <c r="AX86" i="1"/>
  <c r="AY86" i="1"/>
  <c r="AZ86" i="1"/>
  <c r="BA86" i="1"/>
  <c r="BB86" i="1"/>
  <c r="BC86" i="1"/>
  <c r="BD86" i="1"/>
  <c r="BE86" i="1"/>
  <c r="BF86" i="1"/>
  <c r="BG86" i="1"/>
  <c r="BH86" i="1"/>
  <c r="BI86" i="1"/>
  <c r="BJ86" i="1"/>
  <c r="BK86" i="1"/>
  <c r="BL86" i="1"/>
  <c r="BM86" i="1"/>
  <c r="BN86" i="1"/>
  <c r="BO86" i="1"/>
  <c r="BP86" i="1"/>
  <c r="BQ86" i="1"/>
  <c r="BR86" i="1"/>
  <c r="BS86" i="1"/>
  <c r="BT86" i="1"/>
  <c r="BU86" i="1"/>
  <c r="BV86" i="1"/>
  <c r="BW86" i="1"/>
  <c r="BX86" i="1"/>
  <c r="BY86" i="1"/>
  <c r="BZ86" i="1"/>
  <c r="CA86" i="1"/>
  <c r="CB86" i="1"/>
  <c r="CC86" i="1"/>
  <c r="CD86" i="1"/>
  <c r="H87" i="1"/>
  <c r="I87" i="1"/>
  <c r="J87" i="1"/>
  <c r="K87" i="1"/>
  <c r="L87" i="1"/>
  <c r="M87" i="1"/>
  <c r="N87" i="1"/>
  <c r="O87" i="1"/>
  <c r="P87" i="1"/>
  <c r="Q87" i="1"/>
  <c r="R87" i="1"/>
  <c r="S87" i="1"/>
  <c r="T87" i="1"/>
  <c r="U87" i="1"/>
  <c r="V87" i="1"/>
  <c r="W87" i="1"/>
  <c r="X87" i="1"/>
  <c r="Y87" i="1"/>
  <c r="Z87" i="1"/>
  <c r="AA87" i="1"/>
  <c r="AB87" i="1"/>
  <c r="AC87" i="1"/>
  <c r="AD87" i="1"/>
  <c r="AE87" i="1"/>
  <c r="AF87" i="1"/>
  <c r="AG87" i="1"/>
  <c r="AH87" i="1"/>
  <c r="AI87" i="1"/>
  <c r="AJ87" i="1"/>
  <c r="AK87" i="1"/>
  <c r="AL87" i="1"/>
  <c r="AM87" i="1"/>
  <c r="AN87" i="1"/>
  <c r="AO87" i="1"/>
  <c r="AP87" i="1"/>
  <c r="AQ87" i="1"/>
  <c r="AR87" i="1"/>
  <c r="AS87" i="1"/>
  <c r="AT87" i="1"/>
  <c r="AU87" i="1"/>
  <c r="AV87" i="1"/>
  <c r="AW87" i="1"/>
  <c r="AX87" i="1"/>
  <c r="AY87" i="1"/>
  <c r="AZ87" i="1"/>
  <c r="BA87" i="1"/>
  <c r="BB87" i="1"/>
  <c r="BC87" i="1"/>
  <c r="BD87" i="1"/>
  <c r="BE87" i="1"/>
  <c r="BF87" i="1"/>
  <c r="BG87" i="1"/>
  <c r="BH87" i="1"/>
  <c r="BI87" i="1"/>
  <c r="BJ87" i="1"/>
  <c r="BK87" i="1"/>
  <c r="BL87" i="1"/>
  <c r="BM87" i="1"/>
  <c r="BN87" i="1"/>
  <c r="BO87" i="1"/>
  <c r="BP87" i="1"/>
  <c r="BQ87" i="1"/>
  <c r="BR87" i="1"/>
  <c r="BS87" i="1"/>
  <c r="BT87" i="1"/>
  <c r="BU87" i="1"/>
  <c r="BV87" i="1"/>
  <c r="BW87" i="1"/>
  <c r="BX87" i="1"/>
  <c r="BY87" i="1"/>
  <c r="BZ87" i="1"/>
  <c r="CA87" i="1"/>
  <c r="CB87" i="1"/>
  <c r="CC87" i="1"/>
  <c r="CD87" i="1"/>
  <c r="H88" i="1"/>
  <c r="I88" i="1"/>
  <c r="J88" i="1"/>
  <c r="K88" i="1"/>
  <c r="L88" i="1"/>
  <c r="M88" i="1"/>
  <c r="N88" i="1"/>
  <c r="O88" i="1"/>
  <c r="P88" i="1"/>
  <c r="Q88" i="1"/>
  <c r="R88" i="1"/>
  <c r="S88" i="1"/>
  <c r="T88" i="1"/>
  <c r="U88" i="1"/>
  <c r="V88" i="1"/>
  <c r="W88" i="1"/>
  <c r="X88" i="1"/>
  <c r="Y88" i="1"/>
  <c r="Z88" i="1"/>
  <c r="AA88" i="1"/>
  <c r="AB88" i="1"/>
  <c r="AC88" i="1"/>
  <c r="AD88" i="1"/>
  <c r="AE88" i="1"/>
  <c r="AF88" i="1"/>
  <c r="AG88" i="1"/>
  <c r="AH88" i="1"/>
  <c r="AI88" i="1"/>
  <c r="AJ88" i="1"/>
  <c r="AK88" i="1"/>
  <c r="AL88" i="1"/>
  <c r="AM88" i="1"/>
  <c r="AN88" i="1"/>
  <c r="AO88" i="1"/>
  <c r="AP88" i="1"/>
  <c r="AQ88" i="1"/>
  <c r="AR88" i="1"/>
  <c r="AS88" i="1"/>
  <c r="AT88" i="1"/>
  <c r="AU88" i="1"/>
  <c r="AV88" i="1"/>
  <c r="AW88" i="1"/>
  <c r="AX88" i="1"/>
  <c r="AY88" i="1"/>
  <c r="AZ88" i="1"/>
  <c r="BA88" i="1"/>
  <c r="BB88" i="1"/>
  <c r="BC88" i="1"/>
  <c r="BD88" i="1"/>
  <c r="BE88" i="1"/>
  <c r="BF88" i="1"/>
  <c r="BG88" i="1"/>
  <c r="BH88" i="1"/>
  <c r="BI88" i="1"/>
  <c r="BJ88" i="1"/>
  <c r="BK88" i="1"/>
  <c r="BL88" i="1"/>
  <c r="BM88" i="1"/>
  <c r="BN88" i="1"/>
  <c r="BO88" i="1"/>
  <c r="BP88" i="1"/>
  <c r="BQ88" i="1"/>
  <c r="BR88" i="1"/>
  <c r="BS88" i="1"/>
  <c r="BT88" i="1"/>
  <c r="BU88" i="1"/>
  <c r="BV88" i="1"/>
  <c r="BW88" i="1"/>
  <c r="BX88" i="1"/>
  <c r="BY88" i="1"/>
  <c r="BZ88" i="1"/>
  <c r="CA88" i="1"/>
  <c r="CB88" i="1"/>
  <c r="CC88" i="1"/>
  <c r="CD88" i="1"/>
  <c r="H90" i="1"/>
  <c r="I90" i="1"/>
  <c r="J90" i="1"/>
  <c r="K90" i="1"/>
  <c r="L90" i="1"/>
  <c r="M90" i="1"/>
  <c r="N90" i="1"/>
  <c r="O90" i="1"/>
  <c r="P90" i="1"/>
  <c r="Q90" i="1"/>
  <c r="R90" i="1"/>
  <c r="S90" i="1"/>
  <c r="T90" i="1"/>
  <c r="U90" i="1"/>
  <c r="V90" i="1"/>
  <c r="W90" i="1"/>
  <c r="X90" i="1"/>
  <c r="Y90" i="1"/>
  <c r="Z90" i="1"/>
  <c r="AA90" i="1"/>
  <c r="AB90" i="1"/>
  <c r="AC90" i="1"/>
  <c r="AD90" i="1"/>
  <c r="AE90" i="1"/>
  <c r="AF90" i="1"/>
  <c r="AG90" i="1"/>
  <c r="AH90" i="1"/>
  <c r="AI90" i="1"/>
  <c r="AJ90" i="1"/>
  <c r="AK90" i="1"/>
  <c r="AL90" i="1"/>
  <c r="AM90" i="1"/>
  <c r="AN90" i="1"/>
  <c r="AO90" i="1"/>
  <c r="AP90" i="1"/>
  <c r="AQ90" i="1"/>
  <c r="AR90" i="1"/>
  <c r="AS90" i="1"/>
  <c r="AT90" i="1"/>
  <c r="AU90" i="1"/>
  <c r="AV90" i="1"/>
  <c r="AW90" i="1"/>
  <c r="AX90" i="1"/>
  <c r="AY90" i="1"/>
  <c r="AZ90" i="1"/>
  <c r="BA90" i="1"/>
  <c r="BB90" i="1"/>
  <c r="BC90" i="1"/>
  <c r="BD90" i="1"/>
  <c r="BE90" i="1"/>
  <c r="BF90" i="1"/>
  <c r="BG90" i="1"/>
  <c r="BH90" i="1"/>
  <c r="BI90" i="1"/>
  <c r="BJ90" i="1"/>
  <c r="BK90" i="1"/>
  <c r="BL90" i="1"/>
  <c r="BM90" i="1"/>
  <c r="BN90" i="1"/>
  <c r="BO90" i="1"/>
  <c r="BP90" i="1"/>
  <c r="BQ90" i="1"/>
  <c r="BR90" i="1"/>
  <c r="BS90" i="1"/>
  <c r="BT90" i="1"/>
  <c r="BU90" i="1"/>
  <c r="BV90" i="1"/>
  <c r="BW90" i="1"/>
  <c r="BX90" i="1"/>
  <c r="BY90" i="1"/>
  <c r="BZ90" i="1"/>
  <c r="CA90" i="1"/>
  <c r="CB90" i="1"/>
  <c r="CC90" i="1"/>
  <c r="CD90" i="1"/>
  <c r="H91" i="1"/>
  <c r="I91" i="1"/>
  <c r="J91" i="1"/>
  <c r="K91" i="1"/>
  <c r="L91" i="1"/>
  <c r="M91" i="1"/>
  <c r="N91" i="1"/>
  <c r="O91" i="1"/>
  <c r="P91" i="1"/>
  <c r="Q91" i="1"/>
  <c r="R91" i="1"/>
  <c r="S91" i="1"/>
  <c r="T91" i="1"/>
  <c r="U91" i="1"/>
  <c r="V91" i="1"/>
  <c r="W91" i="1"/>
  <c r="X91" i="1"/>
  <c r="Y91" i="1"/>
  <c r="Z91" i="1"/>
  <c r="AA91" i="1"/>
  <c r="AB91" i="1"/>
  <c r="AC91" i="1"/>
  <c r="AD91" i="1"/>
  <c r="AE91" i="1"/>
  <c r="AF91" i="1"/>
  <c r="AG91" i="1"/>
  <c r="AH91" i="1"/>
  <c r="AI91" i="1"/>
  <c r="AJ91" i="1"/>
  <c r="AK91" i="1"/>
  <c r="AL91" i="1"/>
  <c r="AM91" i="1"/>
  <c r="AN91" i="1"/>
  <c r="AO91" i="1"/>
  <c r="AP91" i="1"/>
  <c r="AQ91" i="1"/>
  <c r="AR91" i="1"/>
  <c r="AS91" i="1"/>
  <c r="AT91" i="1"/>
  <c r="AU91" i="1"/>
  <c r="AV91" i="1"/>
  <c r="AW91" i="1"/>
  <c r="AX91" i="1"/>
  <c r="AY91" i="1"/>
  <c r="AZ91" i="1"/>
  <c r="BA91" i="1"/>
  <c r="BB91" i="1"/>
  <c r="BC91" i="1"/>
  <c r="BD91" i="1"/>
  <c r="BE91" i="1"/>
  <c r="BF91" i="1"/>
  <c r="BG91" i="1"/>
  <c r="BH91" i="1"/>
  <c r="BI91" i="1"/>
  <c r="BJ91" i="1"/>
  <c r="BK91" i="1"/>
  <c r="BL91" i="1"/>
  <c r="BM91" i="1"/>
  <c r="BN91" i="1"/>
  <c r="BO91" i="1"/>
  <c r="BP91" i="1"/>
  <c r="BQ91" i="1"/>
  <c r="BR91" i="1"/>
  <c r="BS91" i="1"/>
  <c r="BT91" i="1"/>
  <c r="BU91" i="1"/>
  <c r="BV91" i="1"/>
  <c r="BW91" i="1"/>
  <c r="BX91" i="1"/>
  <c r="BY91" i="1"/>
  <c r="BZ91" i="1"/>
  <c r="CA91" i="1"/>
  <c r="CB91" i="1"/>
  <c r="CC91" i="1"/>
  <c r="CD91" i="1"/>
  <c r="H92" i="1"/>
  <c r="I92" i="1"/>
  <c r="J92" i="1"/>
  <c r="K92" i="1"/>
  <c r="L92" i="1"/>
  <c r="M92" i="1"/>
  <c r="N92" i="1"/>
  <c r="O92" i="1"/>
  <c r="P92" i="1"/>
  <c r="Q92" i="1"/>
  <c r="R92" i="1"/>
  <c r="S92" i="1"/>
  <c r="T92" i="1"/>
  <c r="U92" i="1"/>
  <c r="V92" i="1"/>
  <c r="W92" i="1"/>
  <c r="X92" i="1"/>
  <c r="Y92" i="1"/>
  <c r="Z92" i="1"/>
  <c r="AA92" i="1"/>
  <c r="AB92" i="1"/>
  <c r="AC92" i="1"/>
  <c r="AD92" i="1"/>
  <c r="AE92" i="1"/>
  <c r="AF92" i="1"/>
  <c r="AG92" i="1"/>
  <c r="AH92" i="1"/>
  <c r="AI92" i="1"/>
  <c r="AJ92" i="1"/>
  <c r="AK92" i="1"/>
  <c r="AL92" i="1"/>
  <c r="AM92" i="1"/>
  <c r="AN92" i="1"/>
  <c r="AO92" i="1"/>
  <c r="AP92" i="1"/>
  <c r="AQ92" i="1"/>
  <c r="AR92" i="1"/>
  <c r="AS92" i="1"/>
  <c r="AT92" i="1"/>
  <c r="AU92" i="1"/>
  <c r="AV92" i="1"/>
  <c r="AW92" i="1"/>
  <c r="AX92" i="1"/>
  <c r="AY92" i="1"/>
  <c r="AZ92" i="1"/>
  <c r="BA92" i="1"/>
  <c r="BB92" i="1"/>
  <c r="BC92" i="1"/>
  <c r="BD92" i="1"/>
  <c r="BE92" i="1"/>
  <c r="BF92" i="1"/>
  <c r="BG92" i="1"/>
  <c r="BH92" i="1"/>
  <c r="BI92" i="1"/>
  <c r="BJ92" i="1"/>
  <c r="BK92" i="1"/>
  <c r="BL92" i="1"/>
  <c r="BM92" i="1"/>
  <c r="BN92" i="1"/>
  <c r="BO92" i="1"/>
  <c r="BP92" i="1"/>
  <c r="BQ92" i="1"/>
  <c r="BR92" i="1"/>
  <c r="BS92" i="1"/>
  <c r="BT92" i="1"/>
  <c r="BU92" i="1"/>
  <c r="BV92" i="1"/>
  <c r="BW92" i="1"/>
  <c r="BX92" i="1"/>
  <c r="BY92" i="1"/>
  <c r="BZ92" i="1"/>
  <c r="CA92" i="1"/>
  <c r="CB92" i="1"/>
  <c r="CC92" i="1"/>
  <c r="CD92" i="1"/>
  <c r="H93" i="1"/>
  <c r="I93" i="1"/>
  <c r="J93" i="1"/>
  <c r="K93" i="1"/>
  <c r="L93" i="1"/>
  <c r="M93" i="1"/>
  <c r="N93" i="1"/>
  <c r="O93" i="1"/>
  <c r="P93" i="1"/>
  <c r="Q93" i="1"/>
  <c r="R93" i="1"/>
  <c r="S93" i="1"/>
  <c r="T93" i="1"/>
  <c r="U93" i="1"/>
  <c r="V93" i="1"/>
  <c r="W93" i="1"/>
  <c r="X93" i="1"/>
  <c r="Y93" i="1"/>
  <c r="Z93" i="1"/>
  <c r="AA93" i="1"/>
  <c r="AB93" i="1"/>
  <c r="AC93" i="1"/>
  <c r="AD93" i="1"/>
  <c r="AE93" i="1"/>
  <c r="AF93" i="1"/>
  <c r="AG93" i="1"/>
  <c r="AH93" i="1"/>
  <c r="AI93" i="1"/>
  <c r="AJ93" i="1"/>
  <c r="AK93" i="1"/>
  <c r="AL93" i="1"/>
  <c r="AM93" i="1"/>
  <c r="AN93" i="1"/>
  <c r="AO93" i="1"/>
  <c r="AP93" i="1"/>
  <c r="AQ93" i="1"/>
  <c r="AR93" i="1"/>
  <c r="AS93" i="1"/>
  <c r="AT93" i="1"/>
  <c r="AU93" i="1"/>
  <c r="AV93" i="1"/>
  <c r="AW93" i="1"/>
  <c r="AX93" i="1"/>
  <c r="AY93" i="1"/>
  <c r="AZ93" i="1"/>
  <c r="BA93" i="1"/>
  <c r="BB93" i="1"/>
  <c r="BC93" i="1"/>
  <c r="BD93" i="1"/>
  <c r="BE93" i="1"/>
  <c r="BF93" i="1"/>
  <c r="BG93" i="1"/>
  <c r="BH93" i="1"/>
  <c r="BI93" i="1"/>
  <c r="BJ93" i="1"/>
  <c r="BK93" i="1"/>
  <c r="BL93" i="1"/>
  <c r="BM93" i="1"/>
  <c r="BN93" i="1"/>
  <c r="BO93" i="1"/>
  <c r="BP93" i="1"/>
  <c r="BQ93" i="1"/>
  <c r="BR93" i="1"/>
  <c r="BS93" i="1"/>
  <c r="BT93" i="1"/>
  <c r="BU93" i="1"/>
  <c r="BV93" i="1"/>
  <c r="BW93" i="1"/>
  <c r="BX93" i="1"/>
  <c r="BY93" i="1"/>
  <c r="BZ93" i="1"/>
  <c r="CA93" i="1"/>
  <c r="CB93" i="1"/>
  <c r="CC93" i="1"/>
  <c r="CD93" i="1"/>
  <c r="H94" i="1"/>
  <c r="I94" i="1"/>
  <c r="J94" i="1"/>
  <c r="K94" i="1"/>
  <c r="L94" i="1"/>
  <c r="M94" i="1"/>
  <c r="N94" i="1"/>
  <c r="O94" i="1"/>
  <c r="P94" i="1"/>
  <c r="Q94" i="1"/>
  <c r="R94" i="1"/>
  <c r="S94" i="1"/>
  <c r="T94" i="1"/>
  <c r="U94" i="1"/>
  <c r="V94" i="1"/>
  <c r="W94" i="1"/>
  <c r="X94" i="1"/>
  <c r="Y94" i="1"/>
  <c r="Z94" i="1"/>
  <c r="AA94" i="1"/>
  <c r="AB94" i="1"/>
  <c r="AC94" i="1"/>
  <c r="AD94" i="1"/>
  <c r="AE94" i="1"/>
  <c r="AF94" i="1"/>
  <c r="AG94" i="1"/>
  <c r="AH94" i="1"/>
  <c r="AI94" i="1"/>
  <c r="AJ94" i="1"/>
  <c r="AK94" i="1"/>
  <c r="AL94" i="1"/>
  <c r="AM94" i="1"/>
  <c r="AN94" i="1"/>
  <c r="AO94" i="1"/>
  <c r="AP94" i="1"/>
  <c r="AQ94" i="1"/>
  <c r="AR94" i="1"/>
  <c r="AS94" i="1"/>
  <c r="AT94" i="1"/>
  <c r="AU94" i="1"/>
  <c r="AV94" i="1"/>
  <c r="AW94" i="1"/>
  <c r="AX94" i="1"/>
  <c r="AY94" i="1"/>
  <c r="AZ94" i="1"/>
  <c r="BA94" i="1"/>
  <c r="BB94" i="1"/>
  <c r="BC94" i="1"/>
  <c r="BD94" i="1"/>
  <c r="BE94" i="1"/>
  <c r="BF94" i="1"/>
  <c r="BG94" i="1"/>
  <c r="BH94" i="1"/>
  <c r="BI94" i="1"/>
  <c r="BJ94" i="1"/>
  <c r="BK94" i="1"/>
  <c r="BL94" i="1"/>
  <c r="BM94" i="1"/>
  <c r="BN94" i="1"/>
  <c r="BO94" i="1"/>
  <c r="BP94" i="1"/>
  <c r="BQ94" i="1"/>
  <c r="BR94" i="1"/>
  <c r="BS94" i="1"/>
  <c r="BT94" i="1"/>
  <c r="BU94" i="1"/>
  <c r="BV94" i="1"/>
  <c r="BW94" i="1"/>
  <c r="BX94" i="1"/>
  <c r="BY94" i="1"/>
  <c r="BZ94" i="1"/>
  <c r="CA94" i="1"/>
  <c r="CB94" i="1"/>
  <c r="CC94" i="1"/>
  <c r="CD94" i="1"/>
  <c r="H95" i="1"/>
  <c r="I95" i="1"/>
  <c r="J95" i="1"/>
  <c r="K95" i="1"/>
  <c r="L95" i="1"/>
  <c r="M95" i="1"/>
  <c r="N95" i="1"/>
  <c r="O95" i="1"/>
  <c r="P95" i="1"/>
  <c r="Q95" i="1"/>
  <c r="R95" i="1"/>
  <c r="S95" i="1"/>
  <c r="T95" i="1"/>
  <c r="U95" i="1"/>
  <c r="V95" i="1"/>
  <c r="W95" i="1"/>
  <c r="X95" i="1"/>
  <c r="Y95" i="1"/>
  <c r="Z95" i="1"/>
  <c r="AA95" i="1"/>
  <c r="AB95" i="1"/>
  <c r="AC95" i="1"/>
  <c r="AD95" i="1"/>
  <c r="AE95" i="1"/>
  <c r="AF95" i="1"/>
  <c r="AG95" i="1"/>
  <c r="AH95" i="1"/>
  <c r="AI95" i="1"/>
  <c r="AJ95" i="1"/>
  <c r="AK95" i="1"/>
  <c r="AL95" i="1"/>
  <c r="AM95" i="1"/>
  <c r="AN95" i="1"/>
  <c r="AO95" i="1"/>
  <c r="AP95" i="1"/>
  <c r="AQ95" i="1"/>
  <c r="AR95" i="1"/>
  <c r="AS95" i="1"/>
  <c r="AT95" i="1"/>
  <c r="AU95" i="1"/>
  <c r="AV95" i="1"/>
  <c r="AW95" i="1"/>
  <c r="AX95" i="1"/>
  <c r="AY95" i="1"/>
  <c r="AZ95" i="1"/>
  <c r="BA95" i="1"/>
  <c r="BB95" i="1"/>
  <c r="BC95" i="1"/>
  <c r="BD95" i="1"/>
  <c r="BE95" i="1"/>
  <c r="BF95" i="1"/>
  <c r="BG95" i="1"/>
  <c r="BH95" i="1"/>
  <c r="BI95" i="1"/>
  <c r="BJ95" i="1"/>
  <c r="BK95" i="1"/>
  <c r="BL95" i="1"/>
  <c r="BM95" i="1"/>
  <c r="BN95" i="1"/>
  <c r="BO95" i="1"/>
  <c r="BP95" i="1"/>
  <c r="BQ95" i="1"/>
  <c r="BR95" i="1"/>
  <c r="BS95" i="1"/>
  <c r="BT95" i="1"/>
  <c r="BU95" i="1"/>
  <c r="BV95" i="1"/>
  <c r="BW95" i="1"/>
  <c r="BX95" i="1"/>
  <c r="BY95" i="1"/>
  <c r="BZ95" i="1"/>
  <c r="CA95" i="1"/>
  <c r="CB95" i="1"/>
  <c r="CC95" i="1"/>
  <c r="CD95" i="1"/>
  <c r="AF97" i="1"/>
  <c r="AG97" i="1"/>
  <c r="AH97" i="1"/>
  <c r="AI97" i="1"/>
  <c r="AJ97" i="1"/>
  <c r="AK97" i="1"/>
  <c r="AL97" i="1"/>
  <c r="AM97" i="1"/>
  <c r="AN97" i="1"/>
  <c r="AO97" i="1"/>
  <c r="AP97" i="1"/>
  <c r="AQ97" i="1"/>
  <c r="AR97" i="1"/>
  <c r="AS97" i="1"/>
  <c r="AT97" i="1"/>
  <c r="AU97" i="1"/>
  <c r="AV97" i="1"/>
  <c r="AW97" i="1"/>
  <c r="AX97" i="1"/>
  <c r="AY97" i="1"/>
  <c r="AZ97" i="1"/>
  <c r="BA97" i="1"/>
  <c r="BB97" i="1"/>
  <c r="BC97" i="1"/>
  <c r="BD97" i="1"/>
  <c r="BE97" i="1"/>
  <c r="BF97" i="1"/>
  <c r="BG97" i="1"/>
  <c r="BH97" i="1"/>
  <c r="BI97" i="1"/>
  <c r="BJ97" i="1"/>
  <c r="BK97" i="1"/>
  <c r="BL97" i="1"/>
  <c r="BM97" i="1"/>
  <c r="BN97" i="1"/>
  <c r="BO97" i="1"/>
  <c r="BP97" i="1"/>
  <c r="BQ97" i="1"/>
  <c r="BR97" i="1"/>
  <c r="BS97" i="1"/>
  <c r="BT97" i="1"/>
  <c r="BU97" i="1"/>
  <c r="BV97" i="1"/>
  <c r="BW97" i="1"/>
  <c r="BX97" i="1"/>
  <c r="BY97" i="1"/>
  <c r="BZ97" i="1"/>
  <c r="CA97" i="1"/>
  <c r="CB97" i="1"/>
  <c r="CC97" i="1"/>
  <c r="CD97" i="1"/>
  <c r="AF98" i="1"/>
  <c r="AG98" i="1"/>
  <c r="AH98" i="1"/>
  <c r="AI98" i="1"/>
  <c r="AJ98" i="1"/>
  <c r="AK98" i="1"/>
  <c r="AL98" i="1"/>
  <c r="AM98" i="1"/>
  <c r="AN98" i="1"/>
  <c r="AO98" i="1"/>
  <c r="AP98" i="1"/>
  <c r="AQ98" i="1"/>
  <c r="AR98" i="1"/>
  <c r="AS98" i="1"/>
  <c r="AT98" i="1"/>
  <c r="AU98" i="1"/>
  <c r="AV98" i="1"/>
  <c r="AW98" i="1"/>
  <c r="AX98" i="1"/>
  <c r="AY98" i="1"/>
  <c r="AZ98" i="1"/>
  <c r="BA98" i="1"/>
  <c r="BB98" i="1"/>
  <c r="BC98" i="1"/>
  <c r="BD98" i="1"/>
  <c r="BE98" i="1"/>
  <c r="BF98" i="1"/>
  <c r="BG98" i="1"/>
  <c r="BH98" i="1"/>
  <c r="BI98" i="1"/>
  <c r="BJ98" i="1"/>
  <c r="BK98" i="1"/>
  <c r="BL98" i="1"/>
  <c r="BM98" i="1"/>
  <c r="BN98" i="1"/>
  <c r="BO98" i="1"/>
  <c r="BP98" i="1"/>
  <c r="BQ98" i="1"/>
  <c r="BR98" i="1"/>
  <c r="BS98" i="1"/>
  <c r="BT98" i="1"/>
  <c r="BU98" i="1"/>
  <c r="BV98" i="1"/>
  <c r="BW98" i="1"/>
  <c r="BX98" i="1"/>
  <c r="BY98" i="1"/>
  <c r="BZ98" i="1"/>
  <c r="CA98" i="1"/>
  <c r="CB98" i="1"/>
  <c r="CC98" i="1"/>
  <c r="CD98" i="1"/>
  <c r="AF99" i="1"/>
  <c r="AG99" i="1"/>
  <c r="AH99" i="1"/>
  <c r="AI99" i="1"/>
  <c r="AJ99" i="1"/>
  <c r="AK99" i="1"/>
  <c r="AL99" i="1"/>
  <c r="AM99" i="1"/>
  <c r="AN99" i="1"/>
  <c r="AO99" i="1"/>
  <c r="AP99" i="1"/>
  <c r="AQ99" i="1"/>
  <c r="AR99" i="1"/>
  <c r="AS99" i="1"/>
  <c r="AT99" i="1"/>
  <c r="AU99" i="1"/>
  <c r="AV99" i="1"/>
  <c r="AW99" i="1"/>
  <c r="AX99" i="1"/>
  <c r="AY99" i="1"/>
  <c r="AZ99" i="1"/>
  <c r="BA99" i="1"/>
  <c r="BB99" i="1"/>
  <c r="BC99" i="1"/>
  <c r="BD99" i="1"/>
  <c r="BE99" i="1"/>
  <c r="BF99" i="1"/>
  <c r="BG99" i="1"/>
  <c r="BH99" i="1"/>
  <c r="BI99" i="1"/>
  <c r="BJ99" i="1"/>
  <c r="BK99" i="1"/>
  <c r="BL99" i="1"/>
  <c r="BM99" i="1"/>
  <c r="BN99" i="1"/>
  <c r="BO99" i="1"/>
  <c r="BP99" i="1"/>
  <c r="BQ99" i="1"/>
  <c r="BR99" i="1"/>
  <c r="BS99" i="1"/>
  <c r="BT99" i="1"/>
  <c r="BU99" i="1"/>
  <c r="BV99" i="1"/>
  <c r="BW99" i="1"/>
  <c r="BX99" i="1"/>
  <c r="BY99" i="1"/>
  <c r="BZ99" i="1"/>
  <c r="CA99" i="1"/>
  <c r="CB99" i="1"/>
  <c r="CC99" i="1"/>
  <c r="CD99" i="1"/>
  <c r="H102" i="1"/>
  <c r="I102" i="1"/>
  <c r="J102" i="1"/>
  <c r="K102" i="1"/>
  <c r="L102" i="1"/>
  <c r="M102" i="1"/>
  <c r="N102" i="1"/>
  <c r="O102" i="1"/>
  <c r="P102" i="1"/>
  <c r="Q102" i="1"/>
  <c r="R102" i="1"/>
  <c r="S102" i="1"/>
  <c r="T102" i="1"/>
  <c r="U102" i="1"/>
  <c r="V102" i="1"/>
  <c r="W102" i="1"/>
  <c r="X102" i="1"/>
  <c r="Y102" i="1"/>
  <c r="Z102" i="1"/>
  <c r="AA102" i="1"/>
  <c r="AB102" i="1"/>
  <c r="AC102" i="1"/>
  <c r="AD102" i="1"/>
  <c r="AE102" i="1"/>
  <c r="AF102" i="1"/>
  <c r="AG102" i="1"/>
  <c r="AH102" i="1"/>
  <c r="AI102" i="1"/>
  <c r="AJ102" i="1"/>
  <c r="AK102" i="1"/>
  <c r="AL102" i="1"/>
  <c r="AM102" i="1"/>
  <c r="AN102" i="1"/>
  <c r="AO102" i="1"/>
  <c r="AP102" i="1"/>
  <c r="AQ102" i="1"/>
  <c r="AR102" i="1"/>
  <c r="AS102" i="1"/>
  <c r="AT102" i="1"/>
  <c r="AU102" i="1"/>
  <c r="AV102" i="1"/>
  <c r="AW102" i="1"/>
  <c r="AX102" i="1"/>
  <c r="AY102" i="1"/>
  <c r="AZ102" i="1"/>
  <c r="BA102" i="1"/>
  <c r="BB102" i="1"/>
  <c r="BC102" i="1"/>
  <c r="BD102" i="1"/>
  <c r="BE102" i="1"/>
  <c r="BF102" i="1"/>
  <c r="BG102" i="1"/>
  <c r="BH102" i="1"/>
  <c r="BI102" i="1"/>
  <c r="BJ102" i="1"/>
  <c r="BK102" i="1"/>
  <c r="BL102" i="1"/>
  <c r="BM102" i="1"/>
  <c r="BN102" i="1"/>
  <c r="BO102" i="1"/>
  <c r="BP102" i="1"/>
  <c r="BQ102" i="1"/>
  <c r="BR102" i="1"/>
  <c r="BS102" i="1"/>
  <c r="BT102" i="1"/>
  <c r="BU102" i="1"/>
  <c r="BV102" i="1"/>
  <c r="BW102" i="1"/>
  <c r="BX102" i="1"/>
  <c r="BY102" i="1"/>
  <c r="BZ102" i="1"/>
  <c r="CA102" i="1"/>
  <c r="CB102" i="1"/>
  <c r="CC102" i="1"/>
  <c r="CD102" i="1"/>
  <c r="H103" i="1"/>
  <c r="I103" i="1"/>
  <c r="J103" i="1"/>
  <c r="K103" i="1"/>
  <c r="L103" i="1"/>
  <c r="M103" i="1"/>
  <c r="N103" i="1"/>
  <c r="O103" i="1"/>
  <c r="P103" i="1"/>
  <c r="Q103" i="1"/>
  <c r="R103" i="1"/>
  <c r="S103" i="1"/>
  <c r="T103" i="1"/>
  <c r="U103" i="1"/>
  <c r="V103" i="1"/>
  <c r="W103" i="1"/>
  <c r="X103" i="1"/>
  <c r="Y103" i="1"/>
  <c r="Z103" i="1"/>
  <c r="AA103" i="1"/>
  <c r="AB103" i="1"/>
  <c r="AC103" i="1"/>
  <c r="AD103" i="1"/>
  <c r="AE103" i="1"/>
  <c r="AF103" i="1"/>
  <c r="AG103" i="1"/>
  <c r="AH103" i="1"/>
  <c r="AI103" i="1"/>
  <c r="AJ103" i="1"/>
  <c r="AK103" i="1"/>
  <c r="AL103" i="1"/>
  <c r="AM103" i="1"/>
  <c r="AN103" i="1"/>
  <c r="AO103" i="1"/>
  <c r="AP103" i="1"/>
  <c r="AQ103" i="1"/>
  <c r="AR103" i="1"/>
  <c r="AS103" i="1"/>
  <c r="AT103" i="1"/>
  <c r="AU103" i="1"/>
  <c r="AV103" i="1"/>
  <c r="AW103" i="1"/>
  <c r="AX103" i="1"/>
  <c r="AY103" i="1"/>
  <c r="AZ103" i="1"/>
  <c r="BA103" i="1"/>
  <c r="BB103" i="1"/>
  <c r="BC103" i="1"/>
  <c r="BD103" i="1"/>
  <c r="BE103" i="1"/>
  <c r="BF103" i="1"/>
  <c r="BG103" i="1"/>
  <c r="BH103" i="1"/>
  <c r="BI103" i="1"/>
  <c r="BJ103" i="1"/>
  <c r="BK103" i="1"/>
  <c r="BL103" i="1"/>
  <c r="BM103" i="1"/>
  <c r="BN103" i="1"/>
  <c r="BO103" i="1"/>
  <c r="BP103" i="1"/>
  <c r="BQ103" i="1"/>
  <c r="BR103" i="1"/>
  <c r="BS103" i="1"/>
  <c r="BT103" i="1"/>
  <c r="BU103" i="1"/>
  <c r="BV103" i="1"/>
  <c r="BW103" i="1"/>
  <c r="BX103" i="1"/>
  <c r="BY103" i="1"/>
  <c r="BZ103" i="1"/>
  <c r="CA103" i="1"/>
  <c r="CB103" i="1"/>
  <c r="CC103" i="1"/>
  <c r="CD103" i="1"/>
  <c r="H104" i="1"/>
  <c r="I104" i="1"/>
  <c r="J104" i="1"/>
  <c r="K104" i="1"/>
  <c r="L104" i="1"/>
  <c r="M104" i="1"/>
  <c r="N104" i="1"/>
  <c r="O104" i="1"/>
  <c r="P104" i="1"/>
  <c r="Q104" i="1"/>
  <c r="R104" i="1"/>
  <c r="S104" i="1"/>
  <c r="T104" i="1"/>
  <c r="U104" i="1"/>
  <c r="V104" i="1"/>
  <c r="W104" i="1"/>
  <c r="X104" i="1"/>
  <c r="Y104" i="1"/>
  <c r="Z104" i="1"/>
  <c r="AA104" i="1"/>
  <c r="AB104" i="1"/>
  <c r="AC104" i="1"/>
  <c r="AD104" i="1"/>
  <c r="AE104" i="1"/>
  <c r="AF104" i="1"/>
  <c r="AG104" i="1"/>
  <c r="AH104" i="1"/>
  <c r="AI104" i="1"/>
  <c r="AJ104" i="1"/>
  <c r="AK104" i="1"/>
  <c r="AL104" i="1"/>
  <c r="AM104" i="1"/>
  <c r="AN104" i="1"/>
  <c r="AO104" i="1"/>
  <c r="AP104" i="1"/>
  <c r="AQ104" i="1"/>
  <c r="AR104" i="1"/>
  <c r="AS104" i="1"/>
  <c r="AT104" i="1"/>
  <c r="AU104" i="1"/>
  <c r="AV104" i="1"/>
  <c r="AW104" i="1"/>
  <c r="AX104" i="1"/>
  <c r="AY104" i="1"/>
  <c r="AZ104" i="1"/>
  <c r="BA104" i="1"/>
  <c r="BB104" i="1"/>
  <c r="BC104" i="1"/>
  <c r="BD104" i="1"/>
  <c r="BE104" i="1"/>
  <c r="BF104" i="1"/>
  <c r="BG104" i="1"/>
  <c r="BH104" i="1"/>
  <c r="BI104" i="1"/>
  <c r="BJ104" i="1"/>
  <c r="BK104" i="1"/>
  <c r="BL104" i="1"/>
  <c r="BM104" i="1"/>
  <c r="BN104" i="1"/>
  <c r="BO104" i="1"/>
  <c r="BP104" i="1"/>
  <c r="BQ104" i="1"/>
  <c r="BR104" i="1"/>
  <c r="BS104" i="1"/>
  <c r="BT104" i="1"/>
  <c r="BU104" i="1"/>
  <c r="BV104" i="1"/>
  <c r="BW104" i="1"/>
  <c r="BX104" i="1"/>
  <c r="BY104" i="1"/>
  <c r="BZ104" i="1"/>
  <c r="CA104" i="1"/>
  <c r="CB104" i="1"/>
  <c r="CC104" i="1"/>
  <c r="CD104" i="1"/>
  <c r="H106" i="1"/>
  <c r="I106" i="1"/>
  <c r="J106" i="1"/>
  <c r="K106" i="1"/>
  <c r="L106" i="1"/>
  <c r="M106" i="1"/>
  <c r="N106" i="1"/>
  <c r="O106" i="1"/>
  <c r="P106" i="1"/>
  <c r="Q106" i="1"/>
  <c r="R106" i="1"/>
  <c r="S106" i="1"/>
  <c r="T106" i="1"/>
  <c r="U106" i="1"/>
  <c r="V106" i="1"/>
  <c r="W106" i="1"/>
  <c r="X106" i="1"/>
  <c r="Y106" i="1"/>
  <c r="Z106" i="1"/>
  <c r="AA106" i="1"/>
  <c r="AB106" i="1"/>
  <c r="AC106" i="1"/>
  <c r="AD106" i="1"/>
  <c r="AE106" i="1"/>
  <c r="AF106" i="1"/>
  <c r="AG106" i="1"/>
  <c r="AH106" i="1"/>
  <c r="AI106" i="1"/>
  <c r="AJ106" i="1"/>
  <c r="AK106" i="1"/>
  <c r="AL106" i="1"/>
  <c r="AM106" i="1"/>
  <c r="AN106" i="1"/>
  <c r="AO106" i="1"/>
  <c r="AP106" i="1"/>
  <c r="AQ106" i="1"/>
  <c r="AR106" i="1"/>
  <c r="AS106" i="1"/>
  <c r="AT106" i="1"/>
  <c r="AU106" i="1"/>
  <c r="AV106" i="1"/>
  <c r="AW106" i="1"/>
  <c r="AX106" i="1"/>
  <c r="AY106" i="1"/>
  <c r="AZ106" i="1"/>
  <c r="BA106" i="1"/>
  <c r="BB106" i="1"/>
  <c r="BC106" i="1"/>
  <c r="BD106" i="1"/>
  <c r="BE106" i="1"/>
  <c r="BF106" i="1"/>
  <c r="BG106" i="1"/>
  <c r="BH106" i="1"/>
  <c r="BI106" i="1"/>
  <c r="BJ106" i="1"/>
  <c r="BK106" i="1"/>
  <c r="BL106" i="1"/>
  <c r="BM106" i="1"/>
  <c r="BN106" i="1"/>
  <c r="BO106" i="1"/>
  <c r="BP106" i="1"/>
  <c r="BQ106" i="1"/>
  <c r="BR106" i="1"/>
  <c r="BS106" i="1"/>
  <c r="BT106" i="1"/>
  <c r="BU106" i="1"/>
  <c r="BV106" i="1"/>
  <c r="BW106" i="1"/>
  <c r="BX106" i="1"/>
  <c r="BY106" i="1"/>
  <c r="BZ106" i="1"/>
  <c r="CA106" i="1"/>
  <c r="CB106" i="1"/>
  <c r="CC106" i="1"/>
  <c r="CD106" i="1"/>
  <c r="H107" i="1"/>
  <c r="I107" i="1"/>
  <c r="J107" i="1"/>
  <c r="K107" i="1"/>
  <c r="L107" i="1"/>
  <c r="M107" i="1"/>
  <c r="N107" i="1"/>
  <c r="O107" i="1"/>
  <c r="P107" i="1"/>
  <c r="Q107" i="1"/>
  <c r="R107" i="1"/>
  <c r="S107" i="1"/>
  <c r="T107" i="1"/>
  <c r="U107" i="1"/>
  <c r="V107" i="1"/>
  <c r="W107" i="1"/>
  <c r="X107" i="1"/>
  <c r="Y107" i="1"/>
  <c r="Z107" i="1"/>
  <c r="AA107" i="1"/>
  <c r="AB107" i="1"/>
  <c r="AC107" i="1"/>
  <c r="AD107" i="1"/>
  <c r="AE107" i="1"/>
  <c r="AF107" i="1"/>
  <c r="AG107" i="1"/>
  <c r="AH107" i="1"/>
  <c r="AI107" i="1"/>
  <c r="AJ107" i="1"/>
  <c r="AK107" i="1"/>
  <c r="AL107" i="1"/>
  <c r="AM107" i="1"/>
  <c r="AN107" i="1"/>
  <c r="AO107" i="1"/>
  <c r="AP107" i="1"/>
  <c r="AQ107" i="1"/>
  <c r="AR107" i="1"/>
  <c r="AS107" i="1"/>
  <c r="AT107" i="1"/>
  <c r="AU107" i="1"/>
  <c r="AV107" i="1"/>
  <c r="AW107" i="1"/>
  <c r="AX107" i="1"/>
  <c r="AY107" i="1"/>
  <c r="AZ107" i="1"/>
  <c r="BA107" i="1"/>
  <c r="BB107" i="1"/>
  <c r="BC107" i="1"/>
  <c r="BD107" i="1"/>
  <c r="BE107" i="1"/>
  <c r="BF107" i="1"/>
  <c r="BG107" i="1"/>
  <c r="BH107" i="1"/>
  <c r="BI107" i="1"/>
  <c r="BJ107" i="1"/>
  <c r="BK107" i="1"/>
  <c r="BL107" i="1"/>
  <c r="BM107" i="1"/>
  <c r="BN107" i="1"/>
  <c r="BO107" i="1"/>
  <c r="BP107" i="1"/>
  <c r="BQ107" i="1"/>
  <c r="BR107" i="1"/>
  <c r="BS107" i="1"/>
  <c r="BT107" i="1"/>
  <c r="BU107" i="1"/>
  <c r="BV107" i="1"/>
  <c r="BW107" i="1"/>
  <c r="BX107" i="1"/>
  <c r="BY107" i="1"/>
  <c r="BZ107" i="1"/>
  <c r="CA107" i="1"/>
  <c r="CB107" i="1"/>
  <c r="CC107" i="1"/>
  <c r="CD107" i="1"/>
  <c r="H108" i="1"/>
  <c r="I108" i="1"/>
  <c r="J108" i="1"/>
  <c r="K108" i="1"/>
  <c r="L108" i="1"/>
  <c r="M108" i="1"/>
  <c r="N108" i="1"/>
  <c r="O108" i="1"/>
  <c r="P108" i="1"/>
  <c r="Q108" i="1"/>
  <c r="R108" i="1"/>
  <c r="S108" i="1"/>
  <c r="T108" i="1"/>
  <c r="U108" i="1"/>
  <c r="V108" i="1"/>
  <c r="W108" i="1"/>
  <c r="X108" i="1"/>
  <c r="Y108" i="1"/>
  <c r="Z108" i="1"/>
  <c r="AA108" i="1"/>
  <c r="AB108" i="1"/>
  <c r="AC108" i="1"/>
  <c r="AD108" i="1"/>
  <c r="AE108" i="1"/>
  <c r="AF108" i="1"/>
  <c r="AG108" i="1"/>
  <c r="AH108" i="1"/>
  <c r="AI108" i="1"/>
  <c r="AJ108" i="1"/>
  <c r="AK108" i="1"/>
  <c r="AL108" i="1"/>
  <c r="AM108" i="1"/>
  <c r="AN108" i="1"/>
  <c r="AO108" i="1"/>
  <c r="AP108" i="1"/>
  <c r="AQ108" i="1"/>
  <c r="AR108" i="1"/>
  <c r="AS108" i="1"/>
  <c r="AT108" i="1"/>
  <c r="AU108" i="1"/>
  <c r="AV108" i="1"/>
  <c r="AW108" i="1"/>
  <c r="AX108" i="1"/>
  <c r="AY108" i="1"/>
  <c r="AZ108" i="1"/>
  <c r="BA108" i="1"/>
  <c r="BB108" i="1"/>
  <c r="BC108" i="1"/>
  <c r="BD108" i="1"/>
  <c r="BE108" i="1"/>
  <c r="BF108" i="1"/>
  <c r="BG108" i="1"/>
  <c r="BH108" i="1"/>
  <c r="BI108" i="1"/>
  <c r="BJ108" i="1"/>
  <c r="BK108" i="1"/>
  <c r="BL108" i="1"/>
  <c r="BM108" i="1"/>
  <c r="BN108" i="1"/>
  <c r="BO108" i="1"/>
  <c r="BP108" i="1"/>
  <c r="BQ108" i="1"/>
  <c r="BR108" i="1"/>
  <c r="BS108" i="1"/>
  <c r="BT108" i="1"/>
  <c r="BU108" i="1"/>
  <c r="BV108" i="1"/>
  <c r="BW108" i="1"/>
  <c r="BX108" i="1"/>
  <c r="BY108" i="1"/>
  <c r="BZ108" i="1"/>
  <c r="CA108" i="1"/>
  <c r="CB108" i="1"/>
  <c r="CC108" i="1"/>
  <c r="CD108" i="1"/>
  <c r="H109" i="1"/>
  <c r="I109" i="1"/>
  <c r="J109" i="1"/>
  <c r="K109" i="1"/>
  <c r="L109" i="1"/>
  <c r="M109" i="1"/>
  <c r="N109" i="1"/>
  <c r="O109" i="1"/>
  <c r="P109" i="1"/>
  <c r="Q109" i="1"/>
  <c r="R109" i="1"/>
  <c r="S109" i="1"/>
  <c r="T109" i="1"/>
  <c r="U109" i="1"/>
  <c r="V109" i="1"/>
  <c r="W109" i="1"/>
  <c r="X109" i="1"/>
  <c r="Y109" i="1"/>
  <c r="Z109" i="1"/>
  <c r="AA109" i="1"/>
  <c r="AB109" i="1"/>
  <c r="AC109" i="1"/>
  <c r="AD109" i="1"/>
  <c r="AE109" i="1"/>
  <c r="AF109" i="1"/>
  <c r="AG109" i="1"/>
  <c r="AH109" i="1"/>
  <c r="AI109" i="1"/>
  <c r="AJ109" i="1"/>
  <c r="AK109" i="1"/>
  <c r="AL109" i="1"/>
  <c r="AM109" i="1"/>
  <c r="AN109" i="1"/>
  <c r="AO109" i="1"/>
  <c r="AP109" i="1"/>
  <c r="AQ109" i="1"/>
  <c r="AR109" i="1"/>
  <c r="AS109" i="1"/>
  <c r="AT109" i="1"/>
  <c r="AU109" i="1"/>
  <c r="AV109" i="1"/>
  <c r="AW109" i="1"/>
  <c r="AX109" i="1"/>
  <c r="AY109" i="1"/>
  <c r="AZ109" i="1"/>
  <c r="BA109" i="1"/>
  <c r="BB109" i="1"/>
  <c r="BC109" i="1"/>
  <c r="BD109" i="1"/>
  <c r="BE109" i="1"/>
  <c r="BF109" i="1"/>
  <c r="BG109" i="1"/>
  <c r="BH109" i="1"/>
  <c r="BI109" i="1"/>
  <c r="BJ109" i="1"/>
  <c r="BK109" i="1"/>
  <c r="BL109" i="1"/>
  <c r="BM109" i="1"/>
  <c r="BN109" i="1"/>
  <c r="BO109" i="1"/>
  <c r="BP109" i="1"/>
  <c r="BQ109" i="1"/>
  <c r="BR109" i="1"/>
  <c r="BS109" i="1"/>
  <c r="BT109" i="1"/>
  <c r="BU109" i="1"/>
  <c r="BV109" i="1"/>
  <c r="BW109" i="1"/>
  <c r="BX109" i="1"/>
  <c r="BY109" i="1"/>
  <c r="BZ109" i="1"/>
  <c r="CA109" i="1"/>
  <c r="CB109" i="1"/>
  <c r="CC109" i="1"/>
  <c r="CD109" i="1"/>
  <c r="H110" i="1"/>
  <c r="I110" i="1"/>
  <c r="J110" i="1"/>
  <c r="K110" i="1"/>
  <c r="L110" i="1"/>
  <c r="M110" i="1"/>
  <c r="N110" i="1"/>
  <c r="O110" i="1"/>
  <c r="P110" i="1"/>
  <c r="Q110" i="1"/>
  <c r="R110" i="1"/>
  <c r="S110" i="1"/>
  <c r="T110" i="1"/>
  <c r="U110" i="1"/>
  <c r="V110" i="1"/>
  <c r="W110" i="1"/>
  <c r="X110" i="1"/>
  <c r="Y110" i="1"/>
  <c r="Z110" i="1"/>
  <c r="AA110" i="1"/>
  <c r="AB110" i="1"/>
  <c r="AC110" i="1"/>
  <c r="AD110" i="1"/>
  <c r="AE110" i="1"/>
  <c r="AF110" i="1"/>
  <c r="AG110" i="1"/>
  <c r="AH110" i="1"/>
  <c r="AI110" i="1"/>
  <c r="AJ110" i="1"/>
  <c r="AK110" i="1"/>
  <c r="AL110" i="1"/>
  <c r="AM110" i="1"/>
  <c r="AN110" i="1"/>
  <c r="AO110" i="1"/>
  <c r="AP110" i="1"/>
  <c r="AQ110" i="1"/>
  <c r="AR110" i="1"/>
  <c r="AS110" i="1"/>
  <c r="AT110" i="1"/>
  <c r="AU110" i="1"/>
  <c r="AV110" i="1"/>
  <c r="AW110" i="1"/>
  <c r="AX110" i="1"/>
  <c r="AY110" i="1"/>
  <c r="AZ110" i="1"/>
  <c r="BA110" i="1"/>
  <c r="BB110" i="1"/>
  <c r="BC110" i="1"/>
  <c r="BD110" i="1"/>
  <c r="BE110" i="1"/>
  <c r="BF110" i="1"/>
  <c r="BG110" i="1"/>
  <c r="BH110" i="1"/>
  <c r="BI110" i="1"/>
  <c r="BJ110" i="1"/>
  <c r="BK110" i="1"/>
  <c r="BL110" i="1"/>
  <c r="BM110" i="1"/>
  <c r="BN110" i="1"/>
  <c r="BO110" i="1"/>
  <c r="BP110" i="1"/>
  <c r="BQ110" i="1"/>
  <c r="BR110" i="1"/>
  <c r="BS110" i="1"/>
  <c r="BT110" i="1"/>
  <c r="BU110" i="1"/>
  <c r="BV110" i="1"/>
  <c r="BW110" i="1"/>
  <c r="BX110" i="1"/>
  <c r="BY110" i="1"/>
  <c r="BZ110" i="1"/>
  <c r="CA110" i="1"/>
  <c r="CB110" i="1"/>
  <c r="CC110" i="1"/>
  <c r="CD110" i="1"/>
  <c r="H111" i="1"/>
  <c r="I111" i="1"/>
  <c r="J111" i="1"/>
  <c r="K111" i="1"/>
  <c r="L111" i="1"/>
  <c r="M111" i="1"/>
  <c r="N111" i="1"/>
  <c r="O111" i="1"/>
  <c r="P111" i="1"/>
  <c r="Q111" i="1"/>
  <c r="R111" i="1"/>
  <c r="S111" i="1"/>
  <c r="T111" i="1"/>
  <c r="U111" i="1"/>
  <c r="V111" i="1"/>
  <c r="W111" i="1"/>
  <c r="X111" i="1"/>
  <c r="Y111" i="1"/>
  <c r="Z111" i="1"/>
  <c r="AA111" i="1"/>
  <c r="AB111" i="1"/>
  <c r="AC111" i="1"/>
  <c r="AD111" i="1"/>
  <c r="AE111" i="1"/>
  <c r="AF111" i="1"/>
  <c r="AG111" i="1"/>
  <c r="AH111" i="1"/>
  <c r="AI111" i="1"/>
  <c r="AJ111" i="1"/>
  <c r="AK111" i="1"/>
  <c r="AL111" i="1"/>
  <c r="AM111" i="1"/>
  <c r="AN111" i="1"/>
  <c r="AO111" i="1"/>
  <c r="AP111" i="1"/>
  <c r="AQ111" i="1"/>
  <c r="AR111" i="1"/>
  <c r="AS111" i="1"/>
  <c r="AT111" i="1"/>
  <c r="AU111" i="1"/>
  <c r="AV111" i="1"/>
  <c r="AW111" i="1"/>
  <c r="AX111" i="1"/>
  <c r="AY111" i="1"/>
  <c r="AZ111" i="1"/>
  <c r="BA111" i="1"/>
  <c r="BB111" i="1"/>
  <c r="BC111" i="1"/>
  <c r="BD111" i="1"/>
  <c r="BE111" i="1"/>
  <c r="BF111" i="1"/>
  <c r="BG111" i="1"/>
  <c r="BH111" i="1"/>
  <c r="BI111" i="1"/>
  <c r="BJ111" i="1"/>
  <c r="BK111" i="1"/>
  <c r="BL111" i="1"/>
  <c r="BM111" i="1"/>
  <c r="BN111" i="1"/>
  <c r="BO111" i="1"/>
  <c r="BP111" i="1"/>
  <c r="BQ111" i="1"/>
  <c r="BR111" i="1"/>
  <c r="BS111" i="1"/>
  <c r="BT111" i="1"/>
  <c r="BU111" i="1"/>
  <c r="BV111" i="1"/>
  <c r="BW111" i="1"/>
  <c r="BX111" i="1"/>
  <c r="BY111" i="1"/>
  <c r="BZ111" i="1"/>
  <c r="CA111" i="1"/>
  <c r="CB111" i="1"/>
  <c r="CC111" i="1"/>
  <c r="CD111" i="1"/>
  <c r="H112" i="1"/>
  <c r="I112" i="1"/>
  <c r="J112" i="1"/>
  <c r="K112" i="1"/>
  <c r="L112" i="1"/>
  <c r="M112" i="1"/>
  <c r="N112" i="1"/>
  <c r="O112" i="1"/>
  <c r="P112" i="1"/>
  <c r="Q112" i="1"/>
  <c r="R112" i="1"/>
  <c r="S112" i="1"/>
  <c r="T112" i="1"/>
  <c r="U112" i="1"/>
  <c r="V112" i="1"/>
  <c r="W112" i="1"/>
  <c r="X112" i="1"/>
  <c r="Y112" i="1"/>
  <c r="Z112" i="1"/>
  <c r="AA112" i="1"/>
  <c r="AB112" i="1"/>
  <c r="AC112" i="1"/>
  <c r="AD112" i="1"/>
  <c r="AE112" i="1"/>
  <c r="AF112" i="1"/>
  <c r="AG112" i="1"/>
  <c r="AH112" i="1"/>
  <c r="AI112" i="1"/>
  <c r="AJ112" i="1"/>
  <c r="AK112" i="1"/>
  <c r="AL112" i="1"/>
  <c r="AM112" i="1"/>
  <c r="AN112" i="1"/>
  <c r="AO112" i="1"/>
  <c r="AP112" i="1"/>
  <c r="AQ112" i="1"/>
  <c r="AR112" i="1"/>
  <c r="AS112" i="1"/>
  <c r="AT112" i="1"/>
  <c r="AU112" i="1"/>
  <c r="AV112" i="1"/>
  <c r="AW112" i="1"/>
  <c r="AX112" i="1"/>
  <c r="AY112" i="1"/>
  <c r="AZ112" i="1"/>
  <c r="BA112" i="1"/>
  <c r="BB112" i="1"/>
  <c r="BC112" i="1"/>
  <c r="BD112" i="1"/>
  <c r="BE112" i="1"/>
  <c r="BF112" i="1"/>
  <c r="BG112" i="1"/>
  <c r="BH112" i="1"/>
  <c r="BI112" i="1"/>
  <c r="BJ112" i="1"/>
  <c r="BK112" i="1"/>
  <c r="BL112" i="1"/>
  <c r="BM112" i="1"/>
  <c r="BN112" i="1"/>
  <c r="BO112" i="1"/>
  <c r="BP112" i="1"/>
  <c r="BQ112" i="1"/>
  <c r="BR112" i="1"/>
  <c r="BS112" i="1"/>
  <c r="BT112" i="1"/>
  <c r="BU112" i="1"/>
  <c r="BV112" i="1"/>
  <c r="BW112" i="1"/>
  <c r="BX112" i="1"/>
  <c r="BY112" i="1"/>
  <c r="BZ112" i="1"/>
  <c r="CA112" i="1"/>
  <c r="CB112" i="1"/>
  <c r="CC112" i="1"/>
  <c r="CD112" i="1"/>
  <c r="H114" i="1"/>
  <c r="I114" i="1"/>
  <c r="J114" i="1"/>
  <c r="K114" i="1"/>
  <c r="L114" i="1"/>
  <c r="M114" i="1"/>
  <c r="N114" i="1"/>
  <c r="O114" i="1"/>
  <c r="P114" i="1"/>
  <c r="Q114" i="1"/>
  <c r="R114" i="1"/>
  <c r="S114" i="1"/>
  <c r="T114" i="1"/>
  <c r="U114" i="1"/>
  <c r="V114" i="1"/>
  <c r="W114" i="1"/>
  <c r="X114" i="1"/>
  <c r="Y114" i="1"/>
  <c r="Z114" i="1"/>
  <c r="AA114" i="1"/>
  <c r="AB114" i="1"/>
  <c r="AC114" i="1"/>
  <c r="AD114" i="1"/>
  <c r="AE114" i="1"/>
  <c r="AF114" i="1"/>
  <c r="AG114" i="1"/>
  <c r="AH114" i="1"/>
  <c r="AI114" i="1"/>
  <c r="AJ114" i="1"/>
  <c r="AK114" i="1"/>
  <c r="AL114" i="1"/>
  <c r="AM114" i="1"/>
  <c r="AN114" i="1"/>
  <c r="AO114" i="1"/>
  <c r="AP114" i="1"/>
  <c r="AQ114" i="1"/>
  <c r="AR114" i="1"/>
  <c r="AS114" i="1"/>
  <c r="AT114" i="1"/>
  <c r="AU114" i="1"/>
  <c r="AV114" i="1"/>
  <c r="AW114" i="1"/>
  <c r="AX114" i="1"/>
  <c r="AY114" i="1"/>
  <c r="AZ114" i="1"/>
  <c r="BA114" i="1"/>
  <c r="BB114" i="1"/>
  <c r="BC114" i="1"/>
  <c r="BD114" i="1"/>
  <c r="BE114" i="1"/>
  <c r="BF114" i="1"/>
  <c r="BG114" i="1"/>
  <c r="BH114" i="1"/>
  <c r="BI114" i="1"/>
  <c r="BJ114" i="1"/>
  <c r="BK114" i="1"/>
  <c r="BL114" i="1"/>
  <c r="BM114" i="1"/>
  <c r="BN114" i="1"/>
  <c r="BO114" i="1"/>
  <c r="BP114" i="1"/>
  <c r="BQ114" i="1"/>
  <c r="BR114" i="1"/>
  <c r="BS114" i="1"/>
  <c r="BT114" i="1"/>
  <c r="BU114" i="1"/>
  <c r="BV114" i="1"/>
  <c r="BW114" i="1"/>
  <c r="BX114" i="1"/>
  <c r="BY114" i="1"/>
  <c r="BZ114" i="1"/>
  <c r="CA114" i="1"/>
  <c r="CB114" i="1"/>
  <c r="CC114" i="1"/>
  <c r="CD114" i="1"/>
  <c r="H115" i="1"/>
  <c r="I115" i="1"/>
  <c r="J115" i="1"/>
  <c r="K115" i="1"/>
  <c r="L115" i="1"/>
  <c r="M115" i="1"/>
  <c r="N115" i="1"/>
  <c r="O115" i="1"/>
  <c r="P115" i="1"/>
  <c r="Q115" i="1"/>
  <c r="R115" i="1"/>
  <c r="S115" i="1"/>
  <c r="T115" i="1"/>
  <c r="U115" i="1"/>
  <c r="V115" i="1"/>
  <c r="W115" i="1"/>
  <c r="X115" i="1"/>
  <c r="Y115" i="1"/>
  <c r="Z115" i="1"/>
  <c r="AA115" i="1"/>
  <c r="AB115" i="1"/>
  <c r="AC115" i="1"/>
  <c r="AD115" i="1"/>
  <c r="AE115" i="1"/>
  <c r="AF115" i="1"/>
  <c r="AG115" i="1"/>
  <c r="AH115" i="1"/>
  <c r="AI115" i="1"/>
  <c r="AJ115" i="1"/>
  <c r="AK115" i="1"/>
  <c r="AL115" i="1"/>
  <c r="AM115" i="1"/>
  <c r="AN115" i="1"/>
  <c r="AO115" i="1"/>
  <c r="AP115" i="1"/>
  <c r="AQ115" i="1"/>
  <c r="AR115" i="1"/>
  <c r="AS115" i="1"/>
  <c r="AT115" i="1"/>
  <c r="AU115" i="1"/>
  <c r="AV115" i="1"/>
  <c r="AW115" i="1"/>
  <c r="AX115" i="1"/>
  <c r="AY115" i="1"/>
  <c r="AZ115" i="1"/>
  <c r="BA115" i="1"/>
  <c r="BB115" i="1"/>
  <c r="BC115" i="1"/>
  <c r="BD115" i="1"/>
  <c r="BE115" i="1"/>
  <c r="BF115" i="1"/>
  <c r="BG115" i="1"/>
  <c r="BH115" i="1"/>
  <c r="BI115" i="1"/>
  <c r="BJ115" i="1"/>
  <c r="BK115" i="1"/>
  <c r="BL115" i="1"/>
  <c r="BM115" i="1"/>
  <c r="BN115" i="1"/>
  <c r="BO115" i="1"/>
  <c r="BP115" i="1"/>
  <c r="BQ115" i="1"/>
  <c r="BR115" i="1"/>
  <c r="BS115" i="1"/>
  <c r="BT115" i="1"/>
  <c r="BU115" i="1"/>
  <c r="BV115" i="1"/>
  <c r="BW115" i="1"/>
  <c r="BX115" i="1"/>
  <c r="BY115" i="1"/>
  <c r="BZ115" i="1"/>
  <c r="CA115" i="1"/>
  <c r="CB115" i="1"/>
  <c r="CC115" i="1"/>
  <c r="CD115" i="1"/>
  <c r="H116" i="1"/>
  <c r="I116" i="1"/>
  <c r="J116" i="1"/>
  <c r="K116" i="1"/>
  <c r="L116" i="1"/>
  <c r="M116" i="1"/>
  <c r="N116" i="1"/>
  <c r="O116" i="1"/>
  <c r="P116" i="1"/>
  <c r="Q116" i="1"/>
  <c r="R116" i="1"/>
  <c r="S116" i="1"/>
  <c r="T116" i="1"/>
  <c r="U116" i="1"/>
  <c r="V116" i="1"/>
  <c r="W116" i="1"/>
  <c r="X116" i="1"/>
  <c r="Y116" i="1"/>
  <c r="Z116" i="1"/>
  <c r="AA116" i="1"/>
  <c r="AB116" i="1"/>
  <c r="AC116" i="1"/>
  <c r="AD116" i="1"/>
  <c r="AE116" i="1"/>
  <c r="AF116" i="1"/>
  <c r="AG116" i="1"/>
  <c r="AH116" i="1"/>
  <c r="AI116" i="1"/>
  <c r="AJ116" i="1"/>
  <c r="AK116" i="1"/>
  <c r="AL116" i="1"/>
  <c r="AM116" i="1"/>
  <c r="AN116" i="1"/>
  <c r="AO116" i="1"/>
  <c r="AP116" i="1"/>
  <c r="AQ116" i="1"/>
  <c r="AR116" i="1"/>
  <c r="AS116" i="1"/>
  <c r="AT116" i="1"/>
  <c r="AU116" i="1"/>
  <c r="AV116" i="1"/>
  <c r="AW116" i="1"/>
  <c r="AX116" i="1"/>
  <c r="AY116" i="1"/>
  <c r="AZ116" i="1"/>
  <c r="BA116" i="1"/>
  <c r="BB116" i="1"/>
  <c r="BC116" i="1"/>
  <c r="BD116" i="1"/>
  <c r="BE116" i="1"/>
  <c r="BF116" i="1"/>
  <c r="BG116" i="1"/>
  <c r="BH116" i="1"/>
  <c r="BI116" i="1"/>
  <c r="BJ116" i="1"/>
  <c r="BK116" i="1"/>
  <c r="BL116" i="1"/>
  <c r="BM116" i="1"/>
  <c r="BN116" i="1"/>
  <c r="BO116" i="1"/>
  <c r="BP116" i="1"/>
  <c r="BQ116" i="1"/>
  <c r="BR116" i="1"/>
  <c r="BS116" i="1"/>
  <c r="BT116" i="1"/>
  <c r="BU116" i="1"/>
  <c r="BV116" i="1"/>
  <c r="BW116" i="1"/>
  <c r="BX116" i="1"/>
  <c r="BY116" i="1"/>
  <c r="BZ116" i="1"/>
  <c r="CA116" i="1"/>
  <c r="CB116" i="1"/>
  <c r="CC116" i="1"/>
  <c r="CD116" i="1"/>
  <c r="H117" i="1"/>
  <c r="I117" i="1"/>
  <c r="J117" i="1"/>
  <c r="K117" i="1"/>
  <c r="L117" i="1"/>
  <c r="M117" i="1"/>
  <c r="N117" i="1"/>
  <c r="O117" i="1"/>
  <c r="P117" i="1"/>
  <c r="Q117" i="1"/>
  <c r="R117" i="1"/>
  <c r="S117" i="1"/>
  <c r="T117" i="1"/>
  <c r="U117" i="1"/>
  <c r="V117" i="1"/>
  <c r="W117" i="1"/>
  <c r="X117" i="1"/>
  <c r="Y117" i="1"/>
  <c r="Z117" i="1"/>
  <c r="AA117" i="1"/>
  <c r="AB117" i="1"/>
  <c r="AC117" i="1"/>
  <c r="AD117" i="1"/>
  <c r="AE117" i="1"/>
  <c r="AF117" i="1"/>
  <c r="AG117" i="1"/>
  <c r="AH117" i="1"/>
  <c r="AI117" i="1"/>
  <c r="AJ117" i="1"/>
  <c r="AK117" i="1"/>
  <c r="AL117" i="1"/>
  <c r="AM117" i="1"/>
  <c r="AN117" i="1"/>
  <c r="AO117" i="1"/>
  <c r="AP117" i="1"/>
  <c r="AQ117" i="1"/>
  <c r="AR117" i="1"/>
  <c r="AS117" i="1"/>
  <c r="AT117" i="1"/>
  <c r="AU117" i="1"/>
  <c r="AV117" i="1"/>
  <c r="AW117" i="1"/>
  <c r="AX117" i="1"/>
  <c r="AY117" i="1"/>
  <c r="AZ117" i="1"/>
  <c r="BA117" i="1"/>
  <c r="BB117" i="1"/>
  <c r="BC117" i="1"/>
  <c r="BD117" i="1"/>
  <c r="BE117" i="1"/>
  <c r="BF117" i="1"/>
  <c r="BG117" i="1"/>
  <c r="BH117" i="1"/>
  <c r="BI117" i="1"/>
  <c r="BJ117" i="1"/>
  <c r="BK117" i="1"/>
  <c r="BL117" i="1"/>
  <c r="BM117" i="1"/>
  <c r="BN117" i="1"/>
  <c r="BO117" i="1"/>
  <c r="BP117" i="1"/>
  <c r="BQ117" i="1"/>
  <c r="BR117" i="1"/>
  <c r="BS117" i="1"/>
  <c r="BT117" i="1"/>
  <c r="BU117" i="1"/>
  <c r="BV117" i="1"/>
  <c r="BW117" i="1"/>
  <c r="BX117" i="1"/>
  <c r="BY117" i="1"/>
  <c r="BZ117" i="1"/>
  <c r="CA117" i="1"/>
  <c r="CB117" i="1"/>
  <c r="CC117" i="1"/>
  <c r="CD117" i="1"/>
  <c r="H119" i="1"/>
  <c r="I119" i="1"/>
  <c r="J119" i="1"/>
  <c r="K119" i="1"/>
  <c r="L119" i="1"/>
  <c r="M119" i="1"/>
  <c r="N119" i="1"/>
  <c r="O119" i="1"/>
  <c r="P119" i="1"/>
  <c r="Q119" i="1"/>
  <c r="R119" i="1"/>
  <c r="S119" i="1"/>
  <c r="T119" i="1"/>
  <c r="U119" i="1"/>
  <c r="V119" i="1"/>
  <c r="W119" i="1"/>
  <c r="X119" i="1"/>
  <c r="Y119" i="1"/>
  <c r="Z119" i="1"/>
  <c r="AA119" i="1"/>
  <c r="AB119" i="1"/>
  <c r="AC119" i="1"/>
  <c r="AD119" i="1"/>
  <c r="AE119" i="1"/>
  <c r="AF119" i="1"/>
  <c r="AG119" i="1"/>
  <c r="AH119" i="1"/>
  <c r="AI119" i="1"/>
  <c r="AJ119" i="1"/>
  <c r="AK119" i="1"/>
  <c r="AL119" i="1"/>
  <c r="AM119" i="1"/>
  <c r="AN119" i="1"/>
  <c r="AO119" i="1"/>
  <c r="AP119" i="1"/>
  <c r="AQ119" i="1"/>
  <c r="AR119" i="1"/>
  <c r="AS119" i="1"/>
  <c r="AT119" i="1"/>
  <c r="AU119" i="1"/>
  <c r="AV119" i="1"/>
  <c r="AW119" i="1"/>
  <c r="AX119" i="1"/>
  <c r="AY119" i="1"/>
  <c r="AZ119" i="1"/>
  <c r="BA119" i="1"/>
  <c r="BB119" i="1"/>
  <c r="BC119" i="1"/>
  <c r="BD119" i="1"/>
  <c r="BE119" i="1"/>
  <c r="BF119" i="1"/>
  <c r="BG119" i="1"/>
  <c r="BH119" i="1"/>
  <c r="BI119" i="1"/>
  <c r="BJ119" i="1"/>
  <c r="BK119" i="1"/>
  <c r="BL119" i="1"/>
  <c r="BM119" i="1"/>
  <c r="BN119" i="1"/>
  <c r="BO119" i="1"/>
  <c r="BP119" i="1"/>
  <c r="BQ119" i="1"/>
  <c r="BR119" i="1"/>
  <c r="BS119" i="1"/>
  <c r="BT119" i="1"/>
  <c r="BU119" i="1"/>
  <c r="BV119" i="1"/>
  <c r="BW119" i="1"/>
  <c r="BX119" i="1"/>
  <c r="BY119" i="1"/>
  <c r="BZ119" i="1"/>
  <c r="CA119" i="1"/>
  <c r="CB119" i="1"/>
  <c r="CC119" i="1"/>
  <c r="CD119" i="1"/>
  <c r="H120" i="1"/>
  <c r="I120" i="1"/>
  <c r="J120" i="1"/>
  <c r="K120" i="1"/>
  <c r="L120" i="1"/>
  <c r="M120" i="1"/>
  <c r="N120" i="1"/>
  <c r="O120" i="1"/>
  <c r="P120" i="1"/>
  <c r="Q120" i="1"/>
  <c r="R120" i="1"/>
  <c r="S120" i="1"/>
  <c r="T120" i="1"/>
  <c r="U120" i="1"/>
  <c r="V120" i="1"/>
  <c r="W120" i="1"/>
  <c r="X120" i="1"/>
  <c r="Y120" i="1"/>
  <c r="Z120" i="1"/>
  <c r="AA120" i="1"/>
  <c r="AB120" i="1"/>
  <c r="AC120" i="1"/>
  <c r="AD120" i="1"/>
  <c r="AE120" i="1"/>
  <c r="AF120" i="1"/>
  <c r="AG120" i="1"/>
  <c r="AH120" i="1"/>
  <c r="AI120" i="1"/>
  <c r="AJ120" i="1"/>
  <c r="AK120" i="1"/>
  <c r="AL120" i="1"/>
  <c r="AM120" i="1"/>
  <c r="AN120" i="1"/>
  <c r="AO120" i="1"/>
  <c r="AP120" i="1"/>
  <c r="AQ120" i="1"/>
  <c r="AR120" i="1"/>
  <c r="AS120" i="1"/>
  <c r="AT120" i="1"/>
  <c r="AU120" i="1"/>
  <c r="AV120" i="1"/>
  <c r="AW120" i="1"/>
  <c r="AX120" i="1"/>
  <c r="AY120" i="1"/>
  <c r="AZ120" i="1"/>
  <c r="BA120" i="1"/>
  <c r="BB120" i="1"/>
  <c r="BC120" i="1"/>
  <c r="BD120" i="1"/>
  <c r="BE120" i="1"/>
  <c r="BF120" i="1"/>
  <c r="BG120" i="1"/>
  <c r="BH120" i="1"/>
  <c r="BI120" i="1"/>
  <c r="BJ120" i="1"/>
  <c r="BK120" i="1"/>
  <c r="BL120" i="1"/>
  <c r="BM120" i="1"/>
  <c r="BN120" i="1"/>
  <c r="BO120" i="1"/>
  <c r="BP120" i="1"/>
  <c r="BQ120" i="1"/>
  <c r="BR120" i="1"/>
  <c r="BS120" i="1"/>
  <c r="BT120" i="1"/>
  <c r="BU120" i="1"/>
  <c r="BV120" i="1"/>
  <c r="BW120" i="1"/>
  <c r="BX120" i="1"/>
  <c r="BY120" i="1"/>
  <c r="BZ120" i="1"/>
  <c r="CA120" i="1"/>
  <c r="CB120" i="1"/>
  <c r="CC120" i="1"/>
  <c r="CD120" i="1"/>
  <c r="H121" i="1"/>
  <c r="I121" i="1"/>
  <c r="J121" i="1"/>
  <c r="K121" i="1"/>
  <c r="L121" i="1"/>
  <c r="M121" i="1"/>
  <c r="N121" i="1"/>
  <c r="O121" i="1"/>
  <c r="P121" i="1"/>
  <c r="Q121" i="1"/>
  <c r="R121" i="1"/>
  <c r="S121" i="1"/>
  <c r="T121" i="1"/>
  <c r="U121" i="1"/>
  <c r="V121" i="1"/>
  <c r="W121" i="1"/>
  <c r="X121" i="1"/>
  <c r="Y121" i="1"/>
  <c r="Z121" i="1"/>
  <c r="AA121" i="1"/>
  <c r="AB121" i="1"/>
  <c r="AC121" i="1"/>
  <c r="AD121" i="1"/>
  <c r="AE121" i="1"/>
  <c r="AF121" i="1"/>
  <c r="AG121" i="1"/>
  <c r="AH121" i="1"/>
  <c r="AI121" i="1"/>
  <c r="AJ121" i="1"/>
  <c r="AK121" i="1"/>
  <c r="AL121" i="1"/>
  <c r="AM121" i="1"/>
  <c r="AN121" i="1"/>
  <c r="AO121" i="1"/>
  <c r="AP121" i="1"/>
  <c r="AQ121" i="1"/>
  <c r="AR121" i="1"/>
  <c r="AS121" i="1"/>
  <c r="AT121" i="1"/>
  <c r="AU121" i="1"/>
  <c r="AV121" i="1"/>
  <c r="AW121" i="1"/>
  <c r="AX121" i="1"/>
  <c r="AY121" i="1"/>
  <c r="AZ121" i="1"/>
  <c r="BA121" i="1"/>
  <c r="BB121" i="1"/>
  <c r="BC121" i="1"/>
  <c r="BD121" i="1"/>
  <c r="BE121" i="1"/>
  <c r="BF121" i="1"/>
  <c r="BG121" i="1"/>
  <c r="BH121" i="1"/>
  <c r="BI121" i="1"/>
  <c r="BJ121" i="1"/>
  <c r="BK121" i="1"/>
  <c r="BL121" i="1"/>
  <c r="BM121" i="1"/>
  <c r="BN121" i="1"/>
  <c r="BO121" i="1"/>
  <c r="BP121" i="1"/>
  <c r="BQ121" i="1"/>
  <c r="BR121" i="1"/>
  <c r="BS121" i="1"/>
  <c r="BT121" i="1"/>
  <c r="BU121" i="1"/>
  <c r="BV121" i="1"/>
  <c r="BW121" i="1"/>
  <c r="BX121" i="1"/>
  <c r="BY121" i="1"/>
  <c r="BZ121" i="1"/>
  <c r="CA121" i="1"/>
  <c r="CB121" i="1"/>
  <c r="CC121" i="1"/>
  <c r="CD121" i="1"/>
  <c r="H123" i="1"/>
  <c r="I123" i="1"/>
  <c r="J123" i="1"/>
  <c r="K123" i="1"/>
  <c r="L123" i="1"/>
  <c r="M123" i="1"/>
  <c r="N123" i="1"/>
  <c r="O123" i="1"/>
  <c r="P123" i="1"/>
  <c r="Q123" i="1"/>
  <c r="R123" i="1"/>
  <c r="S123" i="1"/>
  <c r="T123" i="1"/>
  <c r="U123" i="1"/>
  <c r="V123" i="1"/>
  <c r="W123" i="1"/>
  <c r="X123" i="1"/>
  <c r="Y123" i="1"/>
  <c r="Z123" i="1"/>
  <c r="AA123" i="1"/>
  <c r="AB123" i="1"/>
  <c r="AC123" i="1"/>
  <c r="AD123" i="1"/>
  <c r="AE123" i="1"/>
  <c r="AF123" i="1"/>
  <c r="AG123" i="1"/>
  <c r="AH123" i="1"/>
  <c r="AI123" i="1"/>
  <c r="AJ123" i="1"/>
  <c r="AK123" i="1"/>
  <c r="AL123" i="1"/>
  <c r="AM123" i="1"/>
  <c r="AN123" i="1"/>
  <c r="AO123" i="1"/>
  <c r="AP123" i="1"/>
  <c r="AQ123" i="1"/>
  <c r="AR123" i="1"/>
  <c r="AS123" i="1"/>
  <c r="AT123" i="1"/>
  <c r="AU123" i="1"/>
  <c r="AV123" i="1"/>
  <c r="AW123" i="1"/>
  <c r="AX123" i="1"/>
  <c r="AY123" i="1"/>
  <c r="AZ123" i="1"/>
  <c r="BA123" i="1"/>
  <c r="BB123" i="1"/>
  <c r="BC123" i="1"/>
  <c r="BD123" i="1"/>
  <c r="BE123" i="1"/>
  <c r="BF123" i="1"/>
  <c r="BG123" i="1"/>
  <c r="BH123" i="1"/>
  <c r="BI123" i="1"/>
  <c r="BJ123" i="1"/>
  <c r="BK123" i="1"/>
  <c r="BL123" i="1"/>
  <c r="BM123" i="1"/>
  <c r="BN123" i="1"/>
  <c r="BO123" i="1"/>
  <c r="BP123" i="1"/>
  <c r="BQ123" i="1"/>
  <c r="BR123" i="1"/>
  <c r="BS123" i="1"/>
  <c r="BT123" i="1"/>
  <c r="BU123" i="1"/>
  <c r="BV123" i="1"/>
  <c r="BW123" i="1"/>
  <c r="BX123" i="1"/>
  <c r="BY123" i="1"/>
  <c r="BZ123" i="1"/>
  <c r="CA123" i="1"/>
  <c r="CB123" i="1"/>
  <c r="CC123" i="1"/>
  <c r="CD123" i="1"/>
  <c r="H124" i="1"/>
  <c r="I124" i="1"/>
  <c r="J124" i="1"/>
  <c r="K124" i="1"/>
  <c r="L124" i="1"/>
  <c r="M124" i="1"/>
  <c r="N124" i="1"/>
  <c r="O124" i="1"/>
  <c r="P124" i="1"/>
  <c r="Q124" i="1"/>
  <c r="R124" i="1"/>
  <c r="S124" i="1"/>
  <c r="T124" i="1"/>
  <c r="U124" i="1"/>
  <c r="V124" i="1"/>
  <c r="W124" i="1"/>
  <c r="X124" i="1"/>
  <c r="Y124" i="1"/>
  <c r="Z124" i="1"/>
  <c r="AA124" i="1"/>
  <c r="AB124" i="1"/>
  <c r="AC124" i="1"/>
  <c r="AD124" i="1"/>
  <c r="AE124" i="1"/>
  <c r="AF124" i="1"/>
  <c r="AG124" i="1"/>
  <c r="AH124" i="1"/>
  <c r="AI124" i="1"/>
  <c r="AJ124" i="1"/>
  <c r="AK124" i="1"/>
  <c r="AL124" i="1"/>
  <c r="AM124" i="1"/>
  <c r="AN124" i="1"/>
  <c r="AO124" i="1"/>
  <c r="AP124" i="1"/>
  <c r="AQ124" i="1"/>
  <c r="AR124" i="1"/>
  <c r="AS124" i="1"/>
  <c r="AT124" i="1"/>
  <c r="AU124" i="1"/>
  <c r="AV124" i="1"/>
  <c r="AW124" i="1"/>
  <c r="AX124" i="1"/>
  <c r="AY124" i="1"/>
  <c r="AZ124" i="1"/>
  <c r="BA124" i="1"/>
  <c r="BB124" i="1"/>
  <c r="BC124" i="1"/>
  <c r="BD124" i="1"/>
  <c r="BE124" i="1"/>
  <c r="BF124" i="1"/>
  <c r="BG124" i="1"/>
  <c r="BH124" i="1"/>
  <c r="BI124" i="1"/>
  <c r="BJ124" i="1"/>
  <c r="BK124" i="1"/>
  <c r="BL124" i="1"/>
  <c r="BM124" i="1"/>
  <c r="BN124" i="1"/>
  <c r="BO124" i="1"/>
  <c r="BP124" i="1"/>
  <c r="BQ124" i="1"/>
  <c r="BR124" i="1"/>
  <c r="BS124" i="1"/>
  <c r="BT124" i="1"/>
  <c r="BU124" i="1"/>
  <c r="BV124" i="1"/>
  <c r="BW124" i="1"/>
  <c r="BX124" i="1"/>
  <c r="BY124" i="1"/>
  <c r="BZ124" i="1"/>
  <c r="CA124" i="1"/>
  <c r="CB124" i="1"/>
  <c r="CC124" i="1"/>
  <c r="CD124" i="1"/>
  <c r="H125" i="1"/>
  <c r="I125" i="1"/>
  <c r="J125" i="1"/>
  <c r="K125" i="1"/>
  <c r="L125" i="1"/>
  <c r="M125" i="1"/>
  <c r="N125" i="1"/>
  <c r="O125" i="1"/>
  <c r="P125" i="1"/>
  <c r="Q125" i="1"/>
  <c r="R125" i="1"/>
  <c r="S125" i="1"/>
  <c r="T125" i="1"/>
  <c r="U125" i="1"/>
  <c r="V125" i="1"/>
  <c r="W125" i="1"/>
  <c r="X125" i="1"/>
  <c r="Y125" i="1"/>
  <c r="Z125" i="1"/>
  <c r="AA125" i="1"/>
  <c r="AB125" i="1"/>
  <c r="AC125" i="1"/>
  <c r="AD125" i="1"/>
  <c r="AE125" i="1"/>
  <c r="AF125" i="1"/>
  <c r="AG125" i="1"/>
  <c r="AH125" i="1"/>
  <c r="AI125" i="1"/>
  <c r="AJ125" i="1"/>
  <c r="AK125" i="1"/>
  <c r="AL125" i="1"/>
  <c r="AM125" i="1"/>
  <c r="AN125" i="1"/>
  <c r="AO125" i="1"/>
  <c r="AP125" i="1"/>
  <c r="AQ125" i="1"/>
  <c r="AR125" i="1"/>
  <c r="AS125" i="1"/>
  <c r="AT125" i="1"/>
  <c r="AU125" i="1"/>
  <c r="AV125" i="1"/>
  <c r="AW125" i="1"/>
  <c r="AX125" i="1"/>
  <c r="AY125" i="1"/>
  <c r="AZ125" i="1"/>
  <c r="BA125" i="1"/>
  <c r="BB125" i="1"/>
  <c r="BC125" i="1"/>
  <c r="BD125" i="1"/>
  <c r="BE125" i="1"/>
  <c r="BF125" i="1"/>
  <c r="BG125" i="1"/>
  <c r="BH125" i="1"/>
  <c r="BI125" i="1"/>
  <c r="BJ125" i="1"/>
  <c r="BK125" i="1"/>
  <c r="BL125" i="1"/>
  <c r="BM125" i="1"/>
  <c r="BN125" i="1"/>
  <c r="BO125" i="1"/>
  <c r="BP125" i="1"/>
  <c r="BQ125" i="1"/>
  <c r="BR125" i="1"/>
  <c r="BS125" i="1"/>
  <c r="BT125" i="1"/>
  <c r="BU125" i="1"/>
  <c r="BV125" i="1"/>
  <c r="BW125" i="1"/>
  <c r="BX125" i="1"/>
  <c r="BY125" i="1"/>
  <c r="BZ125" i="1"/>
  <c r="CA125" i="1"/>
  <c r="CB125" i="1"/>
  <c r="CC125" i="1"/>
  <c r="CD125" i="1"/>
  <c r="H126" i="1"/>
  <c r="I126" i="1"/>
  <c r="J126" i="1"/>
  <c r="K126" i="1"/>
  <c r="L126" i="1"/>
  <c r="M126" i="1"/>
  <c r="N126" i="1"/>
  <c r="O126" i="1"/>
  <c r="P126" i="1"/>
  <c r="Q126" i="1"/>
  <c r="R126" i="1"/>
  <c r="S126" i="1"/>
  <c r="T126" i="1"/>
  <c r="U126" i="1"/>
  <c r="V126" i="1"/>
  <c r="W126" i="1"/>
  <c r="X126" i="1"/>
  <c r="Y126" i="1"/>
  <c r="Z126" i="1"/>
  <c r="AA126" i="1"/>
  <c r="AB126" i="1"/>
  <c r="AC126" i="1"/>
  <c r="AD126" i="1"/>
  <c r="AE126" i="1"/>
  <c r="AF126" i="1"/>
  <c r="AG126" i="1"/>
  <c r="AH126" i="1"/>
  <c r="AI126" i="1"/>
  <c r="AJ126" i="1"/>
  <c r="AK126" i="1"/>
  <c r="AL126" i="1"/>
  <c r="AM126" i="1"/>
  <c r="AN126" i="1"/>
  <c r="AO126" i="1"/>
  <c r="AP126" i="1"/>
  <c r="AQ126" i="1"/>
  <c r="AR126" i="1"/>
  <c r="AS126" i="1"/>
  <c r="AT126" i="1"/>
  <c r="AU126" i="1"/>
  <c r="AV126" i="1"/>
  <c r="AW126" i="1"/>
  <c r="AX126" i="1"/>
  <c r="AY126" i="1"/>
  <c r="AZ126" i="1"/>
  <c r="BA126" i="1"/>
  <c r="BB126" i="1"/>
  <c r="BC126" i="1"/>
  <c r="BD126" i="1"/>
  <c r="BE126" i="1"/>
  <c r="BF126" i="1"/>
  <c r="BG126" i="1"/>
  <c r="BH126" i="1"/>
  <c r="BI126" i="1"/>
  <c r="BJ126" i="1"/>
  <c r="BK126" i="1"/>
  <c r="BL126" i="1"/>
  <c r="BM126" i="1"/>
  <c r="BN126" i="1"/>
  <c r="BO126" i="1"/>
  <c r="BP126" i="1"/>
  <c r="BQ126" i="1"/>
  <c r="BR126" i="1"/>
  <c r="BS126" i="1"/>
  <c r="BT126" i="1"/>
  <c r="BU126" i="1"/>
  <c r="BV126" i="1"/>
  <c r="BW126" i="1"/>
  <c r="BX126" i="1"/>
  <c r="BY126" i="1"/>
  <c r="BZ126" i="1"/>
  <c r="CA126" i="1"/>
  <c r="CB126" i="1"/>
  <c r="CC126" i="1"/>
  <c r="CD126" i="1"/>
  <c r="H128" i="1"/>
  <c r="I128" i="1"/>
  <c r="J128" i="1"/>
  <c r="K128" i="1"/>
  <c r="L128" i="1"/>
  <c r="M128" i="1"/>
  <c r="N128" i="1"/>
  <c r="O128" i="1"/>
  <c r="P128" i="1"/>
  <c r="Q128" i="1"/>
  <c r="R128" i="1"/>
  <c r="S128" i="1"/>
  <c r="T128" i="1"/>
  <c r="U128" i="1"/>
  <c r="V128" i="1"/>
  <c r="W128" i="1"/>
  <c r="X128" i="1"/>
  <c r="Y128" i="1"/>
  <c r="Z128" i="1"/>
  <c r="AA128" i="1"/>
  <c r="AB128" i="1"/>
  <c r="AC128" i="1"/>
  <c r="AD128" i="1"/>
  <c r="AE128" i="1"/>
  <c r="AF128" i="1"/>
  <c r="AG128" i="1"/>
  <c r="AH128" i="1"/>
  <c r="AI128" i="1"/>
  <c r="AJ128" i="1"/>
  <c r="AK128" i="1"/>
  <c r="AL128" i="1"/>
  <c r="AM128" i="1"/>
  <c r="AN128" i="1"/>
  <c r="AO128" i="1"/>
  <c r="AP128" i="1"/>
  <c r="AQ128" i="1"/>
  <c r="AR128" i="1"/>
  <c r="AS128" i="1"/>
  <c r="AT128" i="1"/>
  <c r="AU128" i="1"/>
  <c r="AV128" i="1"/>
  <c r="AW128" i="1"/>
  <c r="AX128" i="1"/>
  <c r="AY128" i="1"/>
  <c r="AZ128" i="1"/>
  <c r="BA128" i="1"/>
  <c r="BB128" i="1"/>
  <c r="BC128" i="1"/>
  <c r="BD128" i="1"/>
  <c r="BE128" i="1"/>
  <c r="BF128" i="1"/>
  <c r="BG128" i="1"/>
  <c r="BH128" i="1"/>
  <c r="BI128" i="1"/>
  <c r="BJ128" i="1"/>
  <c r="BK128" i="1"/>
  <c r="BL128" i="1"/>
  <c r="BM128" i="1"/>
  <c r="BN128" i="1"/>
  <c r="BO128" i="1"/>
  <c r="BP128" i="1"/>
  <c r="BQ128" i="1"/>
  <c r="BR128" i="1"/>
  <c r="BS128" i="1"/>
  <c r="BT128" i="1"/>
  <c r="BU128" i="1"/>
  <c r="BV128" i="1"/>
  <c r="BW128" i="1"/>
  <c r="BX128" i="1"/>
  <c r="BY128" i="1"/>
  <c r="BZ128" i="1"/>
  <c r="CA128" i="1"/>
  <c r="CB128" i="1"/>
  <c r="CC128" i="1"/>
  <c r="CD128" i="1"/>
  <c r="H129" i="1"/>
  <c r="I129" i="1"/>
  <c r="J129" i="1"/>
  <c r="K129" i="1"/>
  <c r="L129" i="1"/>
  <c r="M129" i="1"/>
  <c r="N129" i="1"/>
  <c r="O129" i="1"/>
  <c r="P129" i="1"/>
  <c r="Q129" i="1"/>
  <c r="R129" i="1"/>
  <c r="S129" i="1"/>
  <c r="T129" i="1"/>
  <c r="U129" i="1"/>
  <c r="V129" i="1"/>
  <c r="W129" i="1"/>
  <c r="X129" i="1"/>
  <c r="Y129" i="1"/>
  <c r="Z129" i="1"/>
  <c r="AA129" i="1"/>
  <c r="AB129" i="1"/>
  <c r="AC129" i="1"/>
  <c r="AD129" i="1"/>
  <c r="AE129" i="1"/>
  <c r="AF129" i="1"/>
  <c r="AG129" i="1"/>
  <c r="AH129" i="1"/>
  <c r="AI129" i="1"/>
  <c r="AJ129" i="1"/>
  <c r="AK129" i="1"/>
  <c r="AL129" i="1"/>
  <c r="AM129" i="1"/>
  <c r="AN129" i="1"/>
  <c r="AO129" i="1"/>
  <c r="AP129" i="1"/>
  <c r="AQ129" i="1"/>
  <c r="AR129" i="1"/>
  <c r="AS129" i="1"/>
  <c r="AT129" i="1"/>
  <c r="AU129" i="1"/>
  <c r="AV129" i="1"/>
  <c r="AW129" i="1"/>
  <c r="AX129" i="1"/>
  <c r="AY129" i="1"/>
  <c r="AZ129" i="1"/>
  <c r="BA129" i="1"/>
  <c r="BB129" i="1"/>
  <c r="BC129" i="1"/>
  <c r="BD129" i="1"/>
  <c r="BE129" i="1"/>
  <c r="BF129" i="1"/>
  <c r="BG129" i="1"/>
  <c r="BH129" i="1"/>
  <c r="BI129" i="1"/>
  <c r="BJ129" i="1"/>
  <c r="BK129" i="1"/>
  <c r="BL129" i="1"/>
  <c r="BM129" i="1"/>
  <c r="BN129" i="1"/>
  <c r="BO129" i="1"/>
  <c r="BP129" i="1"/>
  <c r="BQ129" i="1"/>
  <c r="BR129" i="1"/>
  <c r="BS129" i="1"/>
  <c r="BT129" i="1"/>
  <c r="BU129" i="1"/>
  <c r="BV129" i="1"/>
  <c r="BW129" i="1"/>
  <c r="BX129" i="1"/>
  <c r="BY129" i="1"/>
  <c r="BZ129" i="1"/>
  <c r="CA129" i="1"/>
  <c r="CB129" i="1"/>
  <c r="CC129" i="1"/>
  <c r="CD129" i="1"/>
  <c r="H130" i="1"/>
  <c r="I130" i="1"/>
  <c r="J130" i="1"/>
  <c r="K130" i="1"/>
  <c r="L130" i="1"/>
  <c r="M130" i="1"/>
  <c r="N130" i="1"/>
  <c r="O130" i="1"/>
  <c r="P130" i="1"/>
  <c r="Q130" i="1"/>
  <c r="R130" i="1"/>
  <c r="S130" i="1"/>
  <c r="T130" i="1"/>
  <c r="U130" i="1"/>
  <c r="V130" i="1"/>
  <c r="W130" i="1"/>
  <c r="X130" i="1"/>
  <c r="Y130" i="1"/>
  <c r="Z130" i="1"/>
  <c r="AA130" i="1"/>
  <c r="AB130" i="1"/>
  <c r="AC130" i="1"/>
  <c r="AD130" i="1"/>
  <c r="AE130" i="1"/>
  <c r="AF130" i="1"/>
  <c r="AG130" i="1"/>
  <c r="AH130" i="1"/>
  <c r="AI130" i="1"/>
  <c r="AJ130" i="1"/>
  <c r="AK130" i="1"/>
  <c r="AL130" i="1"/>
  <c r="AM130" i="1"/>
  <c r="AN130" i="1"/>
  <c r="AO130" i="1"/>
  <c r="AP130" i="1"/>
  <c r="AQ130" i="1"/>
  <c r="AR130" i="1"/>
  <c r="AS130" i="1"/>
  <c r="AT130" i="1"/>
  <c r="AU130" i="1"/>
  <c r="AV130" i="1"/>
  <c r="AW130" i="1"/>
  <c r="AX130" i="1"/>
  <c r="AY130" i="1"/>
  <c r="AZ130" i="1"/>
  <c r="BA130" i="1"/>
  <c r="BB130" i="1"/>
  <c r="BC130" i="1"/>
  <c r="BD130" i="1"/>
  <c r="BE130" i="1"/>
  <c r="BF130" i="1"/>
  <c r="BG130" i="1"/>
  <c r="BH130" i="1"/>
  <c r="BI130" i="1"/>
  <c r="BJ130" i="1"/>
  <c r="BK130" i="1"/>
  <c r="BL130" i="1"/>
  <c r="BM130" i="1"/>
  <c r="BN130" i="1"/>
  <c r="BO130" i="1"/>
  <c r="BP130" i="1"/>
  <c r="BQ130" i="1"/>
  <c r="BR130" i="1"/>
  <c r="BS130" i="1"/>
  <c r="BT130" i="1"/>
  <c r="BU130" i="1"/>
  <c r="BV130" i="1"/>
  <c r="BW130" i="1"/>
  <c r="BX130" i="1"/>
  <c r="BY130" i="1"/>
  <c r="BZ130" i="1"/>
  <c r="CA130" i="1"/>
  <c r="CB130" i="1"/>
  <c r="CC130" i="1"/>
  <c r="CD130" i="1"/>
  <c r="H132" i="1"/>
  <c r="I132" i="1"/>
  <c r="J132" i="1"/>
  <c r="K132" i="1"/>
  <c r="L132" i="1"/>
  <c r="M132" i="1"/>
  <c r="N132" i="1"/>
  <c r="O132" i="1"/>
  <c r="P132" i="1"/>
  <c r="Q132" i="1"/>
  <c r="R132" i="1"/>
  <c r="S132" i="1"/>
  <c r="T132" i="1"/>
  <c r="U132" i="1"/>
  <c r="V132" i="1"/>
  <c r="W132" i="1"/>
  <c r="X132" i="1"/>
  <c r="Y132" i="1"/>
  <c r="Z132" i="1"/>
  <c r="AA132" i="1"/>
  <c r="AB132" i="1"/>
  <c r="AC132" i="1"/>
  <c r="AD132" i="1"/>
  <c r="AE132" i="1"/>
  <c r="AF132" i="1"/>
  <c r="AG132" i="1"/>
  <c r="AH132" i="1"/>
  <c r="AI132" i="1"/>
  <c r="AJ132" i="1"/>
  <c r="AK132" i="1"/>
  <c r="AL132" i="1"/>
  <c r="AM132" i="1"/>
  <c r="AN132" i="1"/>
  <c r="AO132" i="1"/>
  <c r="AP132" i="1"/>
  <c r="AQ132" i="1"/>
  <c r="AR132" i="1"/>
  <c r="AS132" i="1"/>
  <c r="AT132" i="1"/>
  <c r="AU132" i="1"/>
  <c r="AV132" i="1"/>
  <c r="AW132" i="1"/>
  <c r="AX132" i="1"/>
  <c r="AY132" i="1"/>
  <c r="AZ132" i="1"/>
  <c r="BA132" i="1"/>
  <c r="BB132" i="1"/>
  <c r="BC132" i="1"/>
  <c r="BD132" i="1"/>
  <c r="BE132" i="1"/>
  <c r="BF132" i="1"/>
  <c r="BG132" i="1"/>
  <c r="BH132" i="1"/>
  <c r="BI132" i="1"/>
  <c r="BJ132" i="1"/>
  <c r="BK132" i="1"/>
  <c r="BL132" i="1"/>
  <c r="BM132" i="1"/>
  <c r="BN132" i="1"/>
  <c r="BO132" i="1"/>
  <c r="BP132" i="1"/>
  <c r="BQ132" i="1"/>
  <c r="BR132" i="1"/>
  <c r="BS132" i="1"/>
  <c r="BT132" i="1"/>
  <c r="BU132" i="1"/>
  <c r="BV132" i="1"/>
  <c r="BW132" i="1"/>
  <c r="BX132" i="1"/>
  <c r="BY132" i="1"/>
  <c r="BZ132" i="1"/>
  <c r="CA132" i="1"/>
  <c r="CB132" i="1"/>
  <c r="CC132" i="1"/>
  <c r="CD132" i="1"/>
  <c r="H133" i="1"/>
  <c r="I133" i="1"/>
  <c r="J133" i="1"/>
  <c r="K133" i="1"/>
  <c r="L133" i="1"/>
  <c r="M133" i="1"/>
  <c r="N133" i="1"/>
  <c r="O133" i="1"/>
  <c r="P133" i="1"/>
  <c r="Q133" i="1"/>
  <c r="R133" i="1"/>
  <c r="S133" i="1"/>
  <c r="T133" i="1"/>
  <c r="U133" i="1"/>
  <c r="V133" i="1"/>
  <c r="W133" i="1"/>
  <c r="X133" i="1"/>
  <c r="Y133" i="1"/>
  <c r="Z133" i="1"/>
  <c r="AA133" i="1"/>
  <c r="AB133" i="1"/>
  <c r="AC133" i="1"/>
  <c r="AD133" i="1"/>
  <c r="AE133" i="1"/>
  <c r="AF133" i="1"/>
  <c r="AG133" i="1"/>
  <c r="AH133" i="1"/>
  <c r="AI133" i="1"/>
  <c r="AJ133" i="1"/>
  <c r="AK133" i="1"/>
  <c r="AL133" i="1"/>
  <c r="AM133" i="1"/>
  <c r="AN133" i="1"/>
  <c r="AO133" i="1"/>
  <c r="AP133" i="1"/>
  <c r="AQ133" i="1"/>
  <c r="AR133" i="1"/>
  <c r="AS133" i="1"/>
  <c r="AT133" i="1"/>
  <c r="AU133" i="1"/>
  <c r="AV133" i="1"/>
  <c r="AW133" i="1"/>
  <c r="AX133" i="1"/>
  <c r="AY133" i="1"/>
  <c r="AZ133" i="1"/>
  <c r="BA133" i="1"/>
  <c r="BB133" i="1"/>
  <c r="BC133" i="1"/>
  <c r="BD133" i="1"/>
  <c r="BE133" i="1"/>
  <c r="BF133" i="1"/>
  <c r="BG133" i="1"/>
  <c r="BH133" i="1"/>
  <c r="BI133" i="1"/>
  <c r="BJ133" i="1"/>
  <c r="BK133" i="1"/>
  <c r="BL133" i="1"/>
  <c r="BM133" i="1"/>
  <c r="BN133" i="1"/>
  <c r="BO133" i="1"/>
  <c r="BP133" i="1"/>
  <c r="BQ133" i="1"/>
  <c r="BR133" i="1"/>
  <c r="BS133" i="1"/>
  <c r="BT133" i="1"/>
  <c r="BU133" i="1"/>
  <c r="BV133" i="1"/>
  <c r="BW133" i="1"/>
  <c r="BX133" i="1"/>
  <c r="BY133" i="1"/>
  <c r="BZ133" i="1"/>
  <c r="CA133" i="1"/>
  <c r="CB133" i="1"/>
  <c r="CC133" i="1"/>
  <c r="CD133" i="1"/>
  <c r="H134" i="1"/>
  <c r="I134" i="1"/>
  <c r="J134" i="1"/>
  <c r="K134" i="1"/>
  <c r="L134" i="1"/>
  <c r="M134" i="1"/>
  <c r="N134" i="1"/>
  <c r="O134" i="1"/>
  <c r="P134" i="1"/>
  <c r="Q134" i="1"/>
  <c r="R134" i="1"/>
  <c r="S134" i="1"/>
  <c r="T134" i="1"/>
  <c r="U134" i="1"/>
  <c r="V134" i="1"/>
  <c r="W134" i="1"/>
  <c r="X134" i="1"/>
  <c r="Y134" i="1"/>
  <c r="Z134" i="1"/>
  <c r="AA134" i="1"/>
  <c r="AB134" i="1"/>
  <c r="AC134" i="1"/>
  <c r="AD134" i="1"/>
  <c r="AE134" i="1"/>
  <c r="AF134" i="1"/>
  <c r="AG134" i="1"/>
  <c r="AH134" i="1"/>
  <c r="AI134" i="1"/>
  <c r="AJ134" i="1"/>
  <c r="AK134" i="1"/>
  <c r="AL134" i="1"/>
  <c r="AM134" i="1"/>
  <c r="AN134" i="1"/>
  <c r="AO134" i="1"/>
  <c r="AP134" i="1"/>
  <c r="AQ134" i="1"/>
  <c r="AR134" i="1"/>
  <c r="AS134" i="1"/>
  <c r="AT134" i="1"/>
  <c r="AU134" i="1"/>
  <c r="AV134" i="1"/>
  <c r="AW134" i="1"/>
  <c r="AX134" i="1"/>
  <c r="AY134" i="1"/>
  <c r="AZ134" i="1"/>
  <c r="BA134" i="1"/>
  <c r="BB134" i="1"/>
  <c r="BC134" i="1"/>
  <c r="BD134" i="1"/>
  <c r="BE134" i="1"/>
  <c r="BF134" i="1"/>
  <c r="BG134" i="1"/>
  <c r="BH134" i="1"/>
  <c r="BI134" i="1"/>
  <c r="BJ134" i="1"/>
  <c r="BK134" i="1"/>
  <c r="BL134" i="1"/>
  <c r="BM134" i="1"/>
  <c r="BN134" i="1"/>
  <c r="BO134" i="1"/>
  <c r="BP134" i="1"/>
  <c r="BQ134" i="1"/>
  <c r="BR134" i="1"/>
  <c r="BS134" i="1"/>
  <c r="BT134" i="1"/>
  <c r="BU134" i="1"/>
  <c r="BV134" i="1"/>
  <c r="BW134" i="1"/>
  <c r="BX134" i="1"/>
  <c r="BY134" i="1"/>
  <c r="BZ134" i="1"/>
  <c r="CA134" i="1"/>
  <c r="CB134" i="1"/>
  <c r="CC134" i="1"/>
  <c r="CD134" i="1"/>
  <c r="H136" i="1"/>
  <c r="I136" i="1"/>
  <c r="J136" i="1"/>
  <c r="K136" i="1"/>
  <c r="L136" i="1"/>
  <c r="M136" i="1"/>
  <c r="N136" i="1"/>
  <c r="O136" i="1"/>
  <c r="P136" i="1"/>
  <c r="Q136" i="1"/>
  <c r="R136" i="1"/>
  <c r="S136" i="1"/>
  <c r="T136" i="1"/>
  <c r="U136" i="1"/>
  <c r="V136" i="1"/>
  <c r="W136" i="1"/>
  <c r="X136" i="1"/>
  <c r="Y136" i="1"/>
  <c r="Z136" i="1"/>
  <c r="AA136" i="1"/>
  <c r="AB136" i="1"/>
  <c r="AC136" i="1"/>
  <c r="AD136" i="1"/>
  <c r="AE136" i="1"/>
  <c r="AF136" i="1"/>
  <c r="AG136" i="1"/>
  <c r="AH136" i="1"/>
  <c r="AI136" i="1"/>
  <c r="AJ136" i="1"/>
  <c r="AK136" i="1"/>
  <c r="AL136" i="1"/>
  <c r="AM136" i="1"/>
  <c r="AN136" i="1"/>
  <c r="AO136" i="1"/>
  <c r="AP136" i="1"/>
  <c r="AQ136" i="1"/>
  <c r="AR136" i="1"/>
  <c r="AS136" i="1"/>
  <c r="AT136" i="1"/>
  <c r="AU136" i="1"/>
  <c r="AV136" i="1"/>
  <c r="AW136" i="1"/>
  <c r="AX136" i="1"/>
  <c r="AY136" i="1"/>
  <c r="AZ136" i="1"/>
  <c r="BA136" i="1"/>
  <c r="BB136" i="1"/>
  <c r="BC136" i="1"/>
  <c r="BD136" i="1"/>
  <c r="BE136" i="1"/>
  <c r="BF136" i="1"/>
  <c r="BG136" i="1"/>
  <c r="BH136" i="1"/>
  <c r="BI136" i="1"/>
  <c r="BJ136" i="1"/>
  <c r="BK136" i="1"/>
  <c r="BL136" i="1"/>
  <c r="BM136" i="1"/>
  <c r="BN136" i="1"/>
  <c r="BO136" i="1"/>
  <c r="BP136" i="1"/>
  <c r="BQ136" i="1"/>
  <c r="BR136" i="1"/>
  <c r="BS136" i="1"/>
  <c r="BT136" i="1"/>
  <c r="BU136" i="1"/>
  <c r="BV136" i="1"/>
  <c r="BW136" i="1"/>
  <c r="BX136" i="1"/>
  <c r="BY136" i="1"/>
  <c r="BZ136" i="1"/>
  <c r="CA136" i="1"/>
  <c r="CB136" i="1"/>
  <c r="CC136" i="1"/>
  <c r="CD136" i="1"/>
  <c r="H137" i="1"/>
  <c r="I137" i="1"/>
  <c r="J137" i="1"/>
  <c r="K137" i="1"/>
  <c r="L137" i="1"/>
  <c r="M137" i="1"/>
  <c r="N137" i="1"/>
  <c r="O137" i="1"/>
  <c r="P137" i="1"/>
  <c r="Q137" i="1"/>
  <c r="R137" i="1"/>
  <c r="S137" i="1"/>
  <c r="T137" i="1"/>
  <c r="U137" i="1"/>
  <c r="V137" i="1"/>
  <c r="W137" i="1"/>
  <c r="X137" i="1"/>
  <c r="Y137" i="1"/>
  <c r="Z137" i="1"/>
  <c r="AA137" i="1"/>
  <c r="AB137" i="1"/>
  <c r="AC137" i="1"/>
  <c r="AD137" i="1"/>
  <c r="AE137" i="1"/>
  <c r="AF137" i="1"/>
  <c r="AG137" i="1"/>
  <c r="AH137" i="1"/>
  <c r="AI137" i="1"/>
  <c r="AJ137" i="1"/>
  <c r="AK137" i="1"/>
  <c r="AL137" i="1"/>
  <c r="AM137" i="1"/>
  <c r="AN137" i="1"/>
  <c r="AO137" i="1"/>
  <c r="AP137" i="1"/>
  <c r="AQ137" i="1"/>
  <c r="AR137" i="1"/>
  <c r="AS137" i="1"/>
  <c r="AT137" i="1"/>
  <c r="AU137" i="1"/>
  <c r="AV137" i="1"/>
  <c r="AW137" i="1"/>
  <c r="AX137" i="1"/>
  <c r="AY137" i="1"/>
  <c r="AZ137" i="1"/>
  <c r="BA137" i="1"/>
  <c r="BB137" i="1"/>
  <c r="BC137" i="1"/>
  <c r="BD137" i="1"/>
  <c r="BE137" i="1"/>
  <c r="BF137" i="1"/>
  <c r="BG137" i="1"/>
  <c r="BH137" i="1"/>
  <c r="BI137" i="1"/>
  <c r="BJ137" i="1"/>
  <c r="BK137" i="1"/>
  <c r="BL137" i="1"/>
  <c r="BM137" i="1"/>
  <c r="BN137" i="1"/>
  <c r="BO137" i="1"/>
  <c r="BP137" i="1"/>
  <c r="BQ137" i="1"/>
  <c r="BR137" i="1"/>
  <c r="BS137" i="1"/>
  <c r="BT137" i="1"/>
  <c r="BU137" i="1"/>
  <c r="BV137" i="1"/>
  <c r="BW137" i="1"/>
  <c r="BX137" i="1"/>
  <c r="BY137" i="1"/>
  <c r="BZ137" i="1"/>
  <c r="CA137" i="1"/>
  <c r="CB137" i="1"/>
  <c r="CC137" i="1"/>
  <c r="CD137" i="1"/>
  <c r="H138" i="1"/>
  <c r="I138" i="1"/>
  <c r="J138" i="1"/>
  <c r="K138" i="1"/>
  <c r="L138" i="1"/>
  <c r="M138" i="1"/>
  <c r="N138" i="1"/>
  <c r="O138" i="1"/>
  <c r="P138" i="1"/>
  <c r="Q138" i="1"/>
  <c r="R138" i="1"/>
  <c r="S138" i="1"/>
  <c r="T138" i="1"/>
  <c r="U138" i="1"/>
  <c r="V138" i="1"/>
  <c r="W138" i="1"/>
  <c r="X138" i="1"/>
  <c r="Y138" i="1"/>
  <c r="Z138" i="1"/>
  <c r="AA138" i="1"/>
  <c r="AB138" i="1"/>
  <c r="AC138" i="1"/>
  <c r="AD138" i="1"/>
  <c r="AE138" i="1"/>
  <c r="AF138" i="1"/>
  <c r="AG138" i="1"/>
  <c r="AH138" i="1"/>
  <c r="AI138" i="1"/>
  <c r="AJ138" i="1"/>
  <c r="AK138" i="1"/>
  <c r="AL138" i="1"/>
  <c r="AM138" i="1"/>
  <c r="AN138" i="1"/>
  <c r="AO138" i="1"/>
  <c r="AP138" i="1"/>
  <c r="AQ138" i="1"/>
  <c r="AR138" i="1"/>
  <c r="AS138" i="1"/>
  <c r="AT138" i="1"/>
  <c r="AU138" i="1"/>
  <c r="AV138" i="1"/>
  <c r="AW138" i="1"/>
  <c r="AX138" i="1"/>
  <c r="AY138" i="1"/>
  <c r="AZ138" i="1"/>
  <c r="BA138" i="1"/>
  <c r="BB138" i="1"/>
  <c r="BC138" i="1"/>
  <c r="BD138" i="1"/>
  <c r="BE138" i="1"/>
  <c r="BF138" i="1"/>
  <c r="BG138" i="1"/>
  <c r="BH138" i="1"/>
  <c r="BI138" i="1"/>
  <c r="BJ138" i="1"/>
  <c r="BK138" i="1"/>
  <c r="BL138" i="1"/>
  <c r="BM138" i="1"/>
  <c r="BN138" i="1"/>
  <c r="BO138" i="1"/>
  <c r="BP138" i="1"/>
  <c r="BQ138" i="1"/>
  <c r="BR138" i="1"/>
  <c r="BS138" i="1"/>
  <c r="BT138" i="1"/>
  <c r="BU138" i="1"/>
  <c r="BV138" i="1"/>
  <c r="BW138" i="1"/>
  <c r="BX138" i="1"/>
  <c r="BY138" i="1"/>
  <c r="BZ138" i="1"/>
  <c r="CA138" i="1"/>
  <c r="CB138" i="1"/>
  <c r="CC138" i="1"/>
  <c r="CD138" i="1"/>
  <c r="H143" i="1"/>
  <c r="I143" i="1"/>
  <c r="J143" i="1"/>
  <c r="K143" i="1"/>
  <c r="L143" i="1"/>
  <c r="M143" i="1"/>
  <c r="N143" i="1"/>
  <c r="O143" i="1"/>
  <c r="P143" i="1"/>
  <c r="Q143" i="1"/>
  <c r="R143" i="1"/>
  <c r="S143" i="1"/>
  <c r="T143" i="1"/>
  <c r="U143" i="1"/>
  <c r="V143" i="1"/>
  <c r="W143" i="1"/>
  <c r="X143" i="1"/>
  <c r="Y143" i="1"/>
  <c r="Z143" i="1"/>
  <c r="AA143" i="1"/>
  <c r="AB143" i="1"/>
  <c r="AC143" i="1"/>
  <c r="AD143" i="1"/>
  <c r="AE143" i="1"/>
  <c r="AF143" i="1"/>
  <c r="AG143" i="1"/>
  <c r="AH143" i="1"/>
  <c r="AI143" i="1"/>
  <c r="AJ143" i="1"/>
  <c r="AK143" i="1"/>
  <c r="AL143" i="1"/>
  <c r="AM143" i="1"/>
  <c r="AN143" i="1"/>
  <c r="AO143" i="1"/>
  <c r="AP143" i="1"/>
  <c r="AQ143" i="1"/>
  <c r="AR143" i="1"/>
  <c r="AS143" i="1"/>
  <c r="AT143" i="1"/>
  <c r="AU143" i="1"/>
  <c r="AV143" i="1"/>
  <c r="AW143" i="1"/>
  <c r="AX143" i="1"/>
  <c r="AY143" i="1"/>
  <c r="AZ143" i="1"/>
  <c r="BA143" i="1"/>
  <c r="BB143" i="1"/>
  <c r="BC143" i="1"/>
  <c r="BD143" i="1"/>
  <c r="BE143" i="1"/>
  <c r="BF143" i="1"/>
  <c r="BG143" i="1"/>
  <c r="BH143" i="1"/>
  <c r="BI143" i="1"/>
  <c r="BJ143" i="1"/>
  <c r="BK143" i="1"/>
  <c r="BL143" i="1"/>
  <c r="BM143" i="1"/>
  <c r="BN143" i="1"/>
  <c r="BO143" i="1"/>
  <c r="BP143" i="1"/>
  <c r="BQ143" i="1"/>
  <c r="BR143" i="1"/>
  <c r="BS143" i="1"/>
  <c r="BT143" i="1"/>
  <c r="BU143" i="1"/>
  <c r="BV143" i="1"/>
  <c r="BW143" i="1"/>
  <c r="BX143" i="1"/>
  <c r="BY143" i="1"/>
  <c r="BZ143" i="1"/>
  <c r="CA143" i="1"/>
  <c r="CB143" i="1"/>
  <c r="CC143" i="1"/>
  <c r="CD143" i="1"/>
  <c r="H144" i="1"/>
  <c r="I144" i="1"/>
  <c r="J144" i="1"/>
  <c r="K144" i="1"/>
  <c r="L144" i="1"/>
  <c r="M144" i="1"/>
  <c r="N144" i="1"/>
  <c r="O144" i="1"/>
  <c r="P144" i="1"/>
  <c r="Q144" i="1"/>
  <c r="R144" i="1"/>
  <c r="S144" i="1"/>
  <c r="T144" i="1"/>
  <c r="U144" i="1"/>
  <c r="V144" i="1"/>
  <c r="W144" i="1"/>
  <c r="X144" i="1"/>
  <c r="Y144" i="1"/>
  <c r="Z144" i="1"/>
  <c r="AA144" i="1"/>
  <c r="AB144" i="1"/>
  <c r="AC144" i="1"/>
  <c r="AD144" i="1"/>
  <c r="AE144" i="1"/>
  <c r="AF144" i="1"/>
  <c r="AG144" i="1"/>
  <c r="AH144" i="1"/>
  <c r="AI144" i="1"/>
  <c r="AJ144" i="1"/>
  <c r="AK144" i="1"/>
  <c r="AL144" i="1"/>
  <c r="AM144" i="1"/>
  <c r="AN144" i="1"/>
  <c r="AO144" i="1"/>
  <c r="AP144" i="1"/>
  <c r="AQ144" i="1"/>
  <c r="AR144" i="1"/>
  <c r="AS144" i="1"/>
  <c r="AT144" i="1"/>
  <c r="AU144" i="1"/>
  <c r="AV144" i="1"/>
  <c r="AW144" i="1"/>
  <c r="AX144" i="1"/>
  <c r="AY144" i="1"/>
  <c r="AZ144" i="1"/>
  <c r="BA144" i="1"/>
  <c r="BB144" i="1"/>
  <c r="BC144" i="1"/>
  <c r="BD144" i="1"/>
  <c r="BE144" i="1"/>
  <c r="BF144" i="1"/>
  <c r="BG144" i="1"/>
  <c r="BH144" i="1"/>
  <c r="BI144" i="1"/>
  <c r="BJ144" i="1"/>
  <c r="BK144" i="1"/>
  <c r="BL144" i="1"/>
  <c r="BM144" i="1"/>
  <c r="BN144" i="1"/>
  <c r="BO144" i="1"/>
  <c r="BP144" i="1"/>
  <c r="BQ144" i="1"/>
  <c r="BR144" i="1"/>
  <c r="BS144" i="1"/>
  <c r="BT144" i="1"/>
  <c r="BU144" i="1"/>
  <c r="BV144" i="1"/>
  <c r="BW144" i="1"/>
  <c r="BX144" i="1"/>
  <c r="BY144" i="1"/>
  <c r="BZ144" i="1"/>
  <c r="CA144" i="1"/>
  <c r="CB144" i="1"/>
  <c r="CC144" i="1"/>
  <c r="CD144" i="1"/>
  <c r="H145" i="1"/>
  <c r="I145" i="1"/>
  <c r="J145" i="1"/>
  <c r="K145" i="1"/>
  <c r="L145" i="1"/>
  <c r="M145" i="1"/>
  <c r="N145" i="1"/>
  <c r="O145" i="1"/>
  <c r="P145" i="1"/>
  <c r="Q145" i="1"/>
  <c r="R145" i="1"/>
  <c r="S145" i="1"/>
  <c r="T145" i="1"/>
  <c r="U145" i="1"/>
  <c r="V145" i="1"/>
  <c r="W145" i="1"/>
  <c r="X145" i="1"/>
  <c r="Y145" i="1"/>
  <c r="Z145" i="1"/>
  <c r="AA145" i="1"/>
  <c r="AB145" i="1"/>
  <c r="AC145" i="1"/>
  <c r="AD145" i="1"/>
  <c r="AE145" i="1"/>
  <c r="AF145" i="1"/>
  <c r="AG145" i="1"/>
  <c r="AH145" i="1"/>
  <c r="AI145" i="1"/>
  <c r="AJ145" i="1"/>
  <c r="AK145" i="1"/>
  <c r="AL145" i="1"/>
  <c r="AM145" i="1"/>
  <c r="AN145" i="1"/>
  <c r="AO145" i="1"/>
  <c r="AP145" i="1"/>
  <c r="AQ145" i="1"/>
  <c r="AR145" i="1"/>
  <c r="AS145" i="1"/>
  <c r="AT145" i="1"/>
  <c r="AU145" i="1"/>
  <c r="AV145" i="1"/>
  <c r="AW145" i="1"/>
  <c r="AX145" i="1"/>
  <c r="AY145" i="1"/>
  <c r="AZ145" i="1"/>
  <c r="BA145" i="1"/>
  <c r="BB145" i="1"/>
  <c r="BC145" i="1"/>
  <c r="BD145" i="1"/>
  <c r="BE145" i="1"/>
  <c r="BF145" i="1"/>
  <c r="BG145" i="1"/>
  <c r="BH145" i="1"/>
  <c r="BI145" i="1"/>
  <c r="BJ145" i="1"/>
  <c r="BK145" i="1"/>
  <c r="BL145" i="1"/>
  <c r="BM145" i="1"/>
  <c r="BN145" i="1"/>
  <c r="BO145" i="1"/>
  <c r="BP145" i="1"/>
  <c r="BQ145" i="1"/>
  <c r="BR145" i="1"/>
  <c r="BS145" i="1"/>
  <c r="BT145" i="1"/>
  <c r="BU145" i="1"/>
  <c r="BV145" i="1"/>
  <c r="BW145" i="1"/>
  <c r="BX145" i="1"/>
  <c r="BY145" i="1"/>
  <c r="BZ145" i="1"/>
  <c r="CA145" i="1"/>
  <c r="CB145" i="1"/>
  <c r="CC145" i="1"/>
  <c r="CD145" i="1"/>
  <c r="H146" i="1"/>
  <c r="I146" i="1"/>
  <c r="J146" i="1"/>
  <c r="K146" i="1"/>
  <c r="L146" i="1"/>
  <c r="M146" i="1"/>
  <c r="N146" i="1"/>
  <c r="O146" i="1"/>
  <c r="P146" i="1"/>
  <c r="Q146" i="1"/>
  <c r="R146" i="1"/>
  <c r="S146" i="1"/>
  <c r="T146" i="1"/>
  <c r="U146" i="1"/>
  <c r="V146" i="1"/>
  <c r="W146" i="1"/>
  <c r="X146" i="1"/>
  <c r="Y146" i="1"/>
  <c r="Z146" i="1"/>
  <c r="AA146" i="1"/>
  <c r="AB146" i="1"/>
  <c r="AC146" i="1"/>
  <c r="AD146" i="1"/>
  <c r="AE146" i="1"/>
  <c r="AF146" i="1"/>
  <c r="AG146" i="1"/>
  <c r="AH146" i="1"/>
  <c r="AI146" i="1"/>
  <c r="AJ146" i="1"/>
  <c r="AK146" i="1"/>
  <c r="AL146" i="1"/>
  <c r="AM146" i="1"/>
  <c r="AN146" i="1"/>
  <c r="AO146" i="1"/>
  <c r="AP146" i="1"/>
  <c r="AQ146" i="1"/>
  <c r="AR146" i="1"/>
  <c r="AS146" i="1"/>
  <c r="AT146" i="1"/>
  <c r="AU146" i="1"/>
  <c r="AV146" i="1"/>
  <c r="AW146" i="1"/>
  <c r="AX146" i="1"/>
  <c r="AY146" i="1"/>
  <c r="AZ146" i="1"/>
  <c r="BA146" i="1"/>
  <c r="BB146" i="1"/>
  <c r="BC146" i="1"/>
  <c r="BD146" i="1"/>
  <c r="BE146" i="1"/>
  <c r="BF146" i="1"/>
  <c r="BG146" i="1"/>
  <c r="BH146" i="1"/>
  <c r="BI146" i="1"/>
  <c r="BJ146" i="1"/>
  <c r="BK146" i="1"/>
  <c r="BL146" i="1"/>
  <c r="BM146" i="1"/>
  <c r="BN146" i="1"/>
  <c r="BO146" i="1"/>
  <c r="BP146" i="1"/>
  <c r="BQ146" i="1"/>
  <c r="BR146" i="1"/>
  <c r="BS146" i="1"/>
  <c r="BT146" i="1"/>
  <c r="BU146" i="1"/>
  <c r="BV146" i="1"/>
  <c r="BW146" i="1"/>
  <c r="BX146" i="1"/>
  <c r="BY146" i="1"/>
  <c r="BZ146" i="1"/>
  <c r="CA146" i="1"/>
  <c r="CB146" i="1"/>
  <c r="CC146" i="1"/>
  <c r="CD146" i="1"/>
  <c r="H147" i="1"/>
  <c r="I147" i="1"/>
  <c r="J147" i="1"/>
  <c r="K147" i="1"/>
  <c r="L147" i="1"/>
  <c r="M147" i="1"/>
  <c r="N147" i="1"/>
  <c r="O147" i="1"/>
  <c r="P147" i="1"/>
  <c r="Q147" i="1"/>
  <c r="R147" i="1"/>
  <c r="S147" i="1"/>
  <c r="T147" i="1"/>
  <c r="U147" i="1"/>
  <c r="V147" i="1"/>
  <c r="W147" i="1"/>
  <c r="X147" i="1"/>
  <c r="Y147" i="1"/>
  <c r="Z147" i="1"/>
  <c r="AA147" i="1"/>
  <c r="AB147" i="1"/>
  <c r="AC147" i="1"/>
  <c r="AD147" i="1"/>
  <c r="AE147" i="1"/>
  <c r="AF147" i="1"/>
  <c r="AG147" i="1"/>
  <c r="AH147" i="1"/>
  <c r="AI147" i="1"/>
  <c r="AJ147" i="1"/>
  <c r="AK147" i="1"/>
  <c r="AL147" i="1"/>
  <c r="AM147" i="1"/>
  <c r="AN147" i="1"/>
  <c r="AO147" i="1"/>
  <c r="AP147" i="1"/>
  <c r="AQ147" i="1"/>
  <c r="AR147" i="1"/>
  <c r="AS147" i="1"/>
  <c r="AT147" i="1"/>
  <c r="AU147" i="1"/>
  <c r="AV147" i="1"/>
  <c r="AW147" i="1"/>
  <c r="AX147" i="1"/>
  <c r="AY147" i="1"/>
  <c r="AZ147" i="1"/>
  <c r="BA147" i="1"/>
  <c r="BB147" i="1"/>
  <c r="BC147" i="1"/>
  <c r="BD147" i="1"/>
  <c r="BE147" i="1"/>
  <c r="BF147" i="1"/>
  <c r="BG147" i="1"/>
  <c r="BH147" i="1"/>
  <c r="BI147" i="1"/>
  <c r="BJ147" i="1"/>
  <c r="BK147" i="1"/>
  <c r="BL147" i="1"/>
  <c r="BM147" i="1"/>
  <c r="BN147" i="1"/>
  <c r="BO147" i="1"/>
  <c r="BP147" i="1"/>
  <c r="BQ147" i="1"/>
  <c r="BR147" i="1"/>
  <c r="BS147" i="1"/>
  <c r="BT147" i="1"/>
  <c r="BU147" i="1"/>
  <c r="BV147" i="1"/>
  <c r="BW147" i="1"/>
  <c r="BX147" i="1"/>
  <c r="BY147" i="1"/>
  <c r="BZ147" i="1"/>
  <c r="CA147" i="1"/>
  <c r="CB147" i="1"/>
  <c r="CC147" i="1"/>
  <c r="CD147" i="1"/>
  <c r="H148" i="1"/>
  <c r="I148" i="1"/>
  <c r="J148" i="1"/>
  <c r="K148" i="1"/>
  <c r="L148" i="1"/>
  <c r="M148" i="1"/>
  <c r="N148" i="1"/>
  <c r="O148" i="1"/>
  <c r="P148" i="1"/>
  <c r="Q148" i="1"/>
  <c r="R148" i="1"/>
  <c r="S148" i="1"/>
  <c r="T148" i="1"/>
  <c r="U148" i="1"/>
  <c r="V148" i="1"/>
  <c r="W148" i="1"/>
  <c r="X148" i="1"/>
  <c r="Y148" i="1"/>
  <c r="Z148" i="1"/>
  <c r="AA148" i="1"/>
  <c r="AB148" i="1"/>
  <c r="AC148" i="1"/>
  <c r="AD148" i="1"/>
  <c r="AE148" i="1"/>
  <c r="AF148" i="1"/>
  <c r="AG148" i="1"/>
  <c r="AH148" i="1"/>
  <c r="AI148" i="1"/>
  <c r="AJ148" i="1"/>
  <c r="AK148" i="1"/>
  <c r="AL148" i="1"/>
  <c r="AM148" i="1"/>
  <c r="AN148" i="1"/>
  <c r="AO148" i="1"/>
  <c r="AP148" i="1"/>
  <c r="AQ148" i="1"/>
  <c r="AR148" i="1"/>
  <c r="AS148" i="1"/>
  <c r="AT148" i="1"/>
  <c r="AU148" i="1"/>
  <c r="AV148" i="1"/>
  <c r="AW148" i="1"/>
  <c r="AX148" i="1"/>
  <c r="AY148" i="1"/>
  <c r="AZ148" i="1"/>
  <c r="BA148" i="1"/>
  <c r="BB148" i="1"/>
  <c r="BC148" i="1"/>
  <c r="BD148" i="1"/>
  <c r="BE148" i="1"/>
  <c r="BF148" i="1"/>
  <c r="BG148" i="1"/>
  <c r="BH148" i="1"/>
  <c r="BI148" i="1"/>
  <c r="BJ148" i="1"/>
  <c r="BK148" i="1"/>
  <c r="BL148" i="1"/>
  <c r="BM148" i="1"/>
  <c r="BN148" i="1"/>
  <c r="BO148" i="1"/>
  <c r="BP148" i="1"/>
  <c r="BQ148" i="1"/>
  <c r="BR148" i="1"/>
  <c r="BS148" i="1"/>
  <c r="BT148" i="1"/>
  <c r="BU148" i="1"/>
  <c r="BV148" i="1"/>
  <c r="BW148" i="1"/>
  <c r="BX148" i="1"/>
  <c r="BY148" i="1"/>
  <c r="BZ148" i="1"/>
  <c r="CA148" i="1"/>
  <c r="CB148" i="1"/>
  <c r="CC148" i="1"/>
  <c r="CD148" i="1"/>
  <c r="H149" i="1"/>
  <c r="I149" i="1"/>
  <c r="J149" i="1"/>
  <c r="K149" i="1"/>
  <c r="L149" i="1"/>
  <c r="M149" i="1"/>
  <c r="N149" i="1"/>
  <c r="O149" i="1"/>
  <c r="P149" i="1"/>
  <c r="Q149" i="1"/>
  <c r="R149" i="1"/>
  <c r="S149" i="1"/>
  <c r="T149" i="1"/>
  <c r="U149" i="1"/>
  <c r="V149" i="1"/>
  <c r="W149" i="1"/>
  <c r="X149" i="1"/>
  <c r="Y149" i="1"/>
  <c r="Z149" i="1"/>
  <c r="AA149" i="1"/>
  <c r="AB149" i="1"/>
  <c r="AC149" i="1"/>
  <c r="AD149" i="1"/>
  <c r="AE149" i="1"/>
  <c r="AF149" i="1"/>
  <c r="AG149" i="1"/>
  <c r="AH149" i="1"/>
  <c r="AI149" i="1"/>
  <c r="AJ149" i="1"/>
  <c r="AK149" i="1"/>
  <c r="AL149" i="1"/>
  <c r="AM149" i="1"/>
  <c r="AN149" i="1"/>
  <c r="AO149" i="1"/>
  <c r="AP149" i="1"/>
  <c r="AQ149" i="1"/>
  <c r="AR149" i="1"/>
  <c r="AS149" i="1"/>
  <c r="AT149" i="1"/>
  <c r="AU149" i="1"/>
  <c r="AV149" i="1"/>
  <c r="AW149" i="1"/>
  <c r="AX149" i="1"/>
  <c r="AY149" i="1"/>
  <c r="AZ149" i="1"/>
  <c r="BA149" i="1"/>
  <c r="BB149" i="1"/>
  <c r="BC149" i="1"/>
  <c r="BD149" i="1"/>
  <c r="BE149" i="1"/>
  <c r="BF149" i="1"/>
  <c r="BG149" i="1"/>
  <c r="BH149" i="1"/>
  <c r="BI149" i="1"/>
  <c r="BJ149" i="1"/>
  <c r="BK149" i="1"/>
  <c r="BL149" i="1"/>
  <c r="BM149" i="1"/>
  <c r="BN149" i="1"/>
  <c r="BO149" i="1"/>
  <c r="BP149" i="1"/>
  <c r="BQ149" i="1"/>
  <c r="BR149" i="1"/>
  <c r="BS149" i="1"/>
  <c r="BT149" i="1"/>
  <c r="BU149" i="1"/>
  <c r="BV149" i="1"/>
  <c r="BW149" i="1"/>
  <c r="BX149" i="1"/>
  <c r="BY149" i="1"/>
  <c r="BZ149" i="1"/>
  <c r="CA149" i="1"/>
  <c r="CB149" i="1"/>
  <c r="CC149" i="1"/>
  <c r="CD149" i="1"/>
  <c r="H150" i="1"/>
  <c r="I150" i="1"/>
  <c r="J150" i="1"/>
  <c r="K150" i="1"/>
  <c r="L150" i="1"/>
  <c r="M150" i="1"/>
  <c r="N150" i="1"/>
  <c r="O150" i="1"/>
  <c r="P150" i="1"/>
  <c r="Q150" i="1"/>
  <c r="R150" i="1"/>
  <c r="S150" i="1"/>
  <c r="T150" i="1"/>
  <c r="U150" i="1"/>
  <c r="V150" i="1"/>
  <c r="W150" i="1"/>
  <c r="X150" i="1"/>
  <c r="Y150" i="1"/>
  <c r="Z150" i="1"/>
  <c r="AA150" i="1"/>
  <c r="AB150" i="1"/>
  <c r="AC150" i="1"/>
  <c r="AD150" i="1"/>
  <c r="AE150" i="1"/>
  <c r="AF150" i="1"/>
  <c r="AG150" i="1"/>
  <c r="AH150" i="1"/>
  <c r="AI150" i="1"/>
  <c r="AJ150" i="1"/>
  <c r="AK150" i="1"/>
  <c r="AL150" i="1"/>
  <c r="AM150" i="1"/>
  <c r="AN150" i="1"/>
  <c r="AO150" i="1"/>
  <c r="AP150" i="1"/>
  <c r="AQ150" i="1"/>
  <c r="AR150" i="1"/>
  <c r="AS150" i="1"/>
  <c r="AT150" i="1"/>
  <c r="AU150" i="1"/>
  <c r="AV150" i="1"/>
  <c r="AW150" i="1"/>
  <c r="AX150" i="1"/>
  <c r="AY150" i="1"/>
  <c r="AZ150" i="1"/>
  <c r="BA150" i="1"/>
  <c r="BB150" i="1"/>
  <c r="BC150" i="1"/>
  <c r="BD150" i="1"/>
  <c r="BE150" i="1"/>
  <c r="BF150" i="1"/>
  <c r="BG150" i="1"/>
  <c r="BH150" i="1"/>
  <c r="BI150" i="1"/>
  <c r="BJ150" i="1"/>
  <c r="BK150" i="1"/>
  <c r="BL150" i="1"/>
  <c r="BM150" i="1"/>
  <c r="BN150" i="1"/>
  <c r="BO150" i="1"/>
  <c r="BP150" i="1"/>
  <c r="BQ150" i="1"/>
  <c r="BR150" i="1"/>
  <c r="BS150" i="1"/>
  <c r="BT150" i="1"/>
  <c r="BU150" i="1"/>
  <c r="BV150" i="1"/>
  <c r="BW150" i="1"/>
  <c r="BX150" i="1"/>
  <c r="BY150" i="1"/>
  <c r="BZ150" i="1"/>
  <c r="CA150" i="1"/>
  <c r="CB150" i="1"/>
  <c r="CC150" i="1"/>
  <c r="CD150" i="1"/>
  <c r="H151" i="1"/>
  <c r="I151" i="1"/>
  <c r="J151" i="1"/>
  <c r="K151" i="1"/>
  <c r="L151" i="1"/>
  <c r="M151" i="1"/>
  <c r="N151" i="1"/>
  <c r="O151" i="1"/>
  <c r="P151" i="1"/>
  <c r="Q151" i="1"/>
  <c r="R151" i="1"/>
  <c r="S151" i="1"/>
  <c r="T151" i="1"/>
  <c r="U151" i="1"/>
  <c r="V151" i="1"/>
  <c r="W151" i="1"/>
  <c r="X151" i="1"/>
  <c r="Y151" i="1"/>
  <c r="Z151" i="1"/>
  <c r="AA151" i="1"/>
  <c r="AB151" i="1"/>
  <c r="AC151" i="1"/>
  <c r="AD151" i="1"/>
  <c r="AE151" i="1"/>
  <c r="AF151" i="1"/>
  <c r="AG151" i="1"/>
  <c r="AH151" i="1"/>
  <c r="AI151" i="1"/>
  <c r="AJ151" i="1"/>
  <c r="AK151" i="1"/>
  <c r="AL151" i="1"/>
  <c r="AM151" i="1"/>
  <c r="AN151" i="1"/>
  <c r="AO151" i="1"/>
  <c r="AP151" i="1"/>
  <c r="AQ151" i="1"/>
  <c r="AR151" i="1"/>
  <c r="AS151" i="1"/>
  <c r="AT151" i="1"/>
  <c r="AU151" i="1"/>
  <c r="AV151" i="1"/>
  <c r="AW151" i="1"/>
  <c r="AX151" i="1"/>
  <c r="AY151" i="1"/>
  <c r="AZ151" i="1"/>
  <c r="BA151" i="1"/>
  <c r="BB151" i="1"/>
  <c r="BC151" i="1"/>
  <c r="BD151" i="1"/>
  <c r="BE151" i="1"/>
  <c r="BF151" i="1"/>
  <c r="BG151" i="1"/>
  <c r="BH151" i="1"/>
  <c r="BI151" i="1"/>
  <c r="BJ151" i="1"/>
  <c r="BK151" i="1"/>
  <c r="BL151" i="1"/>
  <c r="BM151" i="1"/>
  <c r="BN151" i="1"/>
  <c r="BO151" i="1"/>
  <c r="BP151" i="1"/>
  <c r="BQ151" i="1"/>
  <c r="BR151" i="1"/>
  <c r="BS151" i="1"/>
  <c r="BT151" i="1"/>
  <c r="BU151" i="1"/>
  <c r="BV151" i="1"/>
  <c r="BW151" i="1"/>
  <c r="BX151" i="1"/>
  <c r="BY151" i="1"/>
  <c r="BZ151" i="1"/>
  <c r="CA151" i="1"/>
  <c r="CB151" i="1"/>
  <c r="CC151" i="1"/>
  <c r="CD151" i="1"/>
  <c r="H153" i="1"/>
  <c r="I153" i="1"/>
  <c r="J153" i="1"/>
  <c r="K153" i="1"/>
  <c r="L153" i="1"/>
  <c r="M153" i="1"/>
  <c r="N153" i="1"/>
  <c r="O153" i="1"/>
  <c r="P153" i="1"/>
  <c r="Q153" i="1"/>
  <c r="R153" i="1"/>
  <c r="S153" i="1"/>
  <c r="T153" i="1"/>
  <c r="U153" i="1"/>
  <c r="V153" i="1"/>
  <c r="W153" i="1"/>
  <c r="X153" i="1"/>
  <c r="Y153" i="1"/>
  <c r="Z153" i="1"/>
  <c r="AA153" i="1"/>
  <c r="AB153" i="1"/>
  <c r="AC153" i="1"/>
  <c r="AD153" i="1"/>
  <c r="AE153" i="1"/>
  <c r="AF153" i="1"/>
  <c r="AG153" i="1"/>
  <c r="AH153" i="1"/>
  <c r="AI153" i="1"/>
  <c r="AJ153" i="1"/>
  <c r="AK153" i="1"/>
  <c r="AL153" i="1"/>
  <c r="AM153" i="1"/>
  <c r="AN153" i="1"/>
  <c r="AO153" i="1"/>
  <c r="AP153" i="1"/>
  <c r="AQ153" i="1"/>
  <c r="AR153" i="1"/>
  <c r="AS153" i="1"/>
  <c r="AT153" i="1"/>
  <c r="AU153" i="1"/>
  <c r="AV153" i="1"/>
  <c r="AW153" i="1"/>
  <c r="AX153" i="1"/>
  <c r="AY153" i="1"/>
  <c r="AZ153" i="1"/>
  <c r="BA153" i="1"/>
  <c r="BB153" i="1"/>
  <c r="BC153" i="1"/>
  <c r="BD153" i="1"/>
  <c r="BE153" i="1"/>
  <c r="BF153" i="1"/>
  <c r="BG153" i="1"/>
  <c r="BH153" i="1"/>
  <c r="BI153" i="1"/>
  <c r="BJ153" i="1"/>
  <c r="BK153" i="1"/>
  <c r="BL153" i="1"/>
  <c r="BM153" i="1"/>
  <c r="BN153" i="1"/>
  <c r="BO153" i="1"/>
  <c r="BP153" i="1"/>
  <c r="BQ153" i="1"/>
  <c r="BR153" i="1"/>
  <c r="BS153" i="1"/>
  <c r="BT153" i="1"/>
  <c r="BU153" i="1"/>
  <c r="BV153" i="1"/>
  <c r="BW153" i="1"/>
  <c r="BX153" i="1"/>
  <c r="BY153" i="1"/>
  <c r="BZ153" i="1"/>
  <c r="CA153" i="1"/>
  <c r="CB153" i="1"/>
  <c r="CC153" i="1"/>
  <c r="CD153" i="1"/>
  <c r="H154" i="1"/>
  <c r="I154" i="1"/>
  <c r="J154" i="1"/>
  <c r="K154" i="1"/>
  <c r="L154" i="1"/>
  <c r="M154" i="1"/>
  <c r="N154" i="1"/>
  <c r="O154" i="1"/>
  <c r="P154" i="1"/>
  <c r="Q154" i="1"/>
  <c r="R154" i="1"/>
  <c r="S154" i="1"/>
  <c r="T154" i="1"/>
  <c r="U154" i="1"/>
  <c r="V154" i="1"/>
  <c r="W154" i="1"/>
  <c r="X154" i="1"/>
  <c r="Y154" i="1"/>
  <c r="Z154" i="1"/>
  <c r="AA154" i="1"/>
  <c r="AB154" i="1"/>
  <c r="AC154" i="1"/>
  <c r="AD154" i="1"/>
  <c r="AE154" i="1"/>
  <c r="AF154" i="1"/>
  <c r="AG154" i="1"/>
  <c r="AH154" i="1"/>
  <c r="AI154" i="1"/>
  <c r="AJ154" i="1"/>
  <c r="AK154" i="1"/>
  <c r="AL154" i="1"/>
  <c r="AM154" i="1"/>
  <c r="AN154" i="1"/>
  <c r="AO154" i="1"/>
  <c r="AP154" i="1"/>
  <c r="AQ154" i="1"/>
  <c r="AR154" i="1"/>
  <c r="AS154" i="1"/>
  <c r="AT154" i="1"/>
  <c r="AU154" i="1"/>
  <c r="AV154" i="1"/>
  <c r="AW154" i="1"/>
  <c r="AX154" i="1"/>
  <c r="AY154" i="1"/>
  <c r="AZ154" i="1"/>
  <c r="BA154" i="1"/>
  <c r="BB154" i="1"/>
  <c r="BC154" i="1"/>
  <c r="BD154" i="1"/>
  <c r="BE154" i="1"/>
  <c r="BF154" i="1"/>
  <c r="BG154" i="1"/>
  <c r="BH154" i="1"/>
  <c r="BI154" i="1"/>
  <c r="BJ154" i="1"/>
  <c r="BK154" i="1"/>
  <c r="BL154" i="1"/>
  <c r="BM154" i="1"/>
  <c r="BN154" i="1"/>
  <c r="BO154" i="1"/>
  <c r="BP154" i="1"/>
  <c r="BQ154" i="1"/>
  <c r="BR154" i="1"/>
  <c r="BS154" i="1"/>
  <c r="BT154" i="1"/>
  <c r="BU154" i="1"/>
  <c r="BV154" i="1"/>
  <c r="BW154" i="1"/>
  <c r="BX154" i="1"/>
  <c r="BY154" i="1"/>
  <c r="BZ154" i="1"/>
  <c r="CA154" i="1"/>
  <c r="CB154" i="1"/>
  <c r="CC154" i="1"/>
  <c r="CD154" i="1"/>
  <c r="H158" i="1"/>
  <c r="I158" i="1"/>
  <c r="J158" i="1"/>
  <c r="K158" i="1"/>
  <c r="L158" i="1"/>
  <c r="M158" i="1"/>
  <c r="N158" i="1"/>
  <c r="O158" i="1"/>
  <c r="P158" i="1"/>
  <c r="Q158" i="1"/>
  <c r="R158" i="1"/>
  <c r="S158" i="1"/>
  <c r="T158" i="1"/>
  <c r="U158" i="1"/>
  <c r="V158" i="1"/>
  <c r="W158" i="1"/>
  <c r="X158" i="1"/>
  <c r="Y158" i="1"/>
  <c r="Z158" i="1"/>
  <c r="AA158" i="1"/>
  <c r="AB158" i="1"/>
  <c r="AC158" i="1"/>
  <c r="AD158" i="1"/>
  <c r="AG158" i="1"/>
  <c r="AH158" i="1"/>
  <c r="AI158" i="1"/>
  <c r="AJ158" i="1"/>
  <c r="AK158" i="1"/>
  <c r="AL158" i="1"/>
  <c r="AM158" i="1"/>
  <c r="AN158" i="1"/>
  <c r="AO158" i="1"/>
  <c r="AP158" i="1"/>
  <c r="AQ158" i="1"/>
  <c r="AR158" i="1"/>
  <c r="AS158" i="1"/>
  <c r="AT158" i="1"/>
  <c r="AU158" i="1"/>
  <c r="AV158" i="1"/>
  <c r="AW158" i="1"/>
  <c r="AX158" i="1"/>
  <c r="AY158" i="1"/>
  <c r="AZ158" i="1"/>
  <c r="BA158" i="1"/>
  <c r="BB158" i="1"/>
  <c r="BC158" i="1"/>
  <c r="BD158" i="1"/>
  <c r="BE158" i="1"/>
  <c r="BF158" i="1"/>
  <c r="BG158" i="1"/>
  <c r="BH158" i="1"/>
  <c r="BI158" i="1"/>
  <c r="BJ158" i="1"/>
  <c r="BK158" i="1"/>
  <c r="BL158" i="1"/>
  <c r="BM158" i="1"/>
  <c r="BN158" i="1"/>
  <c r="BO158" i="1"/>
  <c r="BP158" i="1"/>
  <c r="BQ158" i="1"/>
  <c r="BR158" i="1"/>
  <c r="BS158" i="1"/>
  <c r="BT158" i="1"/>
  <c r="BU158" i="1"/>
  <c r="BV158" i="1"/>
  <c r="BW158" i="1"/>
  <c r="BX158" i="1"/>
  <c r="BY158" i="1"/>
  <c r="BZ158" i="1"/>
  <c r="CA158" i="1"/>
  <c r="CB158" i="1"/>
  <c r="CC158" i="1"/>
  <c r="CD158" i="1"/>
  <c r="AF159" i="1"/>
  <c r="AG159" i="1"/>
  <c r="AH159" i="1"/>
  <c r="AI159" i="1"/>
  <c r="AJ159" i="1"/>
  <c r="AK159" i="1"/>
  <c r="AL159" i="1"/>
  <c r="AM159" i="1"/>
  <c r="AN159" i="1"/>
  <c r="AO159" i="1"/>
  <c r="AP159" i="1"/>
  <c r="AQ159" i="1"/>
  <c r="AR159" i="1"/>
  <c r="AS159" i="1"/>
  <c r="AT159" i="1"/>
  <c r="AU159" i="1"/>
  <c r="AV159" i="1"/>
  <c r="AW159" i="1"/>
  <c r="AX159" i="1"/>
  <c r="AY159" i="1"/>
  <c r="AZ159" i="1"/>
  <c r="BA159" i="1"/>
  <c r="BB159" i="1"/>
  <c r="BC159" i="1"/>
  <c r="BD159" i="1"/>
  <c r="BE159" i="1"/>
  <c r="BF159" i="1"/>
  <c r="BG159" i="1"/>
  <c r="BH159" i="1"/>
  <c r="BI159" i="1"/>
  <c r="BJ159" i="1"/>
  <c r="BK159" i="1"/>
  <c r="BL159" i="1"/>
  <c r="BM159" i="1"/>
  <c r="BN159" i="1"/>
  <c r="BO159" i="1"/>
  <c r="BP159" i="1"/>
  <c r="BQ159" i="1"/>
  <c r="BR159" i="1"/>
  <c r="BS159" i="1"/>
  <c r="BT159" i="1"/>
  <c r="BU159" i="1"/>
  <c r="BV159" i="1"/>
  <c r="BW159" i="1"/>
  <c r="BX159" i="1"/>
  <c r="BY159" i="1"/>
  <c r="BZ159" i="1"/>
  <c r="CA159" i="1"/>
  <c r="CB159" i="1"/>
  <c r="CC159" i="1"/>
  <c r="CD159" i="1"/>
  <c r="AF160" i="1"/>
  <c r="AG160" i="1"/>
  <c r="AH160" i="1"/>
  <c r="AI160" i="1"/>
  <c r="AJ160" i="1"/>
  <c r="AK160" i="1"/>
  <c r="AL160" i="1"/>
  <c r="AM160" i="1"/>
  <c r="AN160" i="1"/>
  <c r="AO160" i="1"/>
  <c r="AP160" i="1"/>
  <c r="AQ160" i="1"/>
  <c r="AR160" i="1"/>
  <c r="AS160" i="1"/>
  <c r="AT160" i="1"/>
  <c r="AU160" i="1"/>
  <c r="AV160" i="1"/>
  <c r="AW160" i="1"/>
  <c r="AX160" i="1"/>
  <c r="AY160" i="1"/>
  <c r="AZ160" i="1"/>
  <c r="BA160" i="1"/>
  <c r="BB160" i="1"/>
  <c r="BC160" i="1"/>
  <c r="BD160" i="1"/>
  <c r="BE160" i="1"/>
  <c r="BF160" i="1"/>
  <c r="BG160" i="1"/>
  <c r="BH160" i="1"/>
  <c r="BI160" i="1"/>
  <c r="BJ160" i="1"/>
  <c r="BK160" i="1"/>
  <c r="BL160" i="1"/>
  <c r="BM160" i="1"/>
  <c r="BN160" i="1"/>
  <c r="BO160" i="1"/>
  <c r="BP160" i="1"/>
  <c r="BQ160" i="1"/>
  <c r="BR160" i="1"/>
  <c r="BS160" i="1"/>
  <c r="BT160" i="1"/>
  <c r="BU160" i="1"/>
  <c r="BV160" i="1"/>
  <c r="BW160" i="1"/>
  <c r="BX160" i="1"/>
  <c r="BY160" i="1"/>
  <c r="BZ160" i="1"/>
  <c r="CA160" i="1"/>
  <c r="CB160" i="1"/>
  <c r="CC160" i="1"/>
  <c r="CD160" i="1"/>
  <c r="H163" i="1"/>
  <c r="I163" i="1"/>
  <c r="J163" i="1"/>
  <c r="K163" i="1"/>
  <c r="L163" i="1"/>
  <c r="M163" i="1"/>
  <c r="N163" i="1"/>
  <c r="O163" i="1"/>
  <c r="P163" i="1"/>
  <c r="Q163" i="1"/>
  <c r="R163" i="1"/>
  <c r="S163" i="1"/>
  <c r="T163" i="1"/>
  <c r="U163" i="1"/>
  <c r="V163" i="1"/>
  <c r="W163" i="1"/>
  <c r="X163" i="1"/>
  <c r="Y163" i="1"/>
  <c r="Z163" i="1"/>
  <c r="AA163" i="1"/>
  <c r="AB163" i="1"/>
  <c r="AC163" i="1"/>
  <c r="AD163" i="1"/>
  <c r="AE163" i="1"/>
  <c r="AF163" i="1"/>
  <c r="AG163" i="1"/>
  <c r="AH163" i="1"/>
  <c r="AI163" i="1"/>
  <c r="AJ163" i="1"/>
  <c r="AK163" i="1"/>
  <c r="AL163" i="1"/>
  <c r="AM163" i="1"/>
  <c r="AN163" i="1"/>
  <c r="AO163" i="1"/>
  <c r="AP163" i="1"/>
  <c r="AQ163" i="1"/>
  <c r="AR163" i="1"/>
  <c r="AS163" i="1"/>
  <c r="AT163" i="1"/>
  <c r="AU163" i="1"/>
  <c r="AV163" i="1"/>
  <c r="AW163" i="1"/>
  <c r="AX163" i="1"/>
  <c r="AY163" i="1"/>
  <c r="AZ163" i="1"/>
  <c r="BA163" i="1"/>
  <c r="BB163" i="1"/>
  <c r="BC163" i="1"/>
  <c r="BD163" i="1"/>
  <c r="BE163" i="1"/>
  <c r="BF163" i="1"/>
  <c r="BG163" i="1"/>
  <c r="BH163" i="1"/>
  <c r="BI163" i="1"/>
  <c r="BJ163" i="1"/>
  <c r="BK163" i="1"/>
  <c r="BL163" i="1"/>
  <c r="BM163" i="1"/>
  <c r="BN163" i="1"/>
  <c r="BO163" i="1"/>
  <c r="BP163" i="1"/>
  <c r="BQ163" i="1"/>
  <c r="BR163" i="1"/>
  <c r="BS163" i="1"/>
  <c r="BT163" i="1"/>
  <c r="BU163" i="1"/>
  <c r="BV163" i="1"/>
  <c r="BW163" i="1"/>
  <c r="BX163" i="1"/>
  <c r="BY163" i="1"/>
  <c r="BZ163" i="1"/>
  <c r="CA163" i="1"/>
  <c r="CB163" i="1"/>
  <c r="CC163" i="1"/>
  <c r="CD163" i="1"/>
  <c r="H165" i="1"/>
  <c r="I165" i="1"/>
  <c r="J165" i="1"/>
  <c r="K165" i="1"/>
  <c r="L165" i="1"/>
  <c r="M165" i="1"/>
  <c r="N165" i="1"/>
  <c r="O165" i="1"/>
  <c r="P165" i="1"/>
  <c r="Q165" i="1"/>
  <c r="R165" i="1"/>
  <c r="S165" i="1"/>
  <c r="T165" i="1"/>
  <c r="U165" i="1"/>
  <c r="V165" i="1"/>
  <c r="W165" i="1"/>
  <c r="X165" i="1"/>
  <c r="Y165" i="1"/>
  <c r="Z165" i="1"/>
  <c r="AA165" i="1"/>
  <c r="AB165" i="1"/>
  <c r="AC165" i="1"/>
  <c r="AD165" i="1"/>
  <c r="AE165" i="1"/>
  <c r="AG165" i="1"/>
  <c r="AH165" i="1"/>
  <c r="AI165" i="1"/>
  <c r="AJ165" i="1"/>
  <c r="AK165" i="1"/>
  <c r="AL165" i="1"/>
  <c r="AM165" i="1"/>
  <c r="AN165" i="1"/>
  <c r="AO165" i="1"/>
  <c r="AP165" i="1"/>
  <c r="AQ165" i="1"/>
  <c r="AR165" i="1"/>
  <c r="AS165" i="1"/>
  <c r="AT165" i="1"/>
  <c r="AU165" i="1"/>
  <c r="AV165" i="1"/>
  <c r="AW165" i="1"/>
  <c r="AX165" i="1"/>
  <c r="AY165" i="1"/>
  <c r="AZ165" i="1"/>
  <c r="BA165" i="1"/>
  <c r="BB165" i="1"/>
  <c r="BC165" i="1"/>
  <c r="BD165" i="1"/>
  <c r="BE165" i="1"/>
  <c r="BF165" i="1"/>
  <c r="BG165" i="1"/>
  <c r="BH165" i="1"/>
  <c r="BI165" i="1"/>
  <c r="BJ165" i="1"/>
  <c r="BK165" i="1"/>
  <c r="BL165" i="1"/>
  <c r="BM165" i="1"/>
  <c r="BN165" i="1"/>
  <c r="BO165" i="1"/>
  <c r="BP165" i="1"/>
  <c r="BQ165" i="1"/>
  <c r="BR165" i="1"/>
  <c r="BS165" i="1"/>
  <c r="BT165" i="1"/>
  <c r="BU165" i="1"/>
  <c r="BV165" i="1"/>
  <c r="BW165" i="1"/>
  <c r="BX165" i="1"/>
  <c r="BY165" i="1"/>
  <c r="BZ165" i="1"/>
  <c r="CA165" i="1"/>
  <c r="CB165" i="1"/>
  <c r="CC165" i="1"/>
  <c r="CD165" i="1"/>
  <c r="AF166" i="1"/>
  <c r="AG166" i="1"/>
  <c r="AH166" i="1"/>
  <c r="AI166" i="1"/>
  <c r="AJ166" i="1"/>
  <c r="AK166" i="1"/>
  <c r="AL166" i="1"/>
  <c r="AM166" i="1"/>
  <c r="AN166" i="1"/>
  <c r="AO166" i="1"/>
  <c r="AP166" i="1"/>
  <c r="AQ166" i="1"/>
  <c r="AR166" i="1"/>
  <c r="AS166" i="1"/>
  <c r="AT166" i="1"/>
  <c r="AU166" i="1"/>
  <c r="AV166" i="1"/>
  <c r="AW166" i="1"/>
  <c r="AX166" i="1"/>
  <c r="AY166" i="1"/>
  <c r="AZ166" i="1"/>
  <c r="BA166" i="1"/>
  <c r="BB166" i="1"/>
  <c r="BC166" i="1"/>
  <c r="BD166" i="1"/>
  <c r="BE166" i="1"/>
  <c r="BF166" i="1"/>
  <c r="BG166" i="1"/>
  <c r="BH166" i="1"/>
  <c r="BI166" i="1"/>
  <c r="BJ166" i="1"/>
  <c r="BK166" i="1"/>
  <c r="BL166" i="1"/>
  <c r="BM166" i="1"/>
  <c r="BN166" i="1"/>
  <c r="BO166" i="1"/>
  <c r="BP166" i="1"/>
  <c r="BQ166" i="1"/>
  <c r="BR166" i="1"/>
  <c r="BS166" i="1"/>
  <c r="BT166" i="1"/>
  <c r="BU166" i="1"/>
  <c r="BV166" i="1"/>
  <c r="BW166" i="1"/>
  <c r="BX166" i="1"/>
  <c r="BY166" i="1"/>
  <c r="BZ166" i="1"/>
  <c r="CA166" i="1"/>
  <c r="CB166" i="1"/>
  <c r="CC166" i="1"/>
  <c r="CD166" i="1"/>
  <c r="AF167" i="1"/>
  <c r="AG167" i="1"/>
  <c r="AH167" i="1"/>
  <c r="AI167" i="1"/>
  <c r="AJ167" i="1"/>
  <c r="AK167" i="1"/>
  <c r="AL167" i="1"/>
  <c r="AM167" i="1"/>
  <c r="AN167" i="1"/>
  <c r="AO167" i="1"/>
  <c r="AP167" i="1"/>
  <c r="AQ167" i="1"/>
  <c r="AR167" i="1"/>
  <c r="AS167" i="1"/>
  <c r="AT167" i="1"/>
  <c r="AU167" i="1"/>
  <c r="AV167" i="1"/>
  <c r="AW167" i="1"/>
  <c r="AX167" i="1"/>
  <c r="AY167" i="1"/>
  <c r="AZ167" i="1"/>
  <c r="BA167" i="1"/>
  <c r="BB167" i="1"/>
  <c r="BC167" i="1"/>
  <c r="BD167" i="1"/>
  <c r="BE167" i="1"/>
  <c r="BF167" i="1"/>
  <c r="BG167" i="1"/>
  <c r="BH167" i="1"/>
  <c r="BI167" i="1"/>
  <c r="BJ167" i="1"/>
  <c r="BK167" i="1"/>
  <c r="BL167" i="1"/>
  <c r="BM167" i="1"/>
  <c r="BN167" i="1"/>
  <c r="BO167" i="1"/>
  <c r="BP167" i="1"/>
  <c r="BQ167" i="1"/>
  <c r="BR167" i="1"/>
  <c r="BS167" i="1"/>
  <c r="BT167" i="1"/>
  <c r="BU167" i="1"/>
  <c r="BV167" i="1"/>
  <c r="BW167" i="1"/>
  <c r="BX167" i="1"/>
  <c r="BY167" i="1"/>
  <c r="BZ167" i="1"/>
  <c r="CA167" i="1"/>
  <c r="CB167" i="1"/>
  <c r="CC167" i="1"/>
  <c r="CD167" i="1"/>
  <c r="AF168" i="1"/>
  <c r="AG168" i="1"/>
  <c r="AH168" i="1"/>
  <c r="AI168" i="1"/>
  <c r="AJ168" i="1"/>
  <c r="AK168" i="1"/>
  <c r="AL168" i="1"/>
  <c r="AM168" i="1"/>
  <c r="AN168" i="1"/>
  <c r="AO168" i="1"/>
  <c r="AP168" i="1"/>
  <c r="AQ168" i="1"/>
  <c r="AR168" i="1"/>
  <c r="AS168" i="1"/>
  <c r="AT168" i="1"/>
  <c r="AU168" i="1"/>
  <c r="AV168" i="1"/>
  <c r="AW168" i="1"/>
  <c r="AX168" i="1"/>
  <c r="AY168" i="1"/>
  <c r="AZ168" i="1"/>
  <c r="BA168" i="1"/>
  <c r="BB168" i="1"/>
  <c r="BC168" i="1"/>
  <c r="BD168" i="1"/>
  <c r="BE168" i="1"/>
  <c r="BF168" i="1"/>
  <c r="BG168" i="1"/>
  <c r="BH168" i="1"/>
  <c r="BI168" i="1"/>
  <c r="BJ168" i="1"/>
  <c r="BK168" i="1"/>
  <c r="BL168" i="1"/>
  <c r="BM168" i="1"/>
  <c r="BN168" i="1"/>
  <c r="BO168" i="1"/>
  <c r="BP168" i="1"/>
  <c r="BQ168" i="1"/>
  <c r="BR168" i="1"/>
  <c r="BS168" i="1"/>
  <c r="BT168" i="1"/>
  <c r="BU168" i="1"/>
  <c r="BV168" i="1"/>
  <c r="BW168" i="1"/>
  <c r="BX168" i="1"/>
  <c r="BY168" i="1"/>
  <c r="BZ168" i="1"/>
  <c r="CA168" i="1"/>
  <c r="CB168" i="1"/>
  <c r="CC168" i="1"/>
  <c r="CD168" i="1"/>
  <c r="AF169" i="1"/>
  <c r="AG169" i="1"/>
  <c r="AH169" i="1"/>
  <c r="AI169" i="1"/>
  <c r="AJ169" i="1"/>
  <c r="AK169" i="1"/>
  <c r="AL169" i="1"/>
  <c r="AM169" i="1"/>
  <c r="AN169" i="1"/>
  <c r="AO169" i="1"/>
  <c r="AP169" i="1"/>
  <c r="AQ169" i="1"/>
  <c r="AR169" i="1"/>
  <c r="AS169" i="1"/>
  <c r="AT169" i="1"/>
  <c r="AU169" i="1"/>
  <c r="AV169" i="1"/>
  <c r="AW169" i="1"/>
  <c r="AX169" i="1"/>
  <c r="AY169" i="1"/>
  <c r="AZ169" i="1"/>
  <c r="BA169" i="1"/>
  <c r="BB169" i="1"/>
  <c r="BC169" i="1"/>
  <c r="BD169" i="1"/>
  <c r="BE169" i="1"/>
  <c r="BF169" i="1"/>
  <c r="BG169" i="1"/>
  <c r="BH169" i="1"/>
  <c r="BI169" i="1"/>
  <c r="BJ169" i="1"/>
  <c r="BK169" i="1"/>
  <c r="BL169" i="1"/>
  <c r="BM169" i="1"/>
  <c r="BN169" i="1"/>
  <c r="BO169" i="1"/>
  <c r="BP169" i="1"/>
  <c r="BQ169" i="1"/>
  <c r="BR169" i="1"/>
  <c r="BS169" i="1"/>
  <c r="BT169" i="1"/>
  <c r="BU169" i="1"/>
  <c r="BV169" i="1"/>
  <c r="BW169" i="1"/>
  <c r="BX169" i="1"/>
  <c r="BY169" i="1"/>
  <c r="BZ169" i="1"/>
  <c r="CA169" i="1"/>
  <c r="CB169" i="1"/>
  <c r="CC169" i="1"/>
  <c r="CD169" i="1"/>
  <c r="H171" i="1"/>
  <c r="I171" i="1"/>
  <c r="J171" i="1"/>
  <c r="K171" i="1"/>
  <c r="L171" i="1"/>
  <c r="M171" i="1"/>
  <c r="N171" i="1"/>
  <c r="O171" i="1"/>
  <c r="P171" i="1"/>
  <c r="Q171" i="1"/>
  <c r="R171" i="1"/>
  <c r="S171" i="1"/>
  <c r="T171" i="1"/>
  <c r="U171" i="1"/>
  <c r="V171" i="1"/>
  <c r="W171" i="1"/>
  <c r="X171" i="1"/>
  <c r="Y171" i="1"/>
  <c r="Z171" i="1"/>
  <c r="AA171" i="1"/>
  <c r="AB171" i="1"/>
  <c r="AC171" i="1"/>
  <c r="AD171" i="1"/>
  <c r="AE171" i="1"/>
  <c r="AF171" i="1"/>
  <c r="AG171" i="1"/>
  <c r="AH171" i="1"/>
  <c r="AI171" i="1"/>
  <c r="AJ171" i="1"/>
  <c r="AK171" i="1"/>
  <c r="AL171" i="1"/>
  <c r="AM171" i="1"/>
  <c r="AN171" i="1"/>
  <c r="AO171" i="1"/>
  <c r="AP171" i="1"/>
  <c r="AQ171" i="1"/>
  <c r="AR171" i="1"/>
  <c r="AS171" i="1"/>
  <c r="AT171" i="1"/>
  <c r="AU171" i="1"/>
  <c r="AV171" i="1"/>
  <c r="AW171" i="1"/>
  <c r="AX171" i="1"/>
  <c r="AY171" i="1"/>
  <c r="AZ171" i="1"/>
  <c r="BA171" i="1"/>
  <c r="BB171" i="1"/>
  <c r="BC171" i="1"/>
  <c r="BD171" i="1"/>
  <c r="BE171" i="1"/>
  <c r="BF171" i="1"/>
  <c r="BG171" i="1"/>
  <c r="BH171" i="1"/>
  <c r="BI171" i="1"/>
  <c r="BJ171" i="1"/>
  <c r="BK171" i="1"/>
  <c r="BL171" i="1"/>
  <c r="BM171" i="1"/>
  <c r="BN171" i="1"/>
  <c r="BO171" i="1"/>
  <c r="BP171" i="1"/>
  <c r="BQ171" i="1"/>
  <c r="BR171" i="1"/>
  <c r="BS171" i="1"/>
  <c r="BT171" i="1"/>
  <c r="BU171" i="1"/>
  <c r="BV171" i="1"/>
  <c r="BW171" i="1"/>
  <c r="BX171" i="1"/>
  <c r="BY171" i="1"/>
  <c r="BZ171" i="1"/>
  <c r="CA171" i="1"/>
  <c r="CB171" i="1"/>
  <c r="CC171" i="1"/>
  <c r="CD171" i="1"/>
  <c r="H173" i="1"/>
  <c r="I173" i="1"/>
  <c r="J173" i="1"/>
  <c r="K173" i="1"/>
  <c r="L173" i="1"/>
  <c r="M173" i="1"/>
  <c r="N173" i="1"/>
  <c r="O173" i="1"/>
  <c r="P173" i="1"/>
  <c r="Q173" i="1"/>
  <c r="R173" i="1"/>
  <c r="S173" i="1"/>
  <c r="T173" i="1"/>
  <c r="U173" i="1"/>
  <c r="V173" i="1"/>
  <c r="W173" i="1"/>
  <c r="X173" i="1"/>
  <c r="Y173" i="1"/>
  <c r="Z173" i="1"/>
  <c r="AA173" i="1"/>
  <c r="AB173" i="1"/>
  <c r="AC173" i="1"/>
  <c r="AD173" i="1"/>
  <c r="AE173" i="1"/>
  <c r="AF173" i="1"/>
  <c r="AG173" i="1"/>
  <c r="AH173" i="1"/>
  <c r="AI173" i="1"/>
  <c r="AJ173" i="1"/>
  <c r="AK173" i="1"/>
  <c r="AL173" i="1"/>
  <c r="AM173" i="1"/>
  <c r="AN173" i="1"/>
  <c r="AO173" i="1"/>
  <c r="AP173" i="1"/>
  <c r="AQ173" i="1"/>
  <c r="AR173" i="1"/>
  <c r="AS173" i="1"/>
  <c r="AT173" i="1"/>
  <c r="AU173" i="1"/>
  <c r="AV173" i="1"/>
  <c r="AW173" i="1"/>
  <c r="AX173" i="1"/>
  <c r="AY173" i="1"/>
  <c r="AZ173" i="1"/>
  <c r="BA173" i="1"/>
  <c r="BB173" i="1"/>
  <c r="BC173" i="1"/>
  <c r="BD173" i="1"/>
  <c r="BE173" i="1"/>
  <c r="BF173" i="1"/>
  <c r="BG173" i="1"/>
  <c r="BH173" i="1"/>
  <c r="BI173" i="1"/>
  <c r="BJ173" i="1"/>
  <c r="BK173" i="1"/>
  <c r="BL173" i="1"/>
  <c r="BM173" i="1"/>
  <c r="BN173" i="1"/>
  <c r="BO173" i="1"/>
  <c r="BP173" i="1"/>
  <c r="BQ173" i="1"/>
  <c r="BR173" i="1"/>
  <c r="BS173" i="1"/>
  <c r="BT173" i="1"/>
  <c r="BU173" i="1"/>
  <c r="BV173" i="1"/>
  <c r="BW173" i="1"/>
  <c r="BX173" i="1"/>
  <c r="BY173" i="1"/>
  <c r="BZ173" i="1"/>
  <c r="CA173" i="1"/>
  <c r="CB173" i="1"/>
  <c r="CC173" i="1"/>
  <c r="CD173" i="1"/>
  <c r="AF174" i="1"/>
  <c r="AG174" i="1"/>
  <c r="AH174" i="1"/>
  <c r="AI174" i="1"/>
  <c r="AJ174" i="1"/>
  <c r="AK174" i="1"/>
  <c r="AL174" i="1"/>
  <c r="AM174" i="1"/>
  <c r="AN174" i="1"/>
  <c r="AO174" i="1"/>
  <c r="AP174" i="1"/>
  <c r="AQ174" i="1"/>
  <c r="AR174" i="1"/>
  <c r="AS174" i="1"/>
  <c r="AT174" i="1"/>
  <c r="AU174" i="1"/>
  <c r="AV174" i="1"/>
  <c r="AW174" i="1"/>
  <c r="AX174" i="1"/>
  <c r="AY174" i="1"/>
  <c r="AZ174" i="1"/>
  <c r="BA174" i="1"/>
  <c r="BB174" i="1"/>
  <c r="BC174" i="1"/>
  <c r="BD174" i="1"/>
  <c r="BE174" i="1"/>
  <c r="BF174" i="1"/>
  <c r="BG174" i="1"/>
  <c r="BH174" i="1"/>
  <c r="BI174" i="1"/>
  <c r="BJ174" i="1"/>
  <c r="BK174" i="1"/>
  <c r="BL174" i="1"/>
  <c r="BM174" i="1"/>
  <c r="BN174" i="1"/>
  <c r="BO174" i="1"/>
  <c r="BP174" i="1"/>
  <c r="BQ174" i="1"/>
  <c r="BR174" i="1"/>
  <c r="BS174" i="1"/>
  <c r="BT174" i="1"/>
  <c r="BU174" i="1"/>
  <c r="BV174" i="1"/>
  <c r="BW174" i="1"/>
  <c r="BX174" i="1"/>
  <c r="BY174" i="1"/>
  <c r="BZ174" i="1"/>
  <c r="CA174" i="1"/>
  <c r="CB174" i="1"/>
  <c r="CC174" i="1"/>
  <c r="CD174" i="1"/>
  <c r="AF175" i="1"/>
  <c r="AG175" i="1"/>
  <c r="AH175" i="1"/>
  <c r="AI175" i="1"/>
  <c r="AJ175" i="1"/>
  <c r="AK175" i="1"/>
  <c r="AL175" i="1"/>
  <c r="AM175" i="1"/>
  <c r="AN175" i="1"/>
  <c r="AO175" i="1"/>
  <c r="AP175" i="1"/>
  <c r="AQ175" i="1"/>
  <c r="AR175" i="1"/>
  <c r="AS175" i="1"/>
  <c r="AT175" i="1"/>
  <c r="AU175" i="1"/>
  <c r="AV175" i="1"/>
  <c r="AW175" i="1"/>
  <c r="AX175" i="1"/>
  <c r="AY175" i="1"/>
  <c r="AZ175" i="1"/>
  <c r="BA175" i="1"/>
  <c r="BB175" i="1"/>
  <c r="BC175" i="1"/>
  <c r="BD175" i="1"/>
  <c r="BE175" i="1"/>
  <c r="BF175" i="1"/>
  <c r="BG175" i="1"/>
  <c r="BH175" i="1"/>
  <c r="BI175" i="1"/>
  <c r="BJ175" i="1"/>
  <c r="BK175" i="1"/>
  <c r="BL175" i="1"/>
  <c r="BM175" i="1"/>
  <c r="BN175" i="1"/>
  <c r="BO175" i="1"/>
  <c r="BP175" i="1"/>
  <c r="BQ175" i="1"/>
  <c r="BR175" i="1"/>
  <c r="BS175" i="1"/>
  <c r="BT175" i="1"/>
  <c r="BU175" i="1"/>
  <c r="BV175" i="1"/>
  <c r="BW175" i="1"/>
  <c r="BX175" i="1"/>
  <c r="BY175" i="1"/>
  <c r="BZ175" i="1"/>
  <c r="CA175" i="1"/>
  <c r="CB175" i="1"/>
  <c r="CC175" i="1"/>
  <c r="CD175" i="1"/>
  <c r="AF176" i="1"/>
  <c r="AG176" i="1"/>
  <c r="AH176" i="1"/>
  <c r="AI176" i="1"/>
  <c r="AJ176" i="1"/>
  <c r="AK176" i="1"/>
  <c r="AL176" i="1"/>
  <c r="AM176" i="1"/>
  <c r="AN176" i="1"/>
  <c r="AO176" i="1"/>
  <c r="AP176" i="1"/>
  <c r="AQ176" i="1"/>
  <c r="AR176" i="1"/>
  <c r="AS176" i="1"/>
  <c r="AT176" i="1"/>
  <c r="AU176" i="1"/>
  <c r="AV176" i="1"/>
  <c r="AW176" i="1"/>
  <c r="AX176" i="1"/>
  <c r="AY176" i="1"/>
  <c r="AZ176" i="1"/>
  <c r="BA176" i="1"/>
  <c r="BB176" i="1"/>
  <c r="BC176" i="1"/>
  <c r="BD176" i="1"/>
  <c r="BE176" i="1"/>
  <c r="BF176" i="1"/>
  <c r="BG176" i="1"/>
  <c r="BH176" i="1"/>
  <c r="BI176" i="1"/>
  <c r="BJ176" i="1"/>
  <c r="BK176" i="1"/>
  <c r="BL176" i="1"/>
  <c r="BM176" i="1"/>
  <c r="BN176" i="1"/>
  <c r="BO176" i="1"/>
  <c r="BP176" i="1"/>
  <c r="BQ176" i="1"/>
  <c r="BR176" i="1"/>
  <c r="BS176" i="1"/>
  <c r="BT176" i="1"/>
  <c r="BU176" i="1"/>
  <c r="BV176" i="1"/>
  <c r="BW176" i="1"/>
  <c r="BX176" i="1"/>
  <c r="BY176" i="1"/>
  <c r="BZ176" i="1"/>
  <c r="CA176" i="1"/>
  <c r="CB176" i="1"/>
  <c r="CC176" i="1"/>
  <c r="CD176" i="1"/>
  <c r="AF177" i="1"/>
  <c r="AG177" i="1"/>
  <c r="AH177" i="1"/>
  <c r="AI177" i="1"/>
  <c r="AJ177" i="1"/>
  <c r="AK177" i="1"/>
  <c r="AL177" i="1"/>
  <c r="AM177" i="1"/>
  <c r="AN177" i="1"/>
  <c r="AO177" i="1"/>
  <c r="AP177" i="1"/>
  <c r="AQ177" i="1"/>
  <c r="AR177" i="1"/>
  <c r="AS177" i="1"/>
  <c r="AT177" i="1"/>
  <c r="AU177" i="1"/>
  <c r="AV177" i="1"/>
  <c r="AW177" i="1"/>
  <c r="AX177" i="1"/>
  <c r="AY177" i="1"/>
  <c r="AZ177" i="1"/>
  <c r="BA177" i="1"/>
  <c r="BB177" i="1"/>
  <c r="BC177" i="1"/>
  <c r="BD177" i="1"/>
  <c r="BE177" i="1"/>
  <c r="BF177" i="1"/>
  <c r="BG177" i="1"/>
  <c r="BH177" i="1"/>
  <c r="BI177" i="1"/>
  <c r="BJ177" i="1"/>
  <c r="BK177" i="1"/>
  <c r="BL177" i="1"/>
  <c r="BM177" i="1"/>
  <c r="BN177" i="1"/>
  <c r="BO177" i="1"/>
  <c r="BP177" i="1"/>
  <c r="BQ177" i="1"/>
  <c r="BR177" i="1"/>
  <c r="BS177" i="1"/>
  <c r="BT177" i="1"/>
  <c r="BU177" i="1"/>
  <c r="BV177" i="1"/>
  <c r="BW177" i="1"/>
  <c r="BX177" i="1"/>
  <c r="BY177" i="1"/>
  <c r="BZ177" i="1"/>
  <c r="CA177" i="1"/>
  <c r="CB177" i="1"/>
  <c r="CC177" i="1"/>
  <c r="CD177" i="1"/>
  <c r="AF180" i="1"/>
  <c r="AG180" i="1"/>
  <c r="AH180" i="1"/>
  <c r="AI180" i="1"/>
  <c r="AJ180" i="1"/>
  <c r="AK180" i="1"/>
  <c r="AL180" i="1"/>
  <c r="AM180" i="1"/>
  <c r="AN180" i="1"/>
  <c r="AO180" i="1"/>
  <c r="AP180" i="1"/>
  <c r="AQ180" i="1"/>
  <c r="AR180" i="1"/>
  <c r="AS180" i="1"/>
  <c r="AT180" i="1"/>
  <c r="AU180" i="1"/>
  <c r="AV180" i="1"/>
  <c r="AW180" i="1"/>
  <c r="AX180" i="1"/>
  <c r="AY180" i="1"/>
  <c r="AZ180" i="1"/>
  <c r="BA180" i="1"/>
  <c r="BB180" i="1"/>
  <c r="BC180" i="1"/>
  <c r="BD180" i="1"/>
  <c r="BE180" i="1"/>
  <c r="BF180" i="1"/>
  <c r="BG180" i="1"/>
  <c r="BH180" i="1"/>
  <c r="BI180" i="1"/>
  <c r="BJ180" i="1"/>
  <c r="BK180" i="1"/>
  <c r="BL180" i="1"/>
  <c r="BM180" i="1"/>
  <c r="BN180" i="1"/>
  <c r="BO180" i="1"/>
  <c r="BP180" i="1"/>
  <c r="BQ180" i="1"/>
  <c r="BR180" i="1"/>
  <c r="BS180" i="1"/>
  <c r="BT180" i="1"/>
  <c r="BU180" i="1"/>
  <c r="BV180" i="1"/>
  <c r="BW180" i="1"/>
  <c r="BX180" i="1"/>
  <c r="BY180" i="1"/>
  <c r="BZ180" i="1"/>
  <c r="CA180" i="1"/>
  <c r="CB180" i="1"/>
  <c r="CC180" i="1"/>
  <c r="CD180"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D181" i="1"/>
  <c r="AF183" i="1"/>
  <c r="AG183" i="1"/>
  <c r="AH183" i="1"/>
  <c r="AI183" i="1"/>
  <c r="AJ183" i="1"/>
  <c r="AK183" i="1"/>
  <c r="AL183" i="1"/>
  <c r="AM183" i="1"/>
  <c r="AN183" i="1"/>
  <c r="AO183" i="1"/>
  <c r="AP183" i="1"/>
  <c r="AQ183" i="1"/>
  <c r="AR183" i="1"/>
  <c r="AS183" i="1"/>
  <c r="AT183" i="1"/>
  <c r="AU183" i="1"/>
  <c r="AV183" i="1"/>
  <c r="AW183" i="1"/>
  <c r="AX183" i="1"/>
  <c r="AY183" i="1"/>
  <c r="AZ183" i="1"/>
  <c r="BA183" i="1"/>
  <c r="BB183" i="1"/>
  <c r="BC183" i="1"/>
  <c r="BD183" i="1"/>
  <c r="BE183" i="1"/>
  <c r="BF183" i="1"/>
  <c r="BG183" i="1"/>
  <c r="BH183" i="1"/>
  <c r="BI183" i="1"/>
  <c r="BJ183" i="1"/>
  <c r="BK183" i="1"/>
  <c r="BL183" i="1"/>
  <c r="BM183" i="1"/>
  <c r="BN183" i="1"/>
  <c r="BO183" i="1"/>
  <c r="BP183" i="1"/>
  <c r="BQ183" i="1"/>
  <c r="BR183" i="1"/>
  <c r="BS183" i="1"/>
  <c r="BT183" i="1"/>
  <c r="BU183" i="1"/>
  <c r="BV183" i="1"/>
  <c r="BW183" i="1"/>
  <c r="BX183" i="1"/>
  <c r="BY183" i="1"/>
  <c r="BZ183" i="1"/>
  <c r="CA183" i="1"/>
  <c r="CB183" i="1"/>
  <c r="CC183" i="1"/>
  <c r="CD183" i="1"/>
  <c r="AF184" i="1"/>
  <c r="AG184" i="1"/>
  <c r="AH184" i="1"/>
  <c r="AI184" i="1"/>
  <c r="AJ184" i="1"/>
  <c r="AK184" i="1"/>
  <c r="AL184" i="1"/>
  <c r="AM184" i="1"/>
  <c r="AN184" i="1"/>
  <c r="AO184" i="1"/>
  <c r="AP184" i="1"/>
  <c r="AQ184" i="1"/>
  <c r="AR184" i="1"/>
  <c r="AS184" i="1"/>
  <c r="AT184" i="1"/>
  <c r="AU184" i="1"/>
  <c r="AV184" i="1"/>
  <c r="AW184" i="1"/>
  <c r="AX184" i="1"/>
  <c r="AY184" i="1"/>
  <c r="AZ184" i="1"/>
  <c r="BA184" i="1"/>
  <c r="BB184" i="1"/>
  <c r="BC184" i="1"/>
  <c r="BD184" i="1"/>
  <c r="BE184" i="1"/>
  <c r="BF184" i="1"/>
  <c r="BG184" i="1"/>
  <c r="BH184" i="1"/>
  <c r="BI184" i="1"/>
  <c r="BJ184" i="1"/>
  <c r="BK184" i="1"/>
  <c r="BL184" i="1"/>
  <c r="BM184" i="1"/>
  <c r="BN184" i="1"/>
  <c r="BO184" i="1"/>
  <c r="BP184" i="1"/>
  <c r="BQ184" i="1"/>
  <c r="BR184" i="1"/>
  <c r="BS184" i="1"/>
  <c r="BT184" i="1"/>
  <c r="BU184" i="1"/>
  <c r="BV184" i="1"/>
  <c r="BW184" i="1"/>
  <c r="BX184" i="1"/>
  <c r="BY184" i="1"/>
  <c r="BZ184" i="1"/>
  <c r="CA184" i="1"/>
  <c r="CB184" i="1"/>
  <c r="CC184" i="1"/>
  <c r="CD184" i="1"/>
  <c r="AF186" i="1"/>
  <c r="AG186" i="1"/>
  <c r="AH186" i="1"/>
  <c r="AI186" i="1"/>
  <c r="AJ186" i="1"/>
  <c r="AK186" i="1"/>
  <c r="AL186" i="1"/>
  <c r="AM186" i="1"/>
  <c r="AN186" i="1"/>
  <c r="AO186" i="1"/>
  <c r="AP186" i="1"/>
  <c r="AQ186" i="1"/>
  <c r="AR186" i="1"/>
  <c r="AS186" i="1"/>
  <c r="AT186" i="1"/>
  <c r="AU186" i="1"/>
  <c r="AV186" i="1"/>
  <c r="AW186" i="1"/>
  <c r="AX186" i="1"/>
  <c r="AY186" i="1"/>
  <c r="AZ186" i="1"/>
  <c r="BA186" i="1"/>
  <c r="BB186" i="1"/>
  <c r="BC186" i="1"/>
  <c r="BD186" i="1"/>
  <c r="BE186" i="1"/>
  <c r="BF186" i="1"/>
  <c r="BG186" i="1"/>
  <c r="BH186" i="1"/>
  <c r="BI186" i="1"/>
  <c r="BJ186" i="1"/>
  <c r="BK186" i="1"/>
  <c r="BL186" i="1"/>
  <c r="BM186" i="1"/>
  <c r="BN186" i="1"/>
  <c r="BO186" i="1"/>
  <c r="BP186" i="1"/>
  <c r="BQ186" i="1"/>
  <c r="BR186" i="1"/>
  <c r="BS186" i="1"/>
  <c r="BT186" i="1"/>
  <c r="BU186" i="1"/>
  <c r="BV186" i="1"/>
  <c r="BW186" i="1"/>
  <c r="BX186" i="1"/>
  <c r="BY186" i="1"/>
  <c r="BZ186" i="1"/>
  <c r="CA186" i="1"/>
  <c r="CB186" i="1"/>
  <c r="CC186" i="1"/>
  <c r="CD186" i="1"/>
  <c r="H188" i="1"/>
  <c r="H185" i="1" s="1"/>
  <c r="I188" i="1"/>
  <c r="I185" i="1" s="1"/>
  <c r="J188" i="1"/>
  <c r="J185" i="1" s="1"/>
  <c r="K188" i="1"/>
  <c r="K185" i="1" s="1"/>
  <c r="L188" i="1"/>
  <c r="L185" i="1" s="1"/>
  <c r="M188" i="1"/>
  <c r="M185" i="1" s="1"/>
  <c r="N188" i="1"/>
  <c r="N185" i="1" s="1"/>
  <c r="O188" i="1"/>
  <c r="O185" i="1" s="1"/>
  <c r="P188" i="1"/>
  <c r="P185" i="1" s="1"/>
  <c r="Q188" i="1"/>
  <c r="Q185" i="1" s="1"/>
  <c r="R188" i="1"/>
  <c r="R185" i="1" s="1"/>
  <c r="S188" i="1"/>
  <c r="S185" i="1" s="1"/>
  <c r="T188" i="1"/>
  <c r="T185" i="1" s="1"/>
  <c r="U188" i="1"/>
  <c r="U185" i="1" s="1"/>
  <c r="V188" i="1"/>
  <c r="V185" i="1" s="1"/>
  <c r="W188" i="1"/>
  <c r="W185" i="1" s="1"/>
  <c r="X188" i="1"/>
  <c r="X185" i="1" s="1"/>
  <c r="Y188" i="1"/>
  <c r="Y185" i="1" s="1"/>
  <c r="Z188" i="1"/>
  <c r="Z185" i="1" s="1"/>
  <c r="AA188" i="1"/>
  <c r="AA185" i="1" s="1"/>
  <c r="AB188" i="1"/>
  <c r="AB185" i="1" s="1"/>
  <c r="AC188" i="1"/>
  <c r="AC185" i="1" s="1"/>
  <c r="AD188" i="1"/>
  <c r="AD185" i="1" s="1"/>
  <c r="AE188" i="1"/>
  <c r="AE185" i="1" s="1"/>
  <c r="AF188" i="1"/>
  <c r="AG188" i="1"/>
  <c r="AH188" i="1"/>
  <c r="AI188" i="1"/>
  <c r="AJ188" i="1"/>
  <c r="AK188" i="1"/>
  <c r="AL188" i="1"/>
  <c r="AM188" i="1"/>
  <c r="AN188" i="1"/>
  <c r="AO188" i="1"/>
  <c r="AP188" i="1"/>
  <c r="AQ188" i="1"/>
  <c r="AR188" i="1"/>
  <c r="AS188" i="1"/>
  <c r="AT188" i="1"/>
  <c r="AU188" i="1"/>
  <c r="AV188" i="1"/>
  <c r="AW188" i="1"/>
  <c r="AX188" i="1"/>
  <c r="AY188" i="1"/>
  <c r="AZ188" i="1"/>
  <c r="BA188" i="1"/>
  <c r="BB188" i="1"/>
  <c r="BC188" i="1"/>
  <c r="BD188" i="1"/>
  <c r="BE188" i="1"/>
  <c r="BF188" i="1"/>
  <c r="BG188" i="1"/>
  <c r="BH188" i="1"/>
  <c r="BI188" i="1"/>
  <c r="BJ188" i="1"/>
  <c r="BK188" i="1"/>
  <c r="BL188" i="1"/>
  <c r="BM188" i="1"/>
  <c r="BN188" i="1"/>
  <c r="BO188" i="1"/>
  <c r="BP188" i="1"/>
  <c r="BQ188" i="1"/>
  <c r="BR188" i="1"/>
  <c r="BS188" i="1"/>
  <c r="BT188" i="1"/>
  <c r="BU188" i="1"/>
  <c r="BV188" i="1"/>
  <c r="BW188" i="1"/>
  <c r="BX188" i="1"/>
  <c r="BY188" i="1"/>
  <c r="BZ188" i="1"/>
  <c r="CA188" i="1"/>
  <c r="CB188" i="1"/>
  <c r="CC188" i="1"/>
  <c r="CD188" i="1"/>
  <c r="AF189" i="1"/>
  <c r="AG189" i="1"/>
  <c r="AH189" i="1"/>
  <c r="AI189" i="1"/>
  <c r="AJ189" i="1"/>
  <c r="AK189" i="1"/>
  <c r="AL189" i="1"/>
  <c r="AM189" i="1"/>
  <c r="AN189" i="1"/>
  <c r="AO189" i="1"/>
  <c r="AP189" i="1"/>
  <c r="AQ189" i="1"/>
  <c r="AR189" i="1"/>
  <c r="AS189" i="1"/>
  <c r="AT189" i="1"/>
  <c r="AU189" i="1"/>
  <c r="AV189" i="1"/>
  <c r="AW189" i="1"/>
  <c r="AX189" i="1"/>
  <c r="AY189" i="1"/>
  <c r="AZ189" i="1"/>
  <c r="BA189" i="1"/>
  <c r="BB189" i="1"/>
  <c r="BC189" i="1"/>
  <c r="BD189" i="1"/>
  <c r="BE189" i="1"/>
  <c r="BF189" i="1"/>
  <c r="BG189" i="1"/>
  <c r="BH189" i="1"/>
  <c r="BI189" i="1"/>
  <c r="BJ189" i="1"/>
  <c r="BK189" i="1"/>
  <c r="BL189" i="1"/>
  <c r="BM189" i="1"/>
  <c r="BN189" i="1"/>
  <c r="BO189" i="1"/>
  <c r="BP189" i="1"/>
  <c r="BQ189" i="1"/>
  <c r="BR189" i="1"/>
  <c r="BS189" i="1"/>
  <c r="BT189" i="1"/>
  <c r="BU189" i="1"/>
  <c r="BV189" i="1"/>
  <c r="BW189" i="1"/>
  <c r="BX189" i="1"/>
  <c r="BY189" i="1"/>
  <c r="BZ189" i="1"/>
  <c r="CA189" i="1"/>
  <c r="CB189" i="1"/>
  <c r="CC189" i="1"/>
  <c r="CD189" i="1"/>
  <c r="AF190" i="1"/>
  <c r="AG190" i="1"/>
  <c r="AH190" i="1"/>
  <c r="AI190" i="1"/>
  <c r="AJ190" i="1"/>
  <c r="AK190" i="1"/>
  <c r="AL190" i="1"/>
  <c r="AM190" i="1"/>
  <c r="AN190" i="1"/>
  <c r="AO190" i="1"/>
  <c r="AP190" i="1"/>
  <c r="AQ190" i="1"/>
  <c r="AR190" i="1"/>
  <c r="AS190" i="1"/>
  <c r="AT190" i="1"/>
  <c r="AU190" i="1"/>
  <c r="AV190" i="1"/>
  <c r="AW190" i="1"/>
  <c r="AX190" i="1"/>
  <c r="AY190" i="1"/>
  <c r="AZ190" i="1"/>
  <c r="BA190" i="1"/>
  <c r="BB190" i="1"/>
  <c r="BC190" i="1"/>
  <c r="BD190" i="1"/>
  <c r="BE190" i="1"/>
  <c r="BF190" i="1"/>
  <c r="BG190" i="1"/>
  <c r="BH190" i="1"/>
  <c r="BI190" i="1"/>
  <c r="BJ190" i="1"/>
  <c r="BK190" i="1"/>
  <c r="BL190" i="1"/>
  <c r="BM190" i="1"/>
  <c r="BN190" i="1"/>
  <c r="BO190" i="1"/>
  <c r="BP190" i="1"/>
  <c r="BQ190" i="1"/>
  <c r="BR190" i="1"/>
  <c r="BS190" i="1"/>
  <c r="BT190" i="1"/>
  <c r="BU190" i="1"/>
  <c r="BV190" i="1"/>
  <c r="BW190" i="1"/>
  <c r="BX190" i="1"/>
  <c r="BY190" i="1"/>
  <c r="BZ190" i="1"/>
  <c r="CA190" i="1"/>
  <c r="CB190" i="1"/>
  <c r="CC190" i="1"/>
  <c r="CD190" i="1"/>
  <c r="AF191" i="1"/>
  <c r="AG191" i="1"/>
  <c r="AH191" i="1"/>
  <c r="AI191" i="1"/>
  <c r="AJ191" i="1"/>
  <c r="AK191" i="1"/>
  <c r="AL191" i="1"/>
  <c r="AM191" i="1"/>
  <c r="AN191" i="1"/>
  <c r="AO191" i="1"/>
  <c r="AP191" i="1"/>
  <c r="AQ191" i="1"/>
  <c r="AR191" i="1"/>
  <c r="AS191" i="1"/>
  <c r="AT191" i="1"/>
  <c r="AU191" i="1"/>
  <c r="AV191" i="1"/>
  <c r="AW191" i="1"/>
  <c r="AX191" i="1"/>
  <c r="AY191" i="1"/>
  <c r="AZ191" i="1"/>
  <c r="BA191" i="1"/>
  <c r="BB191" i="1"/>
  <c r="BC191" i="1"/>
  <c r="BD191" i="1"/>
  <c r="BE191" i="1"/>
  <c r="BF191" i="1"/>
  <c r="BG191" i="1"/>
  <c r="BH191" i="1"/>
  <c r="BI191" i="1"/>
  <c r="BJ191" i="1"/>
  <c r="BK191" i="1"/>
  <c r="BL191" i="1"/>
  <c r="BM191" i="1"/>
  <c r="BN191" i="1"/>
  <c r="BO191" i="1"/>
  <c r="BP191" i="1"/>
  <c r="BQ191" i="1"/>
  <c r="BR191" i="1"/>
  <c r="BS191" i="1"/>
  <c r="BT191" i="1"/>
  <c r="BU191" i="1"/>
  <c r="BV191" i="1"/>
  <c r="BW191" i="1"/>
  <c r="BX191" i="1"/>
  <c r="BY191" i="1"/>
  <c r="BZ191" i="1"/>
  <c r="CA191" i="1"/>
  <c r="CB191" i="1"/>
  <c r="CC191" i="1"/>
  <c r="CD191" i="1"/>
  <c r="AF192" i="1"/>
  <c r="AG192" i="1"/>
  <c r="AH192" i="1"/>
  <c r="AI192" i="1"/>
  <c r="AJ192" i="1"/>
  <c r="AK192" i="1"/>
  <c r="AL192" i="1"/>
  <c r="AM192" i="1"/>
  <c r="AN192" i="1"/>
  <c r="AO192" i="1"/>
  <c r="AP192" i="1"/>
  <c r="AQ192" i="1"/>
  <c r="AR192" i="1"/>
  <c r="AS192" i="1"/>
  <c r="AT192" i="1"/>
  <c r="AU192" i="1"/>
  <c r="AV192" i="1"/>
  <c r="AW192" i="1"/>
  <c r="AX192" i="1"/>
  <c r="AY192" i="1"/>
  <c r="AZ192" i="1"/>
  <c r="BA192" i="1"/>
  <c r="BB192" i="1"/>
  <c r="BC192" i="1"/>
  <c r="BD192" i="1"/>
  <c r="BE192" i="1"/>
  <c r="BF192" i="1"/>
  <c r="BG192" i="1"/>
  <c r="BH192" i="1"/>
  <c r="BI192" i="1"/>
  <c r="BJ192" i="1"/>
  <c r="BK192" i="1"/>
  <c r="BL192" i="1"/>
  <c r="BM192" i="1"/>
  <c r="BN192" i="1"/>
  <c r="BO192" i="1"/>
  <c r="BP192" i="1"/>
  <c r="BQ192" i="1"/>
  <c r="BR192" i="1"/>
  <c r="BS192" i="1"/>
  <c r="BT192" i="1"/>
  <c r="BU192" i="1"/>
  <c r="BV192" i="1"/>
  <c r="BW192" i="1"/>
  <c r="BX192" i="1"/>
  <c r="BY192" i="1"/>
  <c r="BZ192" i="1"/>
  <c r="CA192" i="1"/>
  <c r="CB192" i="1"/>
  <c r="CC192" i="1"/>
  <c r="CD192" i="1"/>
  <c r="AG195" i="1"/>
  <c r="AH195" i="1"/>
  <c r="AI195" i="1"/>
  <c r="AJ195" i="1"/>
  <c r="AK195" i="1"/>
  <c r="AL195" i="1"/>
  <c r="AM195" i="1"/>
  <c r="AN195" i="1"/>
  <c r="AO195" i="1"/>
  <c r="AP195" i="1"/>
  <c r="AQ195" i="1"/>
  <c r="AR195" i="1"/>
  <c r="AS195" i="1"/>
  <c r="AT195" i="1"/>
  <c r="AU195" i="1"/>
  <c r="AV195" i="1"/>
  <c r="AW195" i="1"/>
  <c r="AX195" i="1"/>
  <c r="AY195" i="1"/>
  <c r="AZ195" i="1"/>
  <c r="BA195" i="1"/>
  <c r="BB195" i="1"/>
  <c r="BC195" i="1"/>
  <c r="BD195" i="1"/>
  <c r="BE195" i="1"/>
  <c r="BF195" i="1"/>
  <c r="BG195" i="1"/>
  <c r="BH195" i="1"/>
  <c r="BI195" i="1"/>
  <c r="BJ195" i="1"/>
  <c r="BK195" i="1"/>
  <c r="BL195" i="1"/>
  <c r="BM195" i="1"/>
  <c r="BN195" i="1"/>
  <c r="BO195" i="1"/>
  <c r="BP195" i="1"/>
  <c r="BQ195" i="1"/>
  <c r="BR195" i="1"/>
  <c r="BS195" i="1"/>
  <c r="BT195" i="1"/>
  <c r="BU195" i="1"/>
  <c r="BV195" i="1"/>
  <c r="BW195" i="1"/>
  <c r="BX195" i="1"/>
  <c r="BY195" i="1"/>
  <c r="BZ195" i="1"/>
  <c r="CA195" i="1"/>
  <c r="CB195" i="1"/>
  <c r="CC195" i="1"/>
  <c r="CD195" i="1"/>
  <c r="AF196" i="1"/>
  <c r="AG196" i="1"/>
  <c r="AH196" i="1"/>
  <c r="AI196" i="1"/>
  <c r="AJ196" i="1"/>
  <c r="AK196" i="1"/>
  <c r="AL196" i="1"/>
  <c r="AM196" i="1"/>
  <c r="AN196" i="1"/>
  <c r="AO196" i="1"/>
  <c r="AP196" i="1"/>
  <c r="AQ196" i="1"/>
  <c r="AR196" i="1"/>
  <c r="AS196" i="1"/>
  <c r="AT196" i="1"/>
  <c r="AU196" i="1"/>
  <c r="AV196" i="1"/>
  <c r="AW196" i="1"/>
  <c r="AX196" i="1"/>
  <c r="AY196" i="1"/>
  <c r="AZ196" i="1"/>
  <c r="BA196" i="1"/>
  <c r="BB196" i="1"/>
  <c r="BC196" i="1"/>
  <c r="BD196" i="1"/>
  <c r="BE196" i="1"/>
  <c r="BF196" i="1"/>
  <c r="BG196" i="1"/>
  <c r="BH196" i="1"/>
  <c r="BI196" i="1"/>
  <c r="BJ196" i="1"/>
  <c r="BK196" i="1"/>
  <c r="BL196" i="1"/>
  <c r="BM196" i="1"/>
  <c r="BN196" i="1"/>
  <c r="BO196" i="1"/>
  <c r="BP196" i="1"/>
  <c r="BQ196" i="1"/>
  <c r="BR196" i="1"/>
  <c r="BS196" i="1"/>
  <c r="BT196" i="1"/>
  <c r="BU196" i="1"/>
  <c r="BV196" i="1"/>
  <c r="BW196" i="1"/>
  <c r="BX196" i="1"/>
  <c r="BY196" i="1"/>
  <c r="BZ196" i="1"/>
  <c r="CA196" i="1"/>
  <c r="CB196" i="1"/>
  <c r="CC196" i="1"/>
  <c r="CD196" i="1"/>
  <c r="H198" i="1"/>
  <c r="H197" i="1" s="1"/>
  <c r="H193" i="1" s="1"/>
  <c r="I198" i="1"/>
  <c r="I197" i="1" s="1"/>
  <c r="I193" i="1" s="1"/>
  <c r="J198" i="1"/>
  <c r="J197" i="1" s="1"/>
  <c r="J193" i="1" s="1"/>
  <c r="K198" i="1"/>
  <c r="K197" i="1" s="1"/>
  <c r="K193" i="1" s="1"/>
  <c r="L198" i="1"/>
  <c r="L197" i="1" s="1"/>
  <c r="L193" i="1" s="1"/>
  <c r="M198" i="1"/>
  <c r="M197" i="1" s="1"/>
  <c r="M193" i="1" s="1"/>
  <c r="N198" i="1"/>
  <c r="N197" i="1" s="1"/>
  <c r="N193" i="1" s="1"/>
  <c r="O198" i="1"/>
  <c r="O197" i="1" s="1"/>
  <c r="O193" i="1" s="1"/>
  <c r="P198" i="1"/>
  <c r="P197" i="1" s="1"/>
  <c r="P193" i="1" s="1"/>
  <c r="Q198" i="1"/>
  <c r="Q197" i="1" s="1"/>
  <c r="Q193" i="1" s="1"/>
  <c r="R198" i="1"/>
  <c r="R197" i="1" s="1"/>
  <c r="R193" i="1" s="1"/>
  <c r="S198" i="1"/>
  <c r="S197" i="1" s="1"/>
  <c r="S193" i="1" s="1"/>
  <c r="T198" i="1"/>
  <c r="T197" i="1" s="1"/>
  <c r="T193" i="1" s="1"/>
  <c r="U198" i="1"/>
  <c r="U197" i="1" s="1"/>
  <c r="U193" i="1" s="1"/>
  <c r="V198" i="1"/>
  <c r="V197" i="1" s="1"/>
  <c r="V193" i="1" s="1"/>
  <c r="W198" i="1"/>
  <c r="W197" i="1" s="1"/>
  <c r="W193" i="1" s="1"/>
  <c r="X198" i="1"/>
  <c r="X197" i="1" s="1"/>
  <c r="X193" i="1" s="1"/>
  <c r="Y198" i="1"/>
  <c r="Y197" i="1" s="1"/>
  <c r="Y193" i="1" s="1"/>
  <c r="Z198" i="1"/>
  <c r="Z197" i="1" s="1"/>
  <c r="Z193" i="1" s="1"/>
  <c r="AA198" i="1"/>
  <c r="AA197" i="1" s="1"/>
  <c r="AA193" i="1" s="1"/>
  <c r="AB198" i="1"/>
  <c r="AB197" i="1" s="1"/>
  <c r="AB193" i="1" s="1"/>
  <c r="AC198" i="1"/>
  <c r="AC197" i="1" s="1"/>
  <c r="AC193" i="1" s="1"/>
  <c r="AD198" i="1"/>
  <c r="AD197" i="1" s="1"/>
  <c r="AD193" i="1" s="1"/>
  <c r="AE198" i="1"/>
  <c r="AE197" i="1" s="1"/>
  <c r="AE193" i="1" s="1"/>
  <c r="AF198" i="1"/>
  <c r="AG198" i="1"/>
  <c r="AH198" i="1"/>
  <c r="AI198" i="1"/>
  <c r="AJ198" i="1"/>
  <c r="AK198" i="1"/>
  <c r="AL198" i="1"/>
  <c r="AM198" i="1"/>
  <c r="AN198" i="1"/>
  <c r="AO198" i="1"/>
  <c r="AP198" i="1"/>
  <c r="AQ198" i="1"/>
  <c r="AR198" i="1"/>
  <c r="AS198" i="1"/>
  <c r="AT198" i="1"/>
  <c r="AU198" i="1"/>
  <c r="AV198" i="1"/>
  <c r="AW198" i="1"/>
  <c r="AX198" i="1"/>
  <c r="AY198" i="1"/>
  <c r="AZ198" i="1"/>
  <c r="BA198" i="1"/>
  <c r="BB198" i="1"/>
  <c r="BC198" i="1"/>
  <c r="BD198" i="1"/>
  <c r="BE198" i="1"/>
  <c r="BF198" i="1"/>
  <c r="BG198" i="1"/>
  <c r="BH198" i="1"/>
  <c r="BI198" i="1"/>
  <c r="BJ198" i="1"/>
  <c r="BK198" i="1"/>
  <c r="BL198" i="1"/>
  <c r="BM198" i="1"/>
  <c r="BN198" i="1"/>
  <c r="BO198" i="1"/>
  <c r="BP198" i="1"/>
  <c r="BQ198" i="1"/>
  <c r="BR198" i="1"/>
  <c r="BS198" i="1"/>
  <c r="BT198" i="1"/>
  <c r="BU198" i="1"/>
  <c r="BV198" i="1"/>
  <c r="BW198" i="1"/>
  <c r="BX198" i="1"/>
  <c r="BY198" i="1"/>
  <c r="BZ198" i="1"/>
  <c r="CA198" i="1"/>
  <c r="CB198" i="1"/>
  <c r="CC198" i="1"/>
  <c r="CD198" i="1"/>
  <c r="AF199" i="1"/>
  <c r="AG199" i="1"/>
  <c r="AH199" i="1"/>
  <c r="AI199" i="1"/>
  <c r="AJ199" i="1"/>
  <c r="AK199" i="1"/>
  <c r="AL199" i="1"/>
  <c r="AM199" i="1"/>
  <c r="AN199" i="1"/>
  <c r="AO199" i="1"/>
  <c r="AP199" i="1"/>
  <c r="AQ199" i="1"/>
  <c r="AR199" i="1"/>
  <c r="AS199" i="1"/>
  <c r="AT199" i="1"/>
  <c r="AU199" i="1"/>
  <c r="AV199" i="1"/>
  <c r="AW199" i="1"/>
  <c r="AX199" i="1"/>
  <c r="AY199" i="1"/>
  <c r="AZ199" i="1"/>
  <c r="BA199" i="1"/>
  <c r="BB199" i="1"/>
  <c r="BC199" i="1"/>
  <c r="BD199" i="1"/>
  <c r="BE199" i="1"/>
  <c r="BF199" i="1"/>
  <c r="BG199" i="1"/>
  <c r="BH199" i="1"/>
  <c r="BI199" i="1"/>
  <c r="BJ199" i="1"/>
  <c r="BK199" i="1"/>
  <c r="BL199" i="1"/>
  <c r="BM199" i="1"/>
  <c r="BN199" i="1"/>
  <c r="BO199" i="1"/>
  <c r="BP199" i="1"/>
  <c r="BQ199" i="1"/>
  <c r="BR199" i="1"/>
  <c r="BS199" i="1"/>
  <c r="BT199" i="1"/>
  <c r="BU199" i="1"/>
  <c r="BV199" i="1"/>
  <c r="BW199" i="1"/>
  <c r="BX199" i="1"/>
  <c r="BY199" i="1"/>
  <c r="BZ199" i="1"/>
  <c r="CA199" i="1"/>
  <c r="CB199" i="1"/>
  <c r="CC199" i="1"/>
  <c r="CD199" i="1"/>
  <c r="AF200" i="1"/>
  <c r="AG200" i="1"/>
  <c r="AH200" i="1"/>
  <c r="AI200" i="1"/>
  <c r="AJ200" i="1"/>
  <c r="AK200" i="1"/>
  <c r="AL200" i="1"/>
  <c r="AM200" i="1"/>
  <c r="AN200" i="1"/>
  <c r="AO200" i="1"/>
  <c r="AP200" i="1"/>
  <c r="AQ200" i="1"/>
  <c r="AR200" i="1"/>
  <c r="AS200" i="1"/>
  <c r="AT200" i="1"/>
  <c r="AU200" i="1"/>
  <c r="AV200" i="1"/>
  <c r="AW200" i="1"/>
  <c r="AX200" i="1"/>
  <c r="AY200" i="1"/>
  <c r="AZ200" i="1"/>
  <c r="BA200" i="1"/>
  <c r="BB200" i="1"/>
  <c r="BC200" i="1"/>
  <c r="BD200" i="1"/>
  <c r="BE200" i="1"/>
  <c r="BF200" i="1"/>
  <c r="BG200" i="1"/>
  <c r="BH200" i="1"/>
  <c r="BI200" i="1"/>
  <c r="BJ200" i="1"/>
  <c r="BK200" i="1"/>
  <c r="BL200" i="1"/>
  <c r="BM200" i="1"/>
  <c r="BN200" i="1"/>
  <c r="BO200" i="1"/>
  <c r="BP200" i="1"/>
  <c r="BQ200" i="1"/>
  <c r="BR200" i="1"/>
  <c r="BS200" i="1"/>
  <c r="BT200" i="1"/>
  <c r="BU200" i="1"/>
  <c r="BV200" i="1"/>
  <c r="BW200" i="1"/>
  <c r="BX200" i="1"/>
  <c r="BY200" i="1"/>
  <c r="BZ200" i="1"/>
  <c r="CA200" i="1"/>
  <c r="CB200" i="1"/>
  <c r="CC200" i="1"/>
  <c r="CD200" i="1"/>
  <c r="AF201" i="1"/>
  <c r="AG201" i="1"/>
  <c r="AH201" i="1"/>
  <c r="AI201" i="1"/>
  <c r="AJ201" i="1"/>
  <c r="AK201" i="1"/>
  <c r="AL201" i="1"/>
  <c r="AM201" i="1"/>
  <c r="AN201" i="1"/>
  <c r="AO201" i="1"/>
  <c r="AP201" i="1"/>
  <c r="AQ201" i="1"/>
  <c r="AR201" i="1"/>
  <c r="AS201" i="1"/>
  <c r="AT201" i="1"/>
  <c r="AU201" i="1"/>
  <c r="AV201" i="1"/>
  <c r="AW201" i="1"/>
  <c r="AX201" i="1"/>
  <c r="AY201" i="1"/>
  <c r="AZ201" i="1"/>
  <c r="BA201" i="1"/>
  <c r="BB201" i="1"/>
  <c r="BC201" i="1"/>
  <c r="BD201" i="1"/>
  <c r="BE201" i="1"/>
  <c r="BF201" i="1"/>
  <c r="BG201" i="1"/>
  <c r="BH201" i="1"/>
  <c r="BI201" i="1"/>
  <c r="BJ201" i="1"/>
  <c r="BK201" i="1"/>
  <c r="BL201" i="1"/>
  <c r="BM201" i="1"/>
  <c r="BN201" i="1"/>
  <c r="BO201" i="1"/>
  <c r="BP201" i="1"/>
  <c r="BQ201" i="1"/>
  <c r="BR201" i="1"/>
  <c r="BS201" i="1"/>
  <c r="BT201" i="1"/>
  <c r="BU201" i="1"/>
  <c r="BV201" i="1"/>
  <c r="BW201" i="1"/>
  <c r="BX201" i="1"/>
  <c r="BY201" i="1"/>
  <c r="BZ201" i="1"/>
  <c r="CA201" i="1"/>
  <c r="CB201" i="1"/>
  <c r="CC201" i="1"/>
  <c r="CD201" i="1"/>
  <c r="AF202" i="1"/>
  <c r="AG202" i="1"/>
  <c r="AH202" i="1"/>
  <c r="AI202" i="1"/>
  <c r="AJ202" i="1"/>
  <c r="AK202" i="1"/>
  <c r="AL202" i="1"/>
  <c r="AM202" i="1"/>
  <c r="AN202" i="1"/>
  <c r="AO202" i="1"/>
  <c r="AP202" i="1"/>
  <c r="AQ202" i="1"/>
  <c r="AR202" i="1"/>
  <c r="AS202" i="1"/>
  <c r="AT202" i="1"/>
  <c r="AU202" i="1"/>
  <c r="AV202" i="1"/>
  <c r="AW202" i="1"/>
  <c r="AX202" i="1"/>
  <c r="AY202" i="1"/>
  <c r="AZ202" i="1"/>
  <c r="BA202" i="1"/>
  <c r="BB202" i="1"/>
  <c r="BC202" i="1"/>
  <c r="BD202" i="1"/>
  <c r="BE202" i="1"/>
  <c r="BF202" i="1"/>
  <c r="BG202" i="1"/>
  <c r="BH202" i="1"/>
  <c r="BI202" i="1"/>
  <c r="BJ202" i="1"/>
  <c r="BK202" i="1"/>
  <c r="BL202" i="1"/>
  <c r="BM202" i="1"/>
  <c r="BN202" i="1"/>
  <c r="BO202" i="1"/>
  <c r="BP202" i="1"/>
  <c r="BQ202" i="1"/>
  <c r="BR202" i="1"/>
  <c r="BS202" i="1"/>
  <c r="BT202" i="1"/>
  <c r="BU202" i="1"/>
  <c r="BV202" i="1"/>
  <c r="BW202" i="1"/>
  <c r="BX202" i="1"/>
  <c r="BY202" i="1"/>
  <c r="BZ202" i="1"/>
  <c r="CA202" i="1"/>
  <c r="CB202" i="1"/>
  <c r="CC202" i="1"/>
  <c r="CD202" i="1"/>
  <c r="AF203" i="1"/>
  <c r="AG203" i="1"/>
  <c r="AH203" i="1"/>
  <c r="AI203" i="1"/>
  <c r="AJ203" i="1"/>
  <c r="AK203" i="1"/>
  <c r="AL203" i="1"/>
  <c r="AM203" i="1"/>
  <c r="AN203" i="1"/>
  <c r="AO203" i="1"/>
  <c r="AP203" i="1"/>
  <c r="AQ203" i="1"/>
  <c r="AR203" i="1"/>
  <c r="AS203" i="1"/>
  <c r="AT203" i="1"/>
  <c r="AU203" i="1"/>
  <c r="AV203" i="1"/>
  <c r="AW203" i="1"/>
  <c r="AX203" i="1"/>
  <c r="AY203" i="1"/>
  <c r="AZ203" i="1"/>
  <c r="BA203" i="1"/>
  <c r="BB203" i="1"/>
  <c r="BC203" i="1"/>
  <c r="BD203" i="1"/>
  <c r="BE203" i="1"/>
  <c r="BF203" i="1"/>
  <c r="BG203" i="1"/>
  <c r="BH203" i="1"/>
  <c r="BI203" i="1"/>
  <c r="BJ203" i="1"/>
  <c r="BK203" i="1"/>
  <c r="BL203" i="1"/>
  <c r="BM203" i="1"/>
  <c r="BN203" i="1"/>
  <c r="BO203" i="1"/>
  <c r="BP203" i="1"/>
  <c r="BQ203" i="1"/>
  <c r="BR203" i="1"/>
  <c r="BS203" i="1"/>
  <c r="BT203" i="1"/>
  <c r="BU203" i="1"/>
  <c r="BV203" i="1"/>
  <c r="BW203" i="1"/>
  <c r="BX203" i="1"/>
  <c r="BY203" i="1"/>
  <c r="BZ203" i="1"/>
  <c r="CA203" i="1"/>
  <c r="CB203" i="1"/>
  <c r="CC203" i="1"/>
  <c r="CD203" i="1"/>
  <c r="H206" i="1"/>
  <c r="I206" i="1"/>
  <c r="J206" i="1"/>
  <c r="K206" i="1"/>
  <c r="L206" i="1"/>
  <c r="M206" i="1"/>
  <c r="N206" i="1"/>
  <c r="O206" i="1"/>
  <c r="P206" i="1"/>
  <c r="Q206" i="1"/>
  <c r="R206" i="1"/>
  <c r="S206" i="1"/>
  <c r="T206" i="1"/>
  <c r="U206" i="1"/>
  <c r="V206" i="1"/>
  <c r="W206" i="1"/>
  <c r="X206" i="1"/>
  <c r="Y206" i="1"/>
  <c r="Z206" i="1"/>
  <c r="AA206" i="1"/>
  <c r="AB206" i="1"/>
  <c r="AC206" i="1"/>
  <c r="AD206" i="1"/>
  <c r="AE206" i="1"/>
  <c r="AF206" i="1"/>
  <c r="AG206" i="1"/>
  <c r="AH206" i="1"/>
  <c r="AI206" i="1"/>
  <c r="AJ206" i="1"/>
  <c r="AK206" i="1"/>
  <c r="AL206" i="1"/>
  <c r="AM206" i="1"/>
  <c r="AN206" i="1"/>
  <c r="AO206" i="1"/>
  <c r="AP206" i="1"/>
  <c r="AQ206" i="1"/>
  <c r="AR206" i="1"/>
  <c r="AS206" i="1"/>
  <c r="AT206" i="1"/>
  <c r="AU206" i="1"/>
  <c r="AV206" i="1"/>
  <c r="AW206" i="1"/>
  <c r="AX206" i="1"/>
  <c r="AY206" i="1"/>
  <c r="AZ206" i="1"/>
  <c r="BA206" i="1"/>
  <c r="BB206" i="1"/>
  <c r="BC206" i="1"/>
  <c r="BD206" i="1"/>
  <c r="BE206" i="1"/>
  <c r="BF206" i="1"/>
  <c r="BG206" i="1"/>
  <c r="BH206" i="1"/>
  <c r="BI206" i="1"/>
  <c r="BJ206" i="1"/>
  <c r="BK206" i="1"/>
  <c r="BL206" i="1"/>
  <c r="BM206" i="1"/>
  <c r="BN206" i="1"/>
  <c r="BO206" i="1"/>
  <c r="BP206" i="1"/>
  <c r="BQ206" i="1"/>
  <c r="BR206" i="1"/>
  <c r="BS206" i="1"/>
  <c r="BT206" i="1"/>
  <c r="BU206" i="1"/>
  <c r="BV206" i="1"/>
  <c r="BW206" i="1"/>
  <c r="BX206" i="1"/>
  <c r="BY206" i="1"/>
  <c r="BZ206" i="1"/>
  <c r="CA206" i="1"/>
  <c r="CB206" i="1"/>
  <c r="CC206" i="1"/>
  <c r="CD206" i="1"/>
  <c r="H207" i="1"/>
  <c r="I207" i="1"/>
  <c r="J207" i="1"/>
  <c r="K207" i="1"/>
  <c r="L207" i="1"/>
  <c r="M207" i="1"/>
  <c r="N207" i="1"/>
  <c r="O207" i="1"/>
  <c r="P207" i="1"/>
  <c r="Q207" i="1"/>
  <c r="R207" i="1"/>
  <c r="S207" i="1"/>
  <c r="T207" i="1"/>
  <c r="U207" i="1"/>
  <c r="V207" i="1"/>
  <c r="W207" i="1"/>
  <c r="X207" i="1"/>
  <c r="Y207" i="1"/>
  <c r="Z207" i="1"/>
  <c r="AA207" i="1"/>
  <c r="AB207" i="1"/>
  <c r="AC207" i="1"/>
  <c r="AD207" i="1"/>
  <c r="AE207" i="1"/>
  <c r="AF207" i="1"/>
  <c r="AG207" i="1"/>
  <c r="AH207" i="1"/>
  <c r="AI207" i="1"/>
  <c r="AJ207" i="1"/>
  <c r="AK207" i="1"/>
  <c r="AL207" i="1"/>
  <c r="AM207" i="1"/>
  <c r="AN207" i="1"/>
  <c r="AO207" i="1"/>
  <c r="AP207" i="1"/>
  <c r="AQ207" i="1"/>
  <c r="AR207" i="1"/>
  <c r="AS207" i="1"/>
  <c r="AT207" i="1"/>
  <c r="AU207" i="1"/>
  <c r="AV207" i="1"/>
  <c r="AW207" i="1"/>
  <c r="AX207" i="1"/>
  <c r="AY207" i="1"/>
  <c r="AZ207" i="1"/>
  <c r="BA207" i="1"/>
  <c r="BB207" i="1"/>
  <c r="BC207" i="1"/>
  <c r="BD207" i="1"/>
  <c r="BE207" i="1"/>
  <c r="BF207" i="1"/>
  <c r="BG207" i="1"/>
  <c r="BH207" i="1"/>
  <c r="BI207" i="1"/>
  <c r="BJ207" i="1"/>
  <c r="BK207" i="1"/>
  <c r="BL207" i="1"/>
  <c r="BM207" i="1"/>
  <c r="BN207" i="1"/>
  <c r="BO207" i="1"/>
  <c r="BP207" i="1"/>
  <c r="BQ207" i="1"/>
  <c r="BR207" i="1"/>
  <c r="BS207" i="1"/>
  <c r="BT207" i="1"/>
  <c r="BU207" i="1"/>
  <c r="BV207" i="1"/>
  <c r="BW207" i="1"/>
  <c r="BX207" i="1"/>
  <c r="BY207" i="1"/>
  <c r="BZ207" i="1"/>
  <c r="CA207" i="1"/>
  <c r="CB207" i="1"/>
  <c r="CC207" i="1"/>
  <c r="CD207" i="1"/>
  <c r="H208" i="1"/>
  <c r="I208" i="1"/>
  <c r="J208" i="1"/>
  <c r="K208" i="1"/>
  <c r="L208" i="1"/>
  <c r="M208" i="1"/>
  <c r="N208" i="1"/>
  <c r="O208" i="1"/>
  <c r="P208" i="1"/>
  <c r="Q208" i="1"/>
  <c r="R208" i="1"/>
  <c r="S208" i="1"/>
  <c r="T208" i="1"/>
  <c r="U208" i="1"/>
  <c r="V208" i="1"/>
  <c r="W208" i="1"/>
  <c r="X208" i="1"/>
  <c r="Y208" i="1"/>
  <c r="Z208" i="1"/>
  <c r="AA208" i="1"/>
  <c r="AB208" i="1"/>
  <c r="AC208" i="1"/>
  <c r="AD208" i="1"/>
  <c r="AE208" i="1"/>
  <c r="AF208" i="1"/>
  <c r="AG208" i="1"/>
  <c r="AH208" i="1"/>
  <c r="AI208" i="1"/>
  <c r="AJ208" i="1"/>
  <c r="AK208" i="1"/>
  <c r="AL208" i="1"/>
  <c r="AM208" i="1"/>
  <c r="AN208" i="1"/>
  <c r="AO208" i="1"/>
  <c r="AP208" i="1"/>
  <c r="AQ208" i="1"/>
  <c r="AR208" i="1"/>
  <c r="AS208" i="1"/>
  <c r="AT208" i="1"/>
  <c r="AU208" i="1"/>
  <c r="AV208" i="1"/>
  <c r="AW208" i="1"/>
  <c r="AX208" i="1"/>
  <c r="AY208" i="1"/>
  <c r="AZ208" i="1"/>
  <c r="BA208" i="1"/>
  <c r="BB208" i="1"/>
  <c r="BC208" i="1"/>
  <c r="BD208" i="1"/>
  <c r="BE208" i="1"/>
  <c r="BF208" i="1"/>
  <c r="BG208" i="1"/>
  <c r="BH208" i="1"/>
  <c r="BI208" i="1"/>
  <c r="BJ208" i="1"/>
  <c r="BK208" i="1"/>
  <c r="BL208" i="1"/>
  <c r="BM208" i="1"/>
  <c r="BN208" i="1"/>
  <c r="BO208" i="1"/>
  <c r="BP208" i="1"/>
  <c r="BQ208" i="1"/>
  <c r="BR208" i="1"/>
  <c r="BS208" i="1"/>
  <c r="BT208" i="1"/>
  <c r="BU208" i="1"/>
  <c r="BV208" i="1"/>
  <c r="BW208" i="1"/>
  <c r="BX208" i="1"/>
  <c r="BY208" i="1"/>
  <c r="BZ208" i="1"/>
  <c r="CA208" i="1"/>
  <c r="CB208" i="1"/>
  <c r="CC208" i="1"/>
  <c r="CD208" i="1"/>
  <c r="H209" i="1"/>
  <c r="I209" i="1"/>
  <c r="J209" i="1"/>
  <c r="K209" i="1"/>
  <c r="L209" i="1"/>
  <c r="M209" i="1"/>
  <c r="N209" i="1"/>
  <c r="O209" i="1"/>
  <c r="P209" i="1"/>
  <c r="Q209" i="1"/>
  <c r="R209" i="1"/>
  <c r="S209" i="1"/>
  <c r="T209" i="1"/>
  <c r="U209" i="1"/>
  <c r="V209" i="1"/>
  <c r="W209" i="1"/>
  <c r="X209" i="1"/>
  <c r="Y209" i="1"/>
  <c r="Z209" i="1"/>
  <c r="AA209" i="1"/>
  <c r="AB209" i="1"/>
  <c r="AC209" i="1"/>
  <c r="AD209" i="1"/>
  <c r="AE209" i="1"/>
  <c r="AF209" i="1"/>
  <c r="AG209" i="1"/>
  <c r="AH209" i="1"/>
  <c r="AI209" i="1"/>
  <c r="AJ209" i="1"/>
  <c r="AK209" i="1"/>
  <c r="AL209" i="1"/>
  <c r="AM209" i="1"/>
  <c r="AN209" i="1"/>
  <c r="AO209" i="1"/>
  <c r="AP209" i="1"/>
  <c r="AQ209" i="1"/>
  <c r="AR209" i="1"/>
  <c r="AS209" i="1"/>
  <c r="AT209" i="1"/>
  <c r="AU209" i="1"/>
  <c r="AV209" i="1"/>
  <c r="AW209" i="1"/>
  <c r="AX209" i="1"/>
  <c r="AY209" i="1"/>
  <c r="AZ209" i="1"/>
  <c r="BA209" i="1"/>
  <c r="BB209" i="1"/>
  <c r="BC209" i="1"/>
  <c r="BD209" i="1"/>
  <c r="BE209" i="1"/>
  <c r="BF209" i="1"/>
  <c r="BG209" i="1"/>
  <c r="BH209" i="1"/>
  <c r="BI209" i="1"/>
  <c r="BJ209" i="1"/>
  <c r="BK209" i="1"/>
  <c r="BL209" i="1"/>
  <c r="BM209" i="1"/>
  <c r="BN209" i="1"/>
  <c r="BO209" i="1"/>
  <c r="BP209" i="1"/>
  <c r="BQ209" i="1"/>
  <c r="BR209" i="1"/>
  <c r="BS209" i="1"/>
  <c r="BT209" i="1"/>
  <c r="BU209" i="1"/>
  <c r="BV209" i="1"/>
  <c r="BW209" i="1"/>
  <c r="BX209" i="1"/>
  <c r="BY209" i="1"/>
  <c r="BZ209" i="1"/>
  <c r="CA209" i="1"/>
  <c r="CB209" i="1"/>
  <c r="CC209" i="1"/>
  <c r="CD209" i="1"/>
  <c r="H210" i="1"/>
  <c r="I210" i="1"/>
  <c r="J210" i="1"/>
  <c r="K210"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K210" i="1"/>
  <c r="AL210" i="1"/>
  <c r="AM210" i="1"/>
  <c r="AN210" i="1"/>
  <c r="AO210" i="1"/>
  <c r="AP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BN210" i="1"/>
  <c r="BO210" i="1"/>
  <c r="BP210" i="1"/>
  <c r="BQ210" i="1"/>
  <c r="BR210" i="1"/>
  <c r="BS210" i="1"/>
  <c r="BT210" i="1"/>
  <c r="BU210" i="1"/>
  <c r="BV210" i="1"/>
  <c r="BW210" i="1"/>
  <c r="BX210" i="1"/>
  <c r="BY210" i="1"/>
  <c r="BZ210" i="1"/>
  <c r="CA210" i="1"/>
  <c r="CB210" i="1"/>
  <c r="CC210" i="1"/>
  <c r="CD210" i="1"/>
  <c r="H211" i="1"/>
  <c r="I211" i="1"/>
  <c r="J211" i="1"/>
  <c r="K211" i="1"/>
  <c r="L211" i="1"/>
  <c r="M211" i="1"/>
  <c r="N211" i="1"/>
  <c r="O211" i="1"/>
  <c r="P211" i="1"/>
  <c r="Q211" i="1"/>
  <c r="R211" i="1"/>
  <c r="S211" i="1"/>
  <c r="T211" i="1"/>
  <c r="U211" i="1"/>
  <c r="V211" i="1"/>
  <c r="W211" i="1"/>
  <c r="X211" i="1"/>
  <c r="Y211" i="1"/>
  <c r="Z211" i="1"/>
  <c r="AA211" i="1"/>
  <c r="AB211" i="1"/>
  <c r="AC211" i="1"/>
  <c r="AD211" i="1"/>
  <c r="AE211" i="1"/>
  <c r="AF211" i="1"/>
  <c r="AG211" i="1"/>
  <c r="AH211" i="1"/>
  <c r="AI211" i="1"/>
  <c r="AJ211" i="1"/>
  <c r="AK211" i="1"/>
  <c r="AL211" i="1"/>
  <c r="AM211" i="1"/>
  <c r="AN211" i="1"/>
  <c r="AO211" i="1"/>
  <c r="AP211" i="1"/>
  <c r="AQ211" i="1"/>
  <c r="AR211" i="1"/>
  <c r="AS211" i="1"/>
  <c r="AT211" i="1"/>
  <c r="AU211" i="1"/>
  <c r="AV211" i="1"/>
  <c r="AW211" i="1"/>
  <c r="AX211" i="1"/>
  <c r="AY211" i="1"/>
  <c r="AZ211" i="1"/>
  <c r="BA211" i="1"/>
  <c r="BB211" i="1"/>
  <c r="BC211" i="1"/>
  <c r="BD211" i="1"/>
  <c r="BE211" i="1"/>
  <c r="BF211" i="1"/>
  <c r="BG211" i="1"/>
  <c r="BH211" i="1"/>
  <c r="BI211" i="1"/>
  <c r="BJ211" i="1"/>
  <c r="BK211" i="1"/>
  <c r="BL211" i="1"/>
  <c r="BM211" i="1"/>
  <c r="BN211" i="1"/>
  <c r="BO211" i="1"/>
  <c r="BP211" i="1"/>
  <c r="BQ211" i="1"/>
  <c r="BR211" i="1"/>
  <c r="BS211" i="1"/>
  <c r="BT211" i="1"/>
  <c r="BU211" i="1"/>
  <c r="BV211" i="1"/>
  <c r="BW211" i="1"/>
  <c r="BX211" i="1"/>
  <c r="BY211" i="1"/>
  <c r="BZ211" i="1"/>
  <c r="CA211" i="1"/>
  <c r="CB211" i="1"/>
  <c r="CC211" i="1"/>
  <c r="CD211" i="1"/>
  <c r="H212" i="1"/>
  <c r="I212" i="1"/>
  <c r="J212" i="1"/>
  <c r="K212" i="1"/>
  <c r="L212" i="1"/>
  <c r="M212" i="1"/>
  <c r="N212" i="1"/>
  <c r="O212" i="1"/>
  <c r="P212" i="1"/>
  <c r="Q212" i="1"/>
  <c r="R212" i="1"/>
  <c r="S212" i="1"/>
  <c r="T212" i="1"/>
  <c r="U212" i="1"/>
  <c r="V212" i="1"/>
  <c r="W212" i="1"/>
  <c r="X212" i="1"/>
  <c r="Y212" i="1"/>
  <c r="Z212" i="1"/>
  <c r="AA212" i="1"/>
  <c r="AB212" i="1"/>
  <c r="AC212" i="1"/>
  <c r="AD212" i="1"/>
  <c r="AE212" i="1"/>
  <c r="AF212" i="1"/>
  <c r="AG212" i="1"/>
  <c r="AH212" i="1"/>
  <c r="AI212" i="1"/>
  <c r="AJ212" i="1"/>
  <c r="AK212" i="1"/>
  <c r="AL212" i="1"/>
  <c r="AM212" i="1"/>
  <c r="AN212" i="1"/>
  <c r="AO212" i="1"/>
  <c r="AP212" i="1"/>
  <c r="AQ212" i="1"/>
  <c r="AR212" i="1"/>
  <c r="AS212" i="1"/>
  <c r="AT212" i="1"/>
  <c r="AU212" i="1"/>
  <c r="AV212" i="1"/>
  <c r="AW212" i="1"/>
  <c r="AX212" i="1"/>
  <c r="AY212" i="1"/>
  <c r="AZ212" i="1"/>
  <c r="BA212" i="1"/>
  <c r="BB212" i="1"/>
  <c r="BC212" i="1"/>
  <c r="BD212" i="1"/>
  <c r="BE212" i="1"/>
  <c r="BF212" i="1"/>
  <c r="BG212" i="1"/>
  <c r="BH212" i="1"/>
  <c r="BI212" i="1"/>
  <c r="BJ212" i="1"/>
  <c r="BK212" i="1"/>
  <c r="BL212" i="1"/>
  <c r="BM212" i="1"/>
  <c r="BN212" i="1"/>
  <c r="BO212" i="1"/>
  <c r="BP212" i="1"/>
  <c r="BQ212" i="1"/>
  <c r="BR212" i="1"/>
  <c r="BS212" i="1"/>
  <c r="BT212" i="1"/>
  <c r="BU212" i="1"/>
  <c r="BV212" i="1"/>
  <c r="BW212" i="1"/>
  <c r="BX212" i="1"/>
  <c r="BY212" i="1"/>
  <c r="BZ212" i="1"/>
  <c r="CA212" i="1"/>
  <c r="CB212" i="1"/>
  <c r="CC212" i="1"/>
  <c r="CD212" i="1"/>
  <c r="AF213" i="1"/>
  <c r="AG213" i="1"/>
  <c r="AH213" i="1"/>
  <c r="AI213" i="1"/>
  <c r="AJ213" i="1"/>
  <c r="AK213" i="1"/>
  <c r="AL213" i="1"/>
  <c r="AM213" i="1"/>
  <c r="AN213" i="1"/>
  <c r="AO213" i="1"/>
  <c r="AP213" i="1"/>
  <c r="AQ213" i="1"/>
  <c r="AR213" i="1"/>
  <c r="AS213" i="1"/>
  <c r="AT213" i="1"/>
  <c r="AU213" i="1"/>
  <c r="AV213" i="1"/>
  <c r="AW213" i="1"/>
  <c r="AX213" i="1"/>
  <c r="AY213" i="1"/>
  <c r="AZ213" i="1"/>
  <c r="BA213" i="1"/>
  <c r="BB213" i="1"/>
  <c r="BC213" i="1"/>
  <c r="BD213" i="1"/>
  <c r="BE213" i="1"/>
  <c r="BF213" i="1"/>
  <c r="BG213" i="1"/>
  <c r="BH213" i="1"/>
  <c r="BI213" i="1"/>
  <c r="BJ213" i="1"/>
  <c r="BK213" i="1"/>
  <c r="BL213" i="1"/>
  <c r="BM213" i="1"/>
  <c r="BN213" i="1"/>
  <c r="BO213" i="1"/>
  <c r="BP213" i="1"/>
  <c r="BQ213" i="1"/>
  <c r="BR213" i="1"/>
  <c r="BS213" i="1"/>
  <c r="BT213" i="1"/>
  <c r="BU213" i="1"/>
  <c r="BV213" i="1"/>
  <c r="BW213" i="1"/>
  <c r="BX213" i="1"/>
  <c r="BY213" i="1"/>
  <c r="BZ213" i="1"/>
  <c r="CA213" i="1"/>
  <c r="CB213" i="1"/>
  <c r="CC213" i="1"/>
  <c r="CD213" i="1"/>
  <c r="H214" i="1"/>
  <c r="I214" i="1"/>
  <c r="J214" i="1"/>
  <c r="K214"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K214" i="1"/>
  <c r="AL214" i="1"/>
  <c r="AM214" i="1"/>
  <c r="AN214" i="1"/>
  <c r="AO214" i="1"/>
  <c r="AP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BN214" i="1"/>
  <c r="BO214" i="1"/>
  <c r="BP214" i="1"/>
  <c r="BQ214" i="1"/>
  <c r="BR214" i="1"/>
  <c r="BS214" i="1"/>
  <c r="BT214" i="1"/>
  <c r="BU214" i="1"/>
  <c r="BV214" i="1"/>
  <c r="BW214" i="1"/>
  <c r="BX214" i="1"/>
  <c r="BY214" i="1"/>
  <c r="BZ214" i="1"/>
  <c r="CA214" i="1"/>
  <c r="CB214" i="1"/>
  <c r="CC214" i="1"/>
  <c r="CD214" i="1"/>
  <c r="H216" i="1"/>
  <c r="I216" i="1"/>
  <c r="J216" i="1"/>
  <c r="K216" i="1"/>
  <c r="L216" i="1"/>
  <c r="M216" i="1"/>
  <c r="N216" i="1"/>
  <c r="O216" i="1"/>
  <c r="P216" i="1"/>
  <c r="Q216" i="1"/>
  <c r="R216" i="1"/>
  <c r="S216" i="1"/>
  <c r="T216" i="1"/>
  <c r="U216" i="1"/>
  <c r="V216" i="1"/>
  <c r="W216" i="1"/>
  <c r="X216" i="1"/>
  <c r="Y216" i="1"/>
  <c r="Z216" i="1"/>
  <c r="AA216" i="1"/>
  <c r="AB216" i="1"/>
  <c r="AC216" i="1"/>
  <c r="AD216" i="1"/>
  <c r="AE216" i="1"/>
  <c r="AF216" i="1"/>
  <c r="AG216" i="1"/>
  <c r="AH216" i="1"/>
  <c r="AI216" i="1"/>
  <c r="AJ216" i="1"/>
  <c r="AK216" i="1"/>
  <c r="AL216" i="1"/>
  <c r="AM216" i="1"/>
  <c r="AN216" i="1"/>
  <c r="AO216" i="1"/>
  <c r="AP216" i="1"/>
  <c r="AQ216" i="1"/>
  <c r="AR216" i="1"/>
  <c r="AS216" i="1"/>
  <c r="AT216" i="1"/>
  <c r="AU216" i="1"/>
  <c r="AV216" i="1"/>
  <c r="AW216" i="1"/>
  <c r="AX216" i="1"/>
  <c r="AY216" i="1"/>
  <c r="AZ216" i="1"/>
  <c r="BA216" i="1"/>
  <c r="BB216" i="1"/>
  <c r="BC216" i="1"/>
  <c r="BD216" i="1"/>
  <c r="BE216" i="1"/>
  <c r="BF216" i="1"/>
  <c r="BG216" i="1"/>
  <c r="BH216" i="1"/>
  <c r="BI216" i="1"/>
  <c r="BJ216" i="1"/>
  <c r="BK216" i="1"/>
  <c r="BL216" i="1"/>
  <c r="BM216" i="1"/>
  <c r="BN216" i="1"/>
  <c r="BO216" i="1"/>
  <c r="BP216" i="1"/>
  <c r="BQ216" i="1"/>
  <c r="BR216" i="1"/>
  <c r="BS216" i="1"/>
  <c r="BT216" i="1"/>
  <c r="BU216" i="1"/>
  <c r="BV216" i="1"/>
  <c r="BW216" i="1"/>
  <c r="BX216" i="1"/>
  <c r="BY216" i="1"/>
  <c r="BZ216" i="1"/>
  <c r="CA216" i="1"/>
  <c r="CB216" i="1"/>
  <c r="CC216" i="1"/>
  <c r="CD216" i="1"/>
  <c r="H219" i="1"/>
  <c r="I219" i="1"/>
  <c r="J219" i="1"/>
  <c r="K219" i="1"/>
  <c r="L219" i="1"/>
  <c r="M219" i="1"/>
  <c r="N219" i="1"/>
  <c r="O219" i="1"/>
  <c r="P219" i="1"/>
  <c r="Q219" i="1"/>
  <c r="R219" i="1"/>
  <c r="S219" i="1"/>
  <c r="T219" i="1"/>
  <c r="U219" i="1"/>
  <c r="V219" i="1"/>
  <c r="W219" i="1"/>
  <c r="X219" i="1"/>
  <c r="Y219" i="1"/>
  <c r="Z219" i="1"/>
  <c r="AA219" i="1"/>
  <c r="AB219" i="1"/>
  <c r="AC219" i="1"/>
  <c r="AD219" i="1"/>
  <c r="AE219" i="1"/>
  <c r="AF219" i="1"/>
  <c r="AG219" i="1"/>
  <c r="AH219" i="1"/>
  <c r="AI219" i="1"/>
  <c r="AJ219" i="1"/>
  <c r="AK219" i="1"/>
  <c r="AL219" i="1"/>
  <c r="AM219" i="1"/>
  <c r="AN219" i="1"/>
  <c r="AO219" i="1"/>
  <c r="AP219" i="1"/>
  <c r="AQ219" i="1"/>
  <c r="AR219" i="1"/>
  <c r="AS219" i="1"/>
  <c r="AT219" i="1"/>
  <c r="AU219" i="1"/>
  <c r="AV219" i="1"/>
  <c r="AW219" i="1"/>
  <c r="AX219" i="1"/>
  <c r="AY219" i="1"/>
  <c r="AZ219" i="1"/>
  <c r="BA219" i="1"/>
  <c r="BB219" i="1"/>
  <c r="BC219" i="1"/>
  <c r="BD219" i="1"/>
  <c r="BE219" i="1"/>
  <c r="BF219" i="1"/>
  <c r="BG219" i="1"/>
  <c r="BH219" i="1"/>
  <c r="BI219" i="1"/>
  <c r="BJ219" i="1"/>
  <c r="BK219" i="1"/>
  <c r="BL219" i="1"/>
  <c r="BM219" i="1"/>
  <c r="BN219" i="1"/>
  <c r="BO219" i="1"/>
  <c r="BP219" i="1"/>
  <c r="BQ219" i="1"/>
  <c r="BR219" i="1"/>
  <c r="BS219" i="1"/>
  <c r="BT219" i="1"/>
  <c r="BU219" i="1"/>
  <c r="BV219" i="1"/>
  <c r="BW219" i="1"/>
  <c r="BX219" i="1"/>
  <c r="BY219" i="1"/>
  <c r="BZ219" i="1"/>
  <c r="CA219" i="1"/>
  <c r="CB219" i="1"/>
  <c r="CC219" i="1"/>
  <c r="CD219" i="1"/>
  <c r="H220" i="1"/>
  <c r="I220" i="1"/>
  <c r="J220" i="1"/>
  <c r="K220" i="1"/>
  <c r="L220" i="1"/>
  <c r="M220" i="1"/>
  <c r="N220" i="1"/>
  <c r="O220" i="1"/>
  <c r="P220" i="1"/>
  <c r="Q220" i="1"/>
  <c r="R220" i="1"/>
  <c r="S220" i="1"/>
  <c r="T220" i="1"/>
  <c r="U220" i="1"/>
  <c r="V220" i="1"/>
  <c r="W220" i="1"/>
  <c r="X220" i="1"/>
  <c r="Y220" i="1"/>
  <c r="Z220" i="1"/>
  <c r="AA220" i="1"/>
  <c r="AB220" i="1"/>
  <c r="AC220" i="1"/>
  <c r="AD220" i="1"/>
  <c r="AE220" i="1"/>
  <c r="AF220" i="1"/>
  <c r="AG220" i="1"/>
  <c r="AH220" i="1"/>
  <c r="AI220" i="1"/>
  <c r="AJ220" i="1"/>
  <c r="AK220" i="1"/>
  <c r="AL220" i="1"/>
  <c r="AM220" i="1"/>
  <c r="AN220" i="1"/>
  <c r="AO220" i="1"/>
  <c r="AP220" i="1"/>
  <c r="AQ220" i="1"/>
  <c r="AR220" i="1"/>
  <c r="AS220" i="1"/>
  <c r="AT220" i="1"/>
  <c r="AU220" i="1"/>
  <c r="AV220" i="1"/>
  <c r="AW220" i="1"/>
  <c r="AX220" i="1"/>
  <c r="AY220" i="1"/>
  <c r="AZ220" i="1"/>
  <c r="BA220" i="1"/>
  <c r="BB220" i="1"/>
  <c r="BC220" i="1"/>
  <c r="BD220" i="1"/>
  <c r="BE220" i="1"/>
  <c r="BF220" i="1"/>
  <c r="BG220" i="1"/>
  <c r="BH220" i="1"/>
  <c r="BI220" i="1"/>
  <c r="BJ220" i="1"/>
  <c r="BK220" i="1"/>
  <c r="BL220" i="1"/>
  <c r="BM220" i="1"/>
  <c r="BN220" i="1"/>
  <c r="BO220" i="1"/>
  <c r="BP220" i="1"/>
  <c r="BQ220" i="1"/>
  <c r="BR220" i="1"/>
  <c r="BS220" i="1"/>
  <c r="BT220" i="1"/>
  <c r="BU220" i="1"/>
  <c r="BV220" i="1"/>
  <c r="BW220" i="1"/>
  <c r="BX220" i="1"/>
  <c r="BY220" i="1"/>
  <c r="BZ220" i="1"/>
  <c r="CA220" i="1"/>
  <c r="CB220" i="1"/>
  <c r="CC220" i="1"/>
  <c r="CD220" i="1"/>
  <c r="H222" i="1"/>
  <c r="I222" i="1"/>
  <c r="J222" i="1"/>
  <c r="K222" i="1"/>
  <c r="L222" i="1"/>
  <c r="M222" i="1"/>
  <c r="N222" i="1"/>
  <c r="O222" i="1"/>
  <c r="P222" i="1"/>
  <c r="Q222" i="1"/>
  <c r="R222" i="1"/>
  <c r="S222" i="1"/>
  <c r="T222" i="1"/>
  <c r="U222" i="1"/>
  <c r="V222" i="1"/>
  <c r="W222" i="1"/>
  <c r="X222" i="1"/>
  <c r="Y222" i="1"/>
  <c r="Z222" i="1"/>
  <c r="AA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B222" i="1"/>
  <c r="BC222" i="1"/>
  <c r="BD222" i="1"/>
  <c r="BE222" i="1"/>
  <c r="BF222" i="1"/>
  <c r="BG222" i="1"/>
  <c r="BH222" i="1"/>
  <c r="BI222" i="1"/>
  <c r="BJ222" i="1"/>
  <c r="BK222" i="1"/>
  <c r="BL222" i="1"/>
  <c r="BM222" i="1"/>
  <c r="BN222" i="1"/>
  <c r="BO222" i="1"/>
  <c r="BP222" i="1"/>
  <c r="BQ222" i="1"/>
  <c r="BR222" i="1"/>
  <c r="BS222" i="1"/>
  <c r="BT222" i="1"/>
  <c r="BU222" i="1"/>
  <c r="BV222" i="1"/>
  <c r="BW222" i="1"/>
  <c r="BX222" i="1"/>
  <c r="BY222" i="1"/>
  <c r="BZ222" i="1"/>
  <c r="CA222" i="1"/>
  <c r="CB222" i="1"/>
  <c r="CC222" i="1"/>
  <c r="CD222" i="1"/>
  <c r="H223" i="1"/>
  <c r="I223" i="1"/>
  <c r="J223" i="1"/>
  <c r="K223" i="1"/>
  <c r="L223" i="1"/>
  <c r="M223" i="1"/>
  <c r="N223" i="1"/>
  <c r="O223" i="1"/>
  <c r="P223" i="1"/>
  <c r="Q223" i="1"/>
  <c r="R223" i="1"/>
  <c r="S223" i="1"/>
  <c r="T223" i="1"/>
  <c r="U223" i="1"/>
  <c r="V223" i="1"/>
  <c r="W223" i="1"/>
  <c r="X223" i="1"/>
  <c r="Y223" i="1"/>
  <c r="Z223" i="1"/>
  <c r="AA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B223" i="1"/>
  <c r="BC223" i="1"/>
  <c r="BD223" i="1"/>
  <c r="BE223" i="1"/>
  <c r="BF223" i="1"/>
  <c r="BG223" i="1"/>
  <c r="BH223" i="1"/>
  <c r="BI223" i="1"/>
  <c r="BJ223" i="1"/>
  <c r="BK223" i="1"/>
  <c r="BL223" i="1"/>
  <c r="BM223" i="1"/>
  <c r="BN223" i="1"/>
  <c r="BO223" i="1"/>
  <c r="BP223" i="1"/>
  <c r="BQ223" i="1"/>
  <c r="BR223" i="1"/>
  <c r="BS223" i="1"/>
  <c r="BT223" i="1"/>
  <c r="BU223" i="1"/>
  <c r="BV223" i="1"/>
  <c r="BW223" i="1"/>
  <c r="BX223" i="1"/>
  <c r="BY223" i="1"/>
  <c r="BZ223" i="1"/>
  <c r="CA223" i="1"/>
  <c r="CB223" i="1"/>
  <c r="CC223" i="1"/>
  <c r="CD223" i="1"/>
  <c r="H224" i="1"/>
  <c r="I224" i="1"/>
  <c r="J224" i="1"/>
  <c r="K224" i="1"/>
  <c r="L224" i="1"/>
  <c r="M224" i="1"/>
  <c r="N224" i="1"/>
  <c r="O224" i="1"/>
  <c r="P224" i="1"/>
  <c r="Q224" i="1"/>
  <c r="R224" i="1"/>
  <c r="S224" i="1"/>
  <c r="T224" i="1"/>
  <c r="U224" i="1"/>
  <c r="V224" i="1"/>
  <c r="W224" i="1"/>
  <c r="X224" i="1"/>
  <c r="Y224" i="1"/>
  <c r="Z224" i="1"/>
  <c r="AA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B224" i="1"/>
  <c r="BC224" i="1"/>
  <c r="BD224" i="1"/>
  <c r="BE224" i="1"/>
  <c r="BF224" i="1"/>
  <c r="BG224" i="1"/>
  <c r="BH224" i="1"/>
  <c r="BI224" i="1"/>
  <c r="BJ224" i="1"/>
  <c r="BK224" i="1"/>
  <c r="BL224" i="1"/>
  <c r="BM224" i="1"/>
  <c r="BN224" i="1"/>
  <c r="BO224" i="1"/>
  <c r="BP224" i="1"/>
  <c r="BQ224" i="1"/>
  <c r="BR224" i="1"/>
  <c r="BS224" i="1"/>
  <c r="BT224" i="1"/>
  <c r="BU224" i="1"/>
  <c r="BV224" i="1"/>
  <c r="BW224" i="1"/>
  <c r="BX224" i="1"/>
  <c r="BY224" i="1"/>
  <c r="BZ224" i="1"/>
  <c r="CA224" i="1"/>
  <c r="CB224" i="1"/>
  <c r="CC224" i="1"/>
  <c r="CD224" i="1"/>
  <c r="H226" i="1"/>
  <c r="I226" i="1"/>
  <c r="J226" i="1"/>
  <c r="K226" i="1"/>
  <c r="L226" i="1"/>
  <c r="M226" i="1"/>
  <c r="N226" i="1"/>
  <c r="O226" i="1"/>
  <c r="P226" i="1"/>
  <c r="Q226" i="1"/>
  <c r="R226" i="1"/>
  <c r="S226" i="1"/>
  <c r="T226" i="1"/>
  <c r="U226" i="1"/>
  <c r="V226" i="1"/>
  <c r="W226" i="1"/>
  <c r="X226" i="1"/>
  <c r="Y226" i="1"/>
  <c r="Z226" i="1"/>
  <c r="AA226" i="1"/>
  <c r="AB226" i="1"/>
  <c r="AC226" i="1"/>
  <c r="AD226" i="1"/>
  <c r="AE226" i="1"/>
  <c r="AF226" i="1"/>
  <c r="AG226" i="1"/>
  <c r="AH226" i="1"/>
  <c r="AI226" i="1"/>
  <c r="AJ226" i="1"/>
  <c r="AK226" i="1"/>
  <c r="AL226" i="1"/>
  <c r="AM226" i="1"/>
  <c r="AN226" i="1"/>
  <c r="AO226" i="1"/>
  <c r="AP226" i="1"/>
  <c r="AQ226" i="1"/>
  <c r="AR226" i="1"/>
  <c r="AS226" i="1"/>
  <c r="AT226" i="1"/>
  <c r="AU226" i="1"/>
  <c r="AV226" i="1"/>
  <c r="AW226" i="1"/>
  <c r="AX226" i="1"/>
  <c r="AY226" i="1"/>
  <c r="AZ226" i="1"/>
  <c r="BA226" i="1"/>
  <c r="BB226" i="1"/>
  <c r="BC226" i="1"/>
  <c r="BD226" i="1"/>
  <c r="BE226" i="1"/>
  <c r="BF226" i="1"/>
  <c r="BG226" i="1"/>
  <c r="BH226" i="1"/>
  <c r="BI226" i="1"/>
  <c r="BJ226" i="1"/>
  <c r="BK226" i="1"/>
  <c r="BL226" i="1"/>
  <c r="BM226" i="1"/>
  <c r="BN226" i="1"/>
  <c r="BO226" i="1"/>
  <c r="BP226" i="1"/>
  <c r="BQ226" i="1"/>
  <c r="BR226" i="1"/>
  <c r="BS226" i="1"/>
  <c r="BT226" i="1"/>
  <c r="BU226" i="1"/>
  <c r="BV226" i="1"/>
  <c r="BW226" i="1"/>
  <c r="BX226" i="1"/>
  <c r="BY226" i="1"/>
  <c r="BZ226" i="1"/>
  <c r="CA226" i="1"/>
  <c r="CB226" i="1"/>
  <c r="CC226" i="1"/>
  <c r="CD226" i="1"/>
  <c r="H227" i="1"/>
  <c r="I227" i="1"/>
  <c r="J227" i="1"/>
  <c r="K227" i="1"/>
  <c r="L227" i="1"/>
  <c r="M227" i="1"/>
  <c r="N227" i="1"/>
  <c r="O227" i="1"/>
  <c r="P227" i="1"/>
  <c r="Q227" i="1"/>
  <c r="R227" i="1"/>
  <c r="S227" i="1"/>
  <c r="T227" i="1"/>
  <c r="U227" i="1"/>
  <c r="V227" i="1"/>
  <c r="W227" i="1"/>
  <c r="X227" i="1"/>
  <c r="Y227" i="1"/>
  <c r="Z227" i="1"/>
  <c r="AA227" i="1"/>
  <c r="AB227" i="1"/>
  <c r="AC227" i="1"/>
  <c r="AD227" i="1"/>
  <c r="AE227" i="1"/>
  <c r="AF227" i="1"/>
  <c r="AG227" i="1"/>
  <c r="AH227" i="1"/>
  <c r="AI227" i="1"/>
  <c r="AJ227" i="1"/>
  <c r="AK227" i="1"/>
  <c r="AL227" i="1"/>
  <c r="AM227" i="1"/>
  <c r="AN227" i="1"/>
  <c r="AO227" i="1"/>
  <c r="AP227" i="1"/>
  <c r="AQ227" i="1"/>
  <c r="AR227" i="1"/>
  <c r="AS227" i="1"/>
  <c r="AT227" i="1"/>
  <c r="AU227" i="1"/>
  <c r="AV227" i="1"/>
  <c r="AW227" i="1"/>
  <c r="AX227" i="1"/>
  <c r="AY227" i="1"/>
  <c r="AZ227" i="1"/>
  <c r="BA227" i="1"/>
  <c r="BB227" i="1"/>
  <c r="BC227" i="1"/>
  <c r="BD227" i="1"/>
  <c r="BE227" i="1"/>
  <c r="BF227" i="1"/>
  <c r="BG227" i="1"/>
  <c r="BH227" i="1"/>
  <c r="BI227" i="1"/>
  <c r="BJ227" i="1"/>
  <c r="BK227" i="1"/>
  <c r="BL227" i="1"/>
  <c r="BM227" i="1"/>
  <c r="BN227" i="1"/>
  <c r="BO227" i="1"/>
  <c r="BP227" i="1"/>
  <c r="BQ227" i="1"/>
  <c r="BR227" i="1"/>
  <c r="BS227" i="1"/>
  <c r="BT227" i="1"/>
  <c r="BU227" i="1"/>
  <c r="BV227" i="1"/>
  <c r="BW227" i="1"/>
  <c r="BX227" i="1"/>
  <c r="BY227" i="1"/>
  <c r="BZ227" i="1"/>
  <c r="CA227" i="1"/>
  <c r="CB227" i="1"/>
  <c r="CC227" i="1"/>
  <c r="CD227" i="1"/>
  <c r="H228" i="1"/>
  <c r="I228" i="1"/>
  <c r="J228" i="1"/>
  <c r="K228" i="1"/>
  <c r="L228" i="1"/>
  <c r="M228" i="1"/>
  <c r="N228" i="1"/>
  <c r="O228" i="1"/>
  <c r="P228" i="1"/>
  <c r="Q228" i="1"/>
  <c r="R228" i="1"/>
  <c r="S228" i="1"/>
  <c r="T228" i="1"/>
  <c r="U228" i="1"/>
  <c r="V228" i="1"/>
  <c r="W228" i="1"/>
  <c r="X228" i="1"/>
  <c r="Y228" i="1"/>
  <c r="Z228" i="1"/>
  <c r="AA228" i="1"/>
  <c r="AB228" i="1"/>
  <c r="AC228" i="1"/>
  <c r="AD228" i="1"/>
  <c r="AE228" i="1"/>
  <c r="AF228" i="1"/>
  <c r="AG228" i="1"/>
  <c r="AH228" i="1"/>
  <c r="AI228" i="1"/>
  <c r="AJ228" i="1"/>
  <c r="AK228" i="1"/>
  <c r="AL228" i="1"/>
  <c r="AM228" i="1"/>
  <c r="AN228" i="1"/>
  <c r="AO228" i="1"/>
  <c r="AP228" i="1"/>
  <c r="AQ228" i="1"/>
  <c r="AR228" i="1"/>
  <c r="AS228" i="1"/>
  <c r="AT228" i="1"/>
  <c r="AU228" i="1"/>
  <c r="AV228" i="1"/>
  <c r="AW228" i="1"/>
  <c r="AX228" i="1"/>
  <c r="AY228" i="1"/>
  <c r="AZ228" i="1"/>
  <c r="BA228" i="1"/>
  <c r="BB228" i="1"/>
  <c r="BC228" i="1"/>
  <c r="BD228" i="1"/>
  <c r="BE228" i="1"/>
  <c r="BF228" i="1"/>
  <c r="BG228" i="1"/>
  <c r="BH228" i="1"/>
  <c r="BI228" i="1"/>
  <c r="BJ228" i="1"/>
  <c r="BK228" i="1"/>
  <c r="BL228" i="1"/>
  <c r="BM228" i="1"/>
  <c r="BN228" i="1"/>
  <c r="BO228" i="1"/>
  <c r="BP228" i="1"/>
  <c r="BQ228" i="1"/>
  <c r="BR228" i="1"/>
  <c r="BS228" i="1"/>
  <c r="BT228" i="1"/>
  <c r="BU228" i="1"/>
  <c r="BV228" i="1"/>
  <c r="BW228" i="1"/>
  <c r="BX228" i="1"/>
  <c r="BY228" i="1"/>
  <c r="BZ228" i="1"/>
  <c r="CA228" i="1"/>
  <c r="CB228" i="1"/>
  <c r="CC228" i="1"/>
  <c r="CD228" i="1"/>
  <c r="H230" i="1"/>
  <c r="I230" i="1"/>
  <c r="J230" i="1"/>
  <c r="K230" i="1"/>
  <c r="L230" i="1"/>
  <c r="M230" i="1"/>
  <c r="N230" i="1"/>
  <c r="O230" i="1"/>
  <c r="P230" i="1"/>
  <c r="Q230" i="1"/>
  <c r="R230" i="1"/>
  <c r="S230" i="1"/>
  <c r="T230" i="1"/>
  <c r="U230" i="1"/>
  <c r="V230" i="1"/>
  <c r="W230" i="1"/>
  <c r="X230" i="1"/>
  <c r="Y230" i="1"/>
  <c r="Z230" i="1"/>
  <c r="AA230" i="1"/>
  <c r="AB230" i="1"/>
  <c r="AC230" i="1"/>
  <c r="AD230" i="1"/>
  <c r="AE230" i="1"/>
  <c r="AF230" i="1"/>
  <c r="AG230" i="1"/>
  <c r="AH230" i="1"/>
  <c r="AI230" i="1"/>
  <c r="AJ230" i="1"/>
  <c r="AK230" i="1"/>
  <c r="AL230" i="1"/>
  <c r="AM230" i="1"/>
  <c r="AN230" i="1"/>
  <c r="AO230" i="1"/>
  <c r="AP230" i="1"/>
  <c r="AQ230" i="1"/>
  <c r="AR230" i="1"/>
  <c r="AS230" i="1"/>
  <c r="AT230" i="1"/>
  <c r="AU230" i="1"/>
  <c r="AV230" i="1"/>
  <c r="AW230" i="1"/>
  <c r="AX230" i="1"/>
  <c r="AY230" i="1"/>
  <c r="AZ230" i="1"/>
  <c r="BA230" i="1"/>
  <c r="BB230" i="1"/>
  <c r="BC230" i="1"/>
  <c r="BD230" i="1"/>
  <c r="BE230" i="1"/>
  <c r="BF230" i="1"/>
  <c r="BG230" i="1"/>
  <c r="BH230" i="1"/>
  <c r="BI230" i="1"/>
  <c r="BJ230" i="1"/>
  <c r="BK230" i="1"/>
  <c r="BL230" i="1"/>
  <c r="BM230" i="1"/>
  <c r="BN230" i="1"/>
  <c r="BO230" i="1"/>
  <c r="BP230" i="1"/>
  <c r="BQ230" i="1"/>
  <c r="BR230" i="1"/>
  <c r="BS230" i="1"/>
  <c r="BT230" i="1"/>
  <c r="BU230" i="1"/>
  <c r="BV230" i="1"/>
  <c r="BW230" i="1"/>
  <c r="BX230" i="1"/>
  <c r="BY230" i="1"/>
  <c r="BZ230" i="1"/>
  <c r="CA230" i="1"/>
  <c r="CB230" i="1"/>
  <c r="CC230" i="1"/>
  <c r="CD230" i="1"/>
  <c r="H231" i="1"/>
  <c r="I231" i="1"/>
  <c r="J231" i="1"/>
  <c r="K231" i="1"/>
  <c r="L231" i="1"/>
  <c r="M231" i="1"/>
  <c r="N231" i="1"/>
  <c r="O231" i="1"/>
  <c r="P231" i="1"/>
  <c r="Q231" i="1"/>
  <c r="R231" i="1"/>
  <c r="S231" i="1"/>
  <c r="T231" i="1"/>
  <c r="U231" i="1"/>
  <c r="V231" i="1"/>
  <c r="W231" i="1"/>
  <c r="X231" i="1"/>
  <c r="Y231" i="1"/>
  <c r="Z231" i="1"/>
  <c r="AA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B231" i="1"/>
  <c r="BC231" i="1"/>
  <c r="BD231" i="1"/>
  <c r="BE231" i="1"/>
  <c r="BF231" i="1"/>
  <c r="BG231" i="1"/>
  <c r="BH231" i="1"/>
  <c r="BI231" i="1"/>
  <c r="BJ231" i="1"/>
  <c r="BK231" i="1"/>
  <c r="BL231" i="1"/>
  <c r="BM231" i="1"/>
  <c r="BN231" i="1"/>
  <c r="BO231" i="1"/>
  <c r="BP231" i="1"/>
  <c r="BQ231" i="1"/>
  <c r="BR231" i="1"/>
  <c r="BS231" i="1"/>
  <c r="BT231" i="1"/>
  <c r="BU231" i="1"/>
  <c r="BV231" i="1"/>
  <c r="BW231" i="1"/>
  <c r="BX231" i="1"/>
  <c r="BY231" i="1"/>
  <c r="BZ231" i="1"/>
  <c r="CA231" i="1"/>
  <c r="CB231" i="1"/>
  <c r="CC231" i="1"/>
  <c r="CD231" i="1"/>
  <c r="G216" i="1"/>
  <c r="G219" i="1"/>
  <c r="G220" i="1"/>
  <c r="G222" i="1"/>
  <c r="G223" i="1"/>
  <c r="G224" i="1"/>
  <c r="G226" i="1"/>
  <c r="G227" i="1"/>
  <c r="G228" i="1"/>
  <c r="G230" i="1"/>
  <c r="G231" i="1"/>
  <c r="G21" i="1"/>
  <c r="G22" i="1"/>
  <c r="G23" i="1"/>
  <c r="G24" i="1"/>
  <c r="G25" i="1"/>
  <c r="G26" i="1"/>
  <c r="G27" i="1"/>
  <c r="G28" i="1"/>
  <c r="G29" i="1"/>
  <c r="G30" i="1"/>
  <c r="G31" i="1"/>
  <c r="G32" i="1"/>
  <c r="G33" i="1"/>
  <c r="G34" i="1"/>
  <c r="G35" i="1"/>
  <c r="G36" i="1"/>
  <c r="G37" i="1"/>
  <c r="G38" i="1"/>
  <c r="G39" i="1"/>
  <c r="G40" i="1"/>
  <c r="G41" i="1"/>
  <c r="G42" i="1"/>
  <c r="G43" i="1"/>
  <c r="G44" i="1"/>
  <c r="G45" i="1"/>
  <c r="G46" i="1"/>
  <c r="G49" i="1"/>
  <c r="G50" i="1"/>
  <c r="G52" i="1"/>
  <c r="G53" i="1"/>
  <c r="G54" i="1"/>
  <c r="G55" i="1"/>
  <c r="G56" i="1"/>
  <c r="G57" i="1"/>
  <c r="G58" i="1"/>
  <c r="G59" i="1"/>
  <c r="G60" i="1"/>
  <c r="G61" i="1"/>
  <c r="G62" i="1"/>
  <c r="G63" i="1"/>
  <c r="G64" i="1"/>
  <c r="G65" i="1"/>
  <c r="G66" i="1"/>
  <c r="G67" i="1"/>
  <c r="G68" i="1"/>
  <c r="G69" i="1"/>
  <c r="G71" i="1"/>
  <c r="G72" i="1"/>
  <c r="G73" i="1"/>
  <c r="G74" i="1"/>
  <c r="G75" i="1"/>
  <c r="G76" i="1"/>
  <c r="G77" i="1"/>
  <c r="G78" i="1"/>
  <c r="G79" i="1"/>
  <c r="G81" i="1"/>
  <c r="G82" i="1"/>
  <c r="G83" i="1"/>
  <c r="G86" i="1"/>
  <c r="G87" i="1"/>
  <c r="G88" i="1"/>
  <c r="G90" i="1"/>
  <c r="G91" i="1"/>
  <c r="G92" i="1"/>
  <c r="G93" i="1"/>
  <c r="G94" i="1"/>
  <c r="G95" i="1"/>
  <c r="G102" i="1"/>
  <c r="G103" i="1"/>
  <c r="G104" i="1"/>
  <c r="G106" i="1"/>
  <c r="G107" i="1"/>
  <c r="G108" i="1"/>
  <c r="G109" i="1"/>
  <c r="G110" i="1"/>
  <c r="G111" i="1"/>
  <c r="G112" i="1"/>
  <c r="G114" i="1"/>
  <c r="G115" i="1"/>
  <c r="G116" i="1"/>
  <c r="G117" i="1"/>
  <c r="G119" i="1"/>
  <c r="G120" i="1"/>
  <c r="G121" i="1"/>
  <c r="G123" i="1"/>
  <c r="G124" i="1"/>
  <c r="G125" i="1"/>
  <c r="G126" i="1"/>
  <c r="G128" i="1"/>
  <c r="G129" i="1"/>
  <c r="G130" i="1"/>
  <c r="G132" i="1"/>
  <c r="G133" i="1"/>
  <c r="G134" i="1"/>
  <c r="G136" i="1"/>
  <c r="G137" i="1"/>
  <c r="G138" i="1"/>
  <c r="G143" i="1"/>
  <c r="G144" i="1"/>
  <c r="G145" i="1"/>
  <c r="G146" i="1"/>
  <c r="G147" i="1"/>
  <c r="G148" i="1"/>
  <c r="G149" i="1"/>
  <c r="G150" i="1"/>
  <c r="G151" i="1"/>
  <c r="G153" i="1"/>
  <c r="G154" i="1"/>
  <c r="G158" i="1"/>
  <c r="G163" i="1"/>
  <c r="G165" i="1"/>
  <c r="G171" i="1"/>
  <c r="G173" i="1"/>
  <c r="G188" i="1"/>
  <c r="G185" i="1" s="1"/>
  <c r="G198" i="1"/>
  <c r="G197" i="1" s="1"/>
  <c r="G193" i="1" s="1"/>
  <c r="G206" i="1"/>
  <c r="G207" i="1"/>
  <c r="G208" i="1"/>
  <c r="G209" i="1"/>
  <c r="G210" i="1"/>
  <c r="G211" i="1"/>
  <c r="G212" i="1"/>
  <c r="G214" i="1"/>
  <c r="U135" i="1" l="1"/>
  <c r="G118" i="1"/>
  <c r="G205" i="1"/>
  <c r="BS118" i="1"/>
  <c r="BE118" i="1"/>
  <c r="AQ118" i="1"/>
  <c r="AC118" i="1"/>
  <c r="O118" i="1"/>
  <c r="BW118" i="1"/>
  <c r="BI118" i="1"/>
  <c r="AU118" i="1"/>
  <c r="AG118" i="1"/>
  <c r="S118" i="1"/>
  <c r="BW101" i="1"/>
  <c r="BI101" i="1"/>
  <c r="AU101" i="1"/>
  <c r="AG101" i="1"/>
  <c r="S101" i="1"/>
  <c r="BG118" i="1"/>
  <c r="AE118" i="1"/>
  <c r="W113" i="1"/>
  <c r="BU101" i="1"/>
  <c r="AS101" i="1"/>
  <c r="AE101" i="1"/>
  <c r="Q101" i="1"/>
  <c r="BU118" i="1"/>
  <c r="AS118" i="1"/>
  <c r="CA113" i="1"/>
  <c r="BM113" i="1"/>
  <c r="AY113" i="1"/>
  <c r="AK113" i="1"/>
  <c r="I113" i="1"/>
  <c r="BG101" i="1"/>
  <c r="G135" i="1"/>
  <c r="V113" i="1"/>
  <c r="BS105" i="1"/>
  <c r="BE105" i="1"/>
  <c r="AQ105" i="1"/>
  <c r="AC105" i="1"/>
  <c r="O105" i="1"/>
  <c r="Y101" i="1"/>
  <c r="BT101" i="1"/>
  <c r="BF101" i="1"/>
  <c r="AR101" i="1"/>
  <c r="AD101" i="1"/>
  <c r="P101" i="1"/>
  <c r="AW96" i="1"/>
  <c r="CC96" i="1"/>
  <c r="BO96" i="1"/>
  <c r="BA96" i="1"/>
  <c r="AM96" i="1"/>
  <c r="BV85" i="1"/>
  <c r="BH85" i="1"/>
  <c r="AT85" i="1"/>
  <c r="AF85" i="1"/>
  <c r="R85" i="1"/>
  <c r="AP80" i="1"/>
  <c r="BW80" i="1"/>
  <c r="BI80" i="1"/>
  <c r="AU80" i="1"/>
  <c r="AG80" i="1"/>
  <c r="S80" i="1"/>
  <c r="CA96" i="1"/>
  <c r="BM96" i="1"/>
  <c r="AY96" i="1"/>
  <c r="AK96" i="1"/>
  <c r="G127" i="1"/>
  <c r="BS135" i="1"/>
  <c r="BE135" i="1"/>
  <c r="AQ135" i="1"/>
  <c r="AC135" i="1"/>
  <c r="O135" i="1"/>
  <c r="BT131" i="1"/>
  <c r="BF131" i="1"/>
  <c r="AR131" i="1"/>
  <c r="AD131" i="1"/>
  <c r="P131" i="1"/>
  <c r="BU127" i="1"/>
  <c r="BG127" i="1"/>
  <c r="AS127" i="1"/>
  <c r="AE127" i="1"/>
  <c r="Q127" i="1"/>
  <c r="CA122" i="1"/>
  <c r="BM122" i="1"/>
  <c r="AY122" i="1"/>
  <c r="AK122" i="1"/>
  <c r="W122" i="1"/>
  <c r="I122" i="1"/>
  <c r="BR135" i="1"/>
  <c r="BD135" i="1"/>
  <c r="AP135" i="1"/>
  <c r="AB135" i="1"/>
  <c r="N135" i="1"/>
  <c r="S131" i="1"/>
  <c r="BS131" i="1"/>
  <c r="BE131" i="1"/>
  <c r="AQ131" i="1"/>
  <c r="AC131" i="1"/>
  <c r="O131" i="1"/>
  <c r="BT127" i="1"/>
  <c r="BF127" i="1"/>
  <c r="AR127" i="1"/>
  <c r="AD127" i="1"/>
  <c r="P127" i="1"/>
  <c r="CA118" i="1"/>
  <c r="BQ135" i="1"/>
  <c r="BC135" i="1"/>
  <c r="AO135" i="1"/>
  <c r="AA135" i="1"/>
  <c r="M135" i="1"/>
  <c r="BR131" i="1"/>
  <c r="BD131" i="1"/>
  <c r="AP131" i="1"/>
  <c r="AB131" i="1"/>
  <c r="N131" i="1"/>
  <c r="BS127" i="1"/>
  <c r="BE127" i="1"/>
  <c r="AQ127" i="1"/>
  <c r="AC127" i="1"/>
  <c r="O127" i="1"/>
  <c r="BY122" i="1"/>
  <c r="BK122" i="1"/>
  <c r="AW122" i="1"/>
  <c r="AI122" i="1"/>
  <c r="U122" i="1"/>
  <c r="BZ118" i="1"/>
  <c r="BL118" i="1"/>
  <c r="AX118" i="1"/>
  <c r="AJ118" i="1"/>
  <c r="V118" i="1"/>
  <c r="H118" i="1"/>
  <c r="CD135" i="1"/>
  <c r="BP135" i="1"/>
  <c r="BB135" i="1"/>
  <c r="AN135" i="1"/>
  <c r="Z135" i="1"/>
  <c r="L135" i="1"/>
  <c r="BQ131" i="1"/>
  <c r="BC131" i="1"/>
  <c r="AO131" i="1"/>
  <c r="AA131" i="1"/>
  <c r="M131" i="1"/>
  <c r="BR127" i="1"/>
  <c r="BD127" i="1"/>
  <c r="AP127" i="1"/>
  <c r="AB127" i="1"/>
  <c r="N127" i="1"/>
  <c r="BY118" i="1"/>
  <c r="BK118" i="1"/>
  <c r="AW118" i="1"/>
  <c r="AI118" i="1"/>
  <c r="U118" i="1"/>
  <c r="BQ113" i="1"/>
  <c r="BC113" i="1"/>
  <c r="AO113" i="1"/>
  <c r="AA113" i="1"/>
  <c r="M113" i="1"/>
  <c r="BX105" i="1"/>
  <c r="BJ105" i="1"/>
  <c r="AV105" i="1"/>
  <c r="AH105" i="1"/>
  <c r="T105" i="1"/>
  <c r="BY101" i="1"/>
  <c r="BK101" i="1"/>
  <c r="AW101" i="1"/>
  <c r="AI101" i="1"/>
  <c r="U101" i="1"/>
  <c r="Y229" i="1"/>
  <c r="Z225" i="1"/>
  <c r="BQ221" i="1"/>
  <c r="AK218" i="1"/>
  <c r="AW205" i="1"/>
  <c r="BU152" i="1"/>
  <c r="BK135" i="1"/>
  <c r="AJ131" i="1"/>
  <c r="CA127" i="1"/>
  <c r="BO229" i="1"/>
  <c r="BB225" i="1"/>
  <c r="AY218" i="1"/>
  <c r="BK205" i="1"/>
  <c r="BK204" i="1" s="1"/>
  <c r="CC101" i="1"/>
  <c r="BO101" i="1"/>
  <c r="BA101" i="1"/>
  <c r="AM101" i="1"/>
  <c r="K101" i="1"/>
  <c r="BZ122" i="1"/>
  <c r="BL122" i="1"/>
  <c r="AX122" i="1"/>
  <c r="AJ122" i="1"/>
  <c r="V122" i="1"/>
  <c r="H122" i="1"/>
  <c r="BX122" i="1"/>
  <c r="BJ122" i="1"/>
  <c r="AV122" i="1"/>
  <c r="AH122" i="1"/>
  <c r="T122" i="1"/>
  <c r="CC135" i="1"/>
  <c r="BO135" i="1"/>
  <c r="BA135" i="1"/>
  <c r="AM135" i="1"/>
  <c r="Y135" i="1"/>
  <c r="K135" i="1"/>
  <c r="CD131" i="1"/>
  <c r="BP131" i="1"/>
  <c r="BB131" i="1"/>
  <c r="AN131" i="1"/>
  <c r="Z131" i="1"/>
  <c r="L131" i="1"/>
  <c r="BQ127" i="1"/>
  <c r="BC127" i="1"/>
  <c r="AO127" i="1"/>
  <c r="AA127" i="1"/>
  <c r="M127" i="1"/>
  <c r="BW122" i="1"/>
  <c r="BI122" i="1"/>
  <c r="AU122" i="1"/>
  <c r="AG122" i="1"/>
  <c r="S122" i="1"/>
  <c r="BX118" i="1"/>
  <c r="BJ118" i="1"/>
  <c r="AV118" i="1"/>
  <c r="AH118" i="1"/>
  <c r="T118" i="1"/>
  <c r="CD113" i="1"/>
  <c r="BP113" i="1"/>
  <c r="BB113" i="1"/>
  <c r="AN113" i="1"/>
  <c r="Z113" i="1"/>
  <c r="G105" i="1"/>
  <c r="CB135" i="1"/>
  <c r="BN135" i="1"/>
  <c r="AZ135" i="1"/>
  <c r="AL135" i="1"/>
  <c r="X135" i="1"/>
  <c r="J135" i="1"/>
  <c r="CC131" i="1"/>
  <c r="BO131" i="1"/>
  <c r="BA131" i="1"/>
  <c r="AM131" i="1"/>
  <c r="Y131" i="1"/>
  <c r="K131" i="1"/>
  <c r="CD127" i="1"/>
  <c r="BP127" i="1"/>
  <c r="BB127" i="1"/>
  <c r="AN127" i="1"/>
  <c r="Z127" i="1"/>
  <c r="L127" i="1"/>
  <c r="BV122" i="1"/>
  <c r="BH122" i="1"/>
  <c r="AT122" i="1"/>
  <c r="AF122" i="1"/>
  <c r="R122" i="1"/>
  <c r="G122" i="1"/>
  <c r="CA135" i="1"/>
  <c r="BM135" i="1"/>
  <c r="AY135" i="1"/>
  <c r="AK135" i="1"/>
  <c r="BW131" i="1"/>
  <c r="BI131" i="1"/>
  <c r="AU131" i="1"/>
  <c r="AG131" i="1"/>
  <c r="BZ135" i="1"/>
  <c r="BL135" i="1"/>
  <c r="AX135" i="1"/>
  <c r="AJ135" i="1"/>
  <c r="V135" i="1"/>
  <c r="H135" i="1"/>
  <c r="CA131" i="1"/>
  <c r="BM131" i="1"/>
  <c r="AY131" i="1"/>
  <c r="AK131" i="1"/>
  <c r="W131" i="1"/>
  <c r="I131" i="1"/>
  <c r="CB127" i="1"/>
  <c r="BN127" i="1"/>
  <c r="AZ127" i="1"/>
  <c r="AL127" i="1"/>
  <c r="X127" i="1"/>
  <c r="J127" i="1"/>
  <c r="BT122" i="1"/>
  <c r="BF122" i="1"/>
  <c r="AR122" i="1"/>
  <c r="AD122" i="1"/>
  <c r="P122" i="1"/>
  <c r="AM229" i="1"/>
  <c r="AN225" i="1"/>
  <c r="BC221" i="1"/>
  <c r="BM218" i="1"/>
  <c r="BY205" i="1"/>
  <c r="BY204" i="1" s="1"/>
  <c r="J170" i="1"/>
  <c r="M162" i="1"/>
  <c r="BG152" i="1"/>
  <c r="AE152" i="1"/>
  <c r="AW135" i="1"/>
  <c r="BL131" i="1"/>
  <c r="V131" i="1"/>
  <c r="H131" i="1"/>
  <c r="BM127" i="1"/>
  <c r="AK127" i="1"/>
  <c r="I127" i="1"/>
  <c r="BS122" i="1"/>
  <c r="AQ122" i="1"/>
  <c r="O122" i="1"/>
  <c r="BF118" i="1"/>
  <c r="AD118" i="1"/>
  <c r="BZ113" i="1"/>
  <c r="BL113" i="1"/>
  <c r="AX113" i="1"/>
  <c r="AJ113" i="1"/>
  <c r="H113" i="1"/>
  <c r="BA229" i="1"/>
  <c r="BP225" i="1"/>
  <c r="M221" i="1"/>
  <c r="CA218" i="1"/>
  <c r="I218" i="1"/>
  <c r="U205" i="1"/>
  <c r="U204" i="1" s="1"/>
  <c r="BY135" i="1"/>
  <c r="BZ131" i="1"/>
  <c r="AY127" i="1"/>
  <c r="W127" i="1"/>
  <c r="BE122" i="1"/>
  <c r="AC122" i="1"/>
  <c r="BT118" i="1"/>
  <c r="AR118" i="1"/>
  <c r="P118" i="1"/>
  <c r="CB229" i="1"/>
  <c r="BN229" i="1"/>
  <c r="AZ229" i="1"/>
  <c r="AL229" i="1"/>
  <c r="X229" i="1"/>
  <c r="J229" i="1"/>
  <c r="CC225" i="1"/>
  <c r="BO225" i="1"/>
  <c r="BA225" i="1"/>
  <c r="AM225" i="1"/>
  <c r="Y225" i="1"/>
  <c r="K225" i="1"/>
  <c r="CD221" i="1"/>
  <c r="BP221" i="1"/>
  <c r="CC229" i="1"/>
  <c r="K229" i="1"/>
  <c r="CD225" i="1"/>
  <c r="L225" i="1"/>
  <c r="AO221" i="1"/>
  <c r="AA221" i="1"/>
  <c r="W218" i="1"/>
  <c r="AI205" i="1"/>
  <c r="AI204" i="1" s="1"/>
  <c r="X170" i="1"/>
  <c r="AA162" i="1"/>
  <c r="AS152" i="1"/>
  <c r="Q152" i="1"/>
  <c r="AI135" i="1"/>
  <c r="AX131" i="1"/>
  <c r="BW135" i="1"/>
  <c r="BI135" i="1"/>
  <c r="AU135" i="1"/>
  <c r="AG135" i="1"/>
  <c r="S135" i="1"/>
  <c r="BX131" i="1"/>
  <c r="BJ131" i="1"/>
  <c r="AV131" i="1"/>
  <c r="AH131" i="1"/>
  <c r="T131" i="1"/>
  <c r="BT135" i="1"/>
  <c r="BF135" i="1"/>
  <c r="AR135" i="1"/>
  <c r="AD135" i="1"/>
  <c r="P135" i="1"/>
  <c r="BU131" i="1"/>
  <c r="BG131" i="1"/>
  <c r="AS131" i="1"/>
  <c r="AE131" i="1"/>
  <c r="Q131" i="1"/>
  <c r="BV127" i="1"/>
  <c r="BH127" i="1"/>
  <c r="AT127" i="1"/>
  <c r="AF127" i="1"/>
  <c r="R127" i="1"/>
  <c r="CB122" i="1"/>
  <c r="BN122" i="1"/>
  <c r="AZ122" i="1"/>
  <c r="AL122" i="1"/>
  <c r="X122" i="1"/>
  <c r="J122" i="1"/>
  <c r="CC118" i="1"/>
  <c r="BO118" i="1"/>
  <c r="BA118" i="1"/>
  <c r="AM118" i="1"/>
  <c r="Y118" i="1"/>
  <c r="K118" i="1"/>
  <c r="BU113" i="1"/>
  <c r="BG113" i="1"/>
  <c r="AS113" i="1"/>
  <c r="AE113" i="1"/>
  <c r="Q113" i="1"/>
  <c r="CB105" i="1"/>
  <c r="BN105" i="1"/>
  <c r="AZ105" i="1"/>
  <c r="AL105" i="1"/>
  <c r="X105" i="1"/>
  <c r="J105" i="1"/>
  <c r="CB118" i="1"/>
  <c r="BN118" i="1"/>
  <c r="AZ118" i="1"/>
  <c r="AL118" i="1"/>
  <c r="X118" i="1"/>
  <c r="J118" i="1"/>
  <c r="BT113" i="1"/>
  <c r="BF113" i="1"/>
  <c r="AR113" i="1"/>
  <c r="AD113" i="1"/>
  <c r="P113" i="1"/>
  <c r="CA105" i="1"/>
  <c r="BM105" i="1"/>
  <c r="AY105" i="1"/>
  <c r="AK105" i="1"/>
  <c r="W105" i="1"/>
  <c r="I105" i="1"/>
  <c r="CB101" i="1"/>
  <c r="BN101" i="1"/>
  <c r="AZ101" i="1"/>
  <c r="AL101" i="1"/>
  <c r="X101" i="1"/>
  <c r="J101" i="1"/>
  <c r="BM118" i="1"/>
  <c r="AY118" i="1"/>
  <c r="AK118" i="1"/>
  <c r="W118" i="1"/>
  <c r="I118" i="1"/>
  <c r="BS113" i="1"/>
  <c r="BE113" i="1"/>
  <c r="AQ113" i="1"/>
  <c r="AC113" i="1"/>
  <c r="O113" i="1"/>
  <c r="BZ105" i="1"/>
  <c r="BL105" i="1"/>
  <c r="AX105" i="1"/>
  <c r="AJ105" i="1"/>
  <c r="V105" i="1"/>
  <c r="H105" i="1"/>
  <c r="CA101" i="1"/>
  <c r="BM101" i="1"/>
  <c r="AY101" i="1"/>
  <c r="AK101" i="1"/>
  <c r="AK100" i="1" s="1"/>
  <c r="W101" i="1"/>
  <c r="I101" i="1"/>
  <c r="BR113" i="1"/>
  <c r="BD113" i="1"/>
  <c r="AP113" i="1"/>
  <c r="AB113" i="1"/>
  <c r="N113" i="1"/>
  <c r="BY105" i="1"/>
  <c r="BK105" i="1"/>
  <c r="AW105" i="1"/>
  <c r="AI105" i="1"/>
  <c r="U105" i="1"/>
  <c r="BZ101" i="1"/>
  <c r="BL101" i="1"/>
  <c r="AX101" i="1"/>
  <c r="AJ101" i="1"/>
  <c r="V101" i="1"/>
  <c r="H101" i="1"/>
  <c r="S85" i="1"/>
  <c r="L113" i="1"/>
  <c r="BW105" i="1"/>
  <c r="BI105" i="1"/>
  <c r="AU105" i="1"/>
  <c r="AG105" i="1"/>
  <c r="S105" i="1"/>
  <c r="BX101" i="1"/>
  <c r="BJ101" i="1"/>
  <c r="AV101" i="1"/>
  <c r="AH101" i="1"/>
  <c r="T101" i="1"/>
  <c r="CC113" i="1"/>
  <c r="BO113" i="1"/>
  <c r="BA113" i="1"/>
  <c r="AM113" i="1"/>
  <c r="Y113" i="1"/>
  <c r="K113" i="1"/>
  <c r="BU105" i="1"/>
  <c r="BG105" i="1"/>
  <c r="AS105" i="1"/>
  <c r="AE105" i="1"/>
  <c r="Q105" i="1"/>
  <c r="BV105" i="1"/>
  <c r="BH105" i="1"/>
  <c r="AT105" i="1"/>
  <c r="AF105" i="1"/>
  <c r="R105" i="1"/>
  <c r="W135" i="1"/>
  <c r="I135" i="1"/>
  <c r="CB131" i="1"/>
  <c r="BN131" i="1"/>
  <c r="AZ131" i="1"/>
  <c r="AL131" i="1"/>
  <c r="X131" i="1"/>
  <c r="J131" i="1"/>
  <c r="CC127" i="1"/>
  <c r="BO127" i="1"/>
  <c r="BA127" i="1"/>
  <c r="AM127" i="1"/>
  <c r="Y127" i="1"/>
  <c r="K127" i="1"/>
  <c r="BU122" i="1"/>
  <c r="BG122" i="1"/>
  <c r="AS122" i="1"/>
  <c r="AE122" i="1"/>
  <c r="Q122" i="1"/>
  <c r="BV118" i="1"/>
  <c r="BH118" i="1"/>
  <c r="AT118" i="1"/>
  <c r="AF118" i="1"/>
  <c r="R118" i="1"/>
  <c r="CB113" i="1"/>
  <c r="BN113" i="1"/>
  <c r="AZ113" i="1"/>
  <c r="AL113" i="1"/>
  <c r="X113" i="1"/>
  <c r="J113" i="1"/>
  <c r="BV101" i="1"/>
  <c r="BH101" i="1"/>
  <c r="AT101" i="1"/>
  <c r="AF101" i="1"/>
  <c r="R101" i="1"/>
  <c r="Q118" i="1"/>
  <c r="BT105" i="1"/>
  <c r="BF105" i="1"/>
  <c r="AR105" i="1"/>
  <c r="AD105" i="1"/>
  <c r="P105" i="1"/>
  <c r="BB221" i="1"/>
  <c r="AN221" i="1"/>
  <c r="Z221" i="1"/>
  <c r="L221" i="1"/>
  <c r="BZ218" i="1"/>
  <c r="BL218" i="1"/>
  <c r="AX218" i="1"/>
  <c r="AJ218" i="1"/>
  <c r="V218" i="1"/>
  <c r="H218" i="1"/>
  <c r="BX205" i="1"/>
  <c r="BX204" i="1" s="1"/>
  <c r="BJ205" i="1"/>
  <c r="BJ204" i="1" s="1"/>
  <c r="AV205" i="1"/>
  <c r="AV204" i="1" s="1"/>
  <c r="AH205" i="1"/>
  <c r="AH204" i="1" s="1"/>
  <c r="T205" i="1"/>
  <c r="T204" i="1" s="1"/>
  <c r="W170" i="1"/>
  <c r="I170" i="1"/>
  <c r="Z162" i="1"/>
  <c r="Z155" i="1" s="1"/>
  <c r="L162" i="1"/>
  <c r="BT152" i="1"/>
  <c r="BF152" i="1"/>
  <c r="AR152" i="1"/>
  <c r="AD152" i="1"/>
  <c r="P152" i="1"/>
  <c r="BX135" i="1"/>
  <c r="BJ135" i="1"/>
  <c r="AV135" i="1"/>
  <c r="AH135" i="1"/>
  <c r="T135" i="1"/>
  <c r="BY131" i="1"/>
  <c r="BK131" i="1"/>
  <c r="AW131" i="1"/>
  <c r="AI131" i="1"/>
  <c r="U131" i="1"/>
  <c r="BZ127" i="1"/>
  <c r="BL127" i="1"/>
  <c r="AX127" i="1"/>
  <c r="AJ127" i="1"/>
  <c r="V127" i="1"/>
  <c r="H127" i="1"/>
  <c r="BR122" i="1"/>
  <c r="BD122" i="1"/>
  <c r="AP122" i="1"/>
  <c r="AB122" i="1"/>
  <c r="N122" i="1"/>
  <c r="BY113" i="1"/>
  <c r="BK113" i="1"/>
  <c r="AW113" i="1"/>
  <c r="AI113" i="1"/>
  <c r="U113" i="1"/>
  <c r="BR105" i="1"/>
  <c r="BD105" i="1"/>
  <c r="AP105" i="1"/>
  <c r="AB105" i="1"/>
  <c r="N105" i="1"/>
  <c r="BS101" i="1"/>
  <c r="BE101" i="1"/>
  <c r="AQ101" i="1"/>
  <c r="AC101" i="1"/>
  <c r="O101" i="1"/>
  <c r="AD89" i="1"/>
  <c r="BU85" i="1"/>
  <c r="BG85" i="1"/>
  <c r="AS85" i="1"/>
  <c r="AE85" i="1"/>
  <c r="Q85" i="1"/>
  <c r="BV80" i="1"/>
  <c r="BH80" i="1"/>
  <c r="AT80" i="1"/>
  <c r="AF80" i="1"/>
  <c r="R80" i="1"/>
  <c r="BY127" i="1"/>
  <c r="BK127" i="1"/>
  <c r="AW127" i="1"/>
  <c r="AI127" i="1"/>
  <c r="U127" i="1"/>
  <c r="BQ122" i="1"/>
  <c r="BC122" i="1"/>
  <c r="AO122" i="1"/>
  <c r="AA122" i="1"/>
  <c r="M122" i="1"/>
  <c r="BR118" i="1"/>
  <c r="BD118" i="1"/>
  <c r="AP118" i="1"/>
  <c r="AB118" i="1"/>
  <c r="N118" i="1"/>
  <c r="BX113" i="1"/>
  <c r="BJ113" i="1"/>
  <c r="AV113" i="1"/>
  <c r="AH113" i="1"/>
  <c r="T113" i="1"/>
  <c r="BQ105" i="1"/>
  <c r="BC105" i="1"/>
  <c r="AO105" i="1"/>
  <c r="AA105" i="1"/>
  <c r="M105" i="1"/>
  <c r="BR101" i="1"/>
  <c r="BD101" i="1"/>
  <c r="AP101" i="1"/>
  <c r="AB101" i="1"/>
  <c r="N101" i="1"/>
  <c r="G131" i="1"/>
  <c r="G113" i="1"/>
  <c r="BV135" i="1"/>
  <c r="BH135" i="1"/>
  <c r="AT135" i="1"/>
  <c r="AF135" i="1"/>
  <c r="R135" i="1"/>
  <c r="BX127" i="1"/>
  <c r="BJ127" i="1"/>
  <c r="AV127" i="1"/>
  <c r="AH127" i="1"/>
  <c r="T127" i="1"/>
  <c r="CD122" i="1"/>
  <c r="BP122" i="1"/>
  <c r="BB122" i="1"/>
  <c r="AN122" i="1"/>
  <c r="Z122" i="1"/>
  <c r="L122" i="1"/>
  <c r="BQ118" i="1"/>
  <c r="BC118" i="1"/>
  <c r="AO118" i="1"/>
  <c r="AA118" i="1"/>
  <c r="M118" i="1"/>
  <c r="BW113" i="1"/>
  <c r="BI113" i="1"/>
  <c r="AU113" i="1"/>
  <c r="AG113" i="1"/>
  <c r="S113" i="1"/>
  <c r="CD105" i="1"/>
  <c r="BP105" i="1"/>
  <c r="BB105" i="1"/>
  <c r="AN105" i="1"/>
  <c r="Z105" i="1"/>
  <c r="L105" i="1"/>
  <c r="BQ101" i="1"/>
  <c r="BC101" i="1"/>
  <c r="AO101" i="1"/>
  <c r="AA101" i="1"/>
  <c r="M101" i="1"/>
  <c r="BU135" i="1"/>
  <c r="BG135" i="1"/>
  <c r="AS135" i="1"/>
  <c r="AE135" i="1"/>
  <c r="Q135" i="1"/>
  <c r="BV131" i="1"/>
  <c r="BH131" i="1"/>
  <c r="AT131" i="1"/>
  <c r="AF131" i="1"/>
  <c r="R131" i="1"/>
  <c r="BW127" i="1"/>
  <c r="BI127" i="1"/>
  <c r="AU127" i="1"/>
  <c r="AG127" i="1"/>
  <c r="S127" i="1"/>
  <c r="CC122" i="1"/>
  <c r="BO122" i="1"/>
  <c r="BA122" i="1"/>
  <c r="AM122" i="1"/>
  <c r="Y122" i="1"/>
  <c r="K122" i="1"/>
  <c r="CD118" i="1"/>
  <c r="BP118" i="1"/>
  <c r="BB118" i="1"/>
  <c r="AN118" i="1"/>
  <c r="Z118" i="1"/>
  <c r="L118" i="1"/>
  <c r="BV113" i="1"/>
  <c r="BH113" i="1"/>
  <c r="AT113" i="1"/>
  <c r="AF113" i="1"/>
  <c r="R113" i="1"/>
  <c r="CC105" i="1"/>
  <c r="BO105" i="1"/>
  <c r="BA105" i="1"/>
  <c r="AM105" i="1"/>
  <c r="Y105" i="1"/>
  <c r="K105" i="1"/>
  <c r="CD101" i="1"/>
  <c r="BP101" i="1"/>
  <c r="BB101" i="1"/>
  <c r="AN101" i="1"/>
  <c r="Z101" i="1"/>
  <c r="L101" i="1"/>
  <c r="Y162" i="1"/>
  <c r="BS152" i="1"/>
  <c r="AY229" i="1"/>
  <c r="X225" i="1"/>
  <c r="BA221" i="1"/>
  <c r="BY218" i="1"/>
  <c r="AU205" i="1"/>
  <c r="AU204" i="1" s="1"/>
  <c r="AC152" i="1"/>
  <c r="CA85" i="1"/>
  <c r="BK218" i="1"/>
  <c r="BE152" i="1"/>
  <c r="G162" i="1"/>
  <c r="G101" i="1"/>
  <c r="AW204" i="1"/>
  <c r="Z89" i="1"/>
  <c r="BU89" i="1"/>
  <c r="BG89" i="1"/>
  <c r="AS89" i="1"/>
  <c r="AE89" i="1"/>
  <c r="Q89" i="1"/>
  <c r="BJ5" i="1"/>
  <c r="CB96" i="1"/>
  <c r="BN96" i="1"/>
  <c r="AZ96" i="1"/>
  <c r="AL96" i="1"/>
  <c r="CA5" i="1"/>
  <c r="AG205" i="1"/>
  <c r="AG204" i="1" s="1"/>
  <c r="K162" i="1"/>
  <c r="BT85" i="1"/>
  <c r="BF85" i="1"/>
  <c r="AR85" i="1"/>
  <c r="AR84" i="1" s="1"/>
  <c r="AD85" i="1"/>
  <c r="P85" i="1"/>
  <c r="BU80" i="1"/>
  <c r="BG80" i="1"/>
  <c r="AS80" i="1"/>
  <c r="AE80" i="1"/>
  <c r="Q80" i="1"/>
  <c r="AP197" i="1"/>
  <c r="AP193" i="1" s="1"/>
  <c r="AQ178" i="1"/>
  <c r="BO221" i="1"/>
  <c r="V229" i="1"/>
  <c r="BZ96" i="1"/>
  <c r="BL96" i="1"/>
  <c r="AX96" i="1"/>
  <c r="AJ96" i="1"/>
  <c r="BF80" i="1"/>
  <c r="AR80" i="1"/>
  <c r="AD80" i="1"/>
  <c r="P80" i="1"/>
  <c r="BD197" i="1"/>
  <c r="BD193" i="1" s="1"/>
  <c r="CA229" i="1"/>
  <c r="W229" i="1"/>
  <c r="CB225" i="1"/>
  <c r="AL225" i="1"/>
  <c r="K221" i="1"/>
  <c r="AI218" i="1"/>
  <c r="BI205" i="1"/>
  <c r="BI204" i="1" s="1"/>
  <c r="H170" i="1"/>
  <c r="AQ152" i="1"/>
  <c r="O152" i="1"/>
  <c r="AG218" i="1"/>
  <c r="BS80" i="1"/>
  <c r="BE80" i="1"/>
  <c r="AQ80" i="1"/>
  <c r="AC80" i="1"/>
  <c r="O80" i="1"/>
  <c r="BE178" i="1"/>
  <c r="BM229" i="1"/>
  <c r="I229" i="1"/>
  <c r="AZ225" i="1"/>
  <c r="AM221" i="1"/>
  <c r="U218" i="1"/>
  <c r="BW205" i="1"/>
  <c r="BW204" i="1" s="1"/>
  <c r="V170" i="1"/>
  <c r="BR197" i="1"/>
  <c r="BR193" i="1" s="1"/>
  <c r="BS178" i="1"/>
  <c r="AK229" i="1"/>
  <c r="BN225" i="1"/>
  <c r="J225" i="1"/>
  <c r="CC221" i="1"/>
  <c r="CC217" i="1" s="1"/>
  <c r="Y221" i="1"/>
  <c r="AW218" i="1"/>
  <c r="S205" i="1"/>
  <c r="S204" i="1" s="1"/>
  <c r="BB70" i="1"/>
  <c r="BX5" i="1"/>
  <c r="T5" i="1"/>
  <c r="AM5" i="1"/>
  <c r="BT5" i="1"/>
  <c r="BF5" i="1"/>
  <c r="AR5" i="1"/>
  <c r="AD5" i="1"/>
  <c r="P5" i="1"/>
  <c r="G225" i="1"/>
  <c r="AN162" i="1"/>
  <c r="AG141" i="1"/>
  <c r="BT89" i="1"/>
  <c r="BF89" i="1"/>
  <c r="AR89" i="1"/>
  <c r="P89" i="1"/>
  <c r="BY70" i="1"/>
  <c r="BK70" i="1"/>
  <c r="AW70" i="1"/>
  <c r="AI70" i="1"/>
  <c r="U70" i="1"/>
  <c r="AK19" i="1"/>
  <c r="W19" i="1"/>
  <c r="I19" i="1"/>
  <c r="AL5" i="1"/>
  <c r="X5" i="1"/>
  <c r="BY185" i="1"/>
  <c r="CD162" i="1"/>
  <c r="BP162" i="1"/>
  <c r="BB162" i="1"/>
  <c r="BW141" i="1"/>
  <c r="BI141" i="1"/>
  <c r="AU141" i="1"/>
  <c r="S141" i="1"/>
  <c r="BQ197" i="1"/>
  <c r="BQ193" i="1" s="1"/>
  <c r="BC197" i="1"/>
  <c r="BC193" i="1" s="1"/>
  <c r="AO197" i="1"/>
  <c r="AO193" i="1" s="1"/>
  <c r="BR178" i="1"/>
  <c r="BD178" i="1"/>
  <c r="AP178" i="1"/>
  <c r="CC162" i="1"/>
  <c r="BO162" i="1"/>
  <c r="BA162" i="1"/>
  <c r="AM162" i="1"/>
  <c r="AK5" i="1"/>
  <c r="W5" i="1"/>
  <c r="G5" i="1"/>
  <c r="AX5" i="1"/>
  <c r="AJ5" i="1"/>
  <c r="AW5" i="1"/>
  <c r="AI5" i="1"/>
  <c r="CD5" i="1"/>
  <c r="BP5" i="1"/>
  <c r="Z5" i="1"/>
  <c r="L5" i="1"/>
  <c r="BC89" i="1"/>
  <c r="AO89" i="1"/>
  <c r="CB5" i="1"/>
  <c r="BN5" i="1"/>
  <c r="AZ5" i="1"/>
  <c r="J5" i="1"/>
  <c r="BQ89" i="1"/>
  <c r="AA89" i="1"/>
  <c r="AU221" i="1"/>
  <c r="M89" i="1"/>
  <c r="BM85" i="1"/>
  <c r="AY85" i="1"/>
  <c r="AK85" i="1"/>
  <c r="W85" i="1"/>
  <c r="I85" i="1"/>
  <c r="G170" i="1"/>
  <c r="G80" i="1"/>
  <c r="BR229" i="1"/>
  <c r="BD229" i="1"/>
  <c r="AP229" i="1"/>
  <c r="AB229" i="1"/>
  <c r="N229" i="1"/>
  <c r="CD218" i="1"/>
  <c r="BP218" i="1"/>
  <c r="BB218" i="1"/>
  <c r="AN218" i="1"/>
  <c r="Z218" i="1"/>
  <c r="L218" i="1"/>
  <c r="CB205" i="1"/>
  <c r="BN205" i="1"/>
  <c r="BN204" i="1" s="1"/>
  <c r="AZ205" i="1"/>
  <c r="AZ204" i="1" s="1"/>
  <c r="AL205" i="1"/>
  <c r="X205" i="1"/>
  <c r="X204" i="1" s="1"/>
  <c r="J205" i="1"/>
  <c r="J204" i="1" s="1"/>
  <c r="AA170" i="1"/>
  <c r="M170" i="1"/>
  <c r="AD162" i="1"/>
  <c r="P162" i="1"/>
  <c r="BX152" i="1"/>
  <c r="BJ152" i="1"/>
  <c r="AV152" i="1"/>
  <c r="AH152" i="1"/>
  <c r="T152" i="1"/>
  <c r="Y5" i="1"/>
  <c r="AS5" i="1"/>
  <c r="H5" i="1"/>
  <c r="BW5" i="1"/>
  <c r="BI5" i="1"/>
  <c r="AU5" i="1"/>
  <c r="AG5" i="1"/>
  <c r="S5" i="1"/>
  <c r="BQ229" i="1"/>
  <c r="BC229" i="1"/>
  <c r="AO229" i="1"/>
  <c r="AA229" i="1"/>
  <c r="M229" i="1"/>
  <c r="CC218" i="1"/>
  <c r="BO218" i="1"/>
  <c r="BA218" i="1"/>
  <c r="AM218" i="1"/>
  <c r="Y218" i="1"/>
  <c r="Y217" i="1" s="1"/>
  <c r="K218" i="1"/>
  <c r="CA205" i="1"/>
  <c r="CA204" i="1" s="1"/>
  <c r="BM205" i="1"/>
  <c r="BM204" i="1" s="1"/>
  <c r="AY205" i="1"/>
  <c r="AY204" i="1" s="1"/>
  <c r="AK205" i="1"/>
  <c r="AK204" i="1" s="1"/>
  <c r="W205" i="1"/>
  <c r="W204" i="1" s="1"/>
  <c r="I205" i="1"/>
  <c r="I204" i="1" s="1"/>
  <c r="BH178" i="1"/>
  <c r="Z170" i="1"/>
  <c r="L170" i="1"/>
  <c r="L155" i="1" s="1"/>
  <c r="AC162" i="1"/>
  <c r="O162" i="1"/>
  <c r="BW152" i="1"/>
  <c r="BI152" i="1"/>
  <c r="AU152" i="1"/>
  <c r="AG152" i="1"/>
  <c r="S152" i="1"/>
  <c r="BQ96" i="1"/>
  <c r="BC96" i="1"/>
  <c r="AO96" i="1"/>
  <c r="BD89" i="1"/>
  <c r="BT80" i="1"/>
  <c r="AA70" i="1"/>
  <c r="BV70" i="1"/>
  <c r="AT185" i="1"/>
  <c r="CD229" i="1"/>
  <c r="BP229" i="1"/>
  <c r="BB229" i="1"/>
  <c r="AN229" i="1"/>
  <c r="Z229" i="1"/>
  <c r="L229" i="1"/>
  <c r="BQ225" i="1"/>
  <c r="BC225" i="1"/>
  <c r="AO225" i="1"/>
  <c r="AA225" i="1"/>
  <c r="M225" i="1"/>
  <c r="BR221" i="1"/>
  <c r="BD221" i="1"/>
  <c r="AP221" i="1"/>
  <c r="AB221" i="1"/>
  <c r="N221" i="1"/>
  <c r="CB218" i="1"/>
  <c r="BN218" i="1"/>
  <c r="AZ218" i="1"/>
  <c r="AL218" i="1"/>
  <c r="X218" i="1"/>
  <c r="J218" i="1"/>
  <c r="BZ205" i="1"/>
  <c r="BZ204" i="1" s="1"/>
  <c r="BL205" i="1"/>
  <c r="AX205" i="1"/>
  <c r="AJ205" i="1"/>
  <c r="AJ204" i="1" s="1"/>
  <c r="V205" i="1"/>
  <c r="V204" i="1" s="1"/>
  <c r="H205" i="1"/>
  <c r="H204" i="1" s="1"/>
  <c r="Y170" i="1"/>
  <c r="K170" i="1"/>
  <c r="AB162" i="1"/>
  <c r="N162" i="1"/>
  <c r="BV152" i="1"/>
  <c r="BH152" i="1"/>
  <c r="AT152" i="1"/>
  <c r="AF152" i="1"/>
  <c r="R152" i="1"/>
  <c r="CD96" i="1"/>
  <c r="BP96" i="1"/>
  <c r="BB96" i="1"/>
  <c r="AN96" i="1"/>
  <c r="BW85" i="1"/>
  <c r="BI85" i="1"/>
  <c r="AU85" i="1"/>
  <c r="AG85" i="1"/>
  <c r="BX80" i="1"/>
  <c r="BJ80" i="1"/>
  <c r="AV80" i="1"/>
  <c r="AH80" i="1"/>
  <c r="T80" i="1"/>
  <c r="BY5" i="1"/>
  <c r="AN5" i="1"/>
  <c r="BU5" i="1"/>
  <c r="AE5" i="1"/>
  <c r="Q5" i="1"/>
  <c r="AI185" i="1"/>
  <c r="BM170" i="1"/>
  <c r="BS197" i="1"/>
  <c r="BS193" i="1" s="1"/>
  <c r="BE197" i="1"/>
  <c r="BE193" i="1" s="1"/>
  <c r="AQ197" i="1"/>
  <c r="AQ193" i="1" s="1"/>
  <c r="BZ185" i="1"/>
  <c r="BL185" i="1"/>
  <c r="AX185" i="1"/>
  <c r="AJ185" i="1"/>
  <c r="BT178" i="1"/>
  <c r="BF178" i="1"/>
  <c r="AR178" i="1"/>
  <c r="CB170" i="1"/>
  <c r="BN170" i="1"/>
  <c r="AZ170" i="1"/>
  <c r="AL170" i="1"/>
  <c r="BQ162" i="1"/>
  <c r="BC162" i="1"/>
  <c r="AO162" i="1"/>
  <c r="BX141" i="1"/>
  <c r="BJ141" i="1"/>
  <c r="AV141" i="1"/>
  <c r="AH141" i="1"/>
  <c r="T141" i="1"/>
  <c r="AG47" i="1"/>
  <c r="BR47" i="1"/>
  <c r="BD47" i="1"/>
  <c r="AP47" i="1"/>
  <c r="AB47" i="1"/>
  <c r="N47" i="1"/>
  <c r="CA19" i="1"/>
  <c r="BM19" i="1"/>
  <c r="AY19" i="1"/>
  <c r="G47" i="1"/>
  <c r="BL170" i="1"/>
  <c r="AJ170" i="1"/>
  <c r="BV141" i="1"/>
  <c r="BH141" i="1"/>
  <c r="AT141" i="1"/>
  <c r="AF141" i="1"/>
  <c r="R141" i="1"/>
  <c r="AX47" i="1"/>
  <c r="G152" i="1"/>
  <c r="BX185" i="1"/>
  <c r="BJ185" i="1"/>
  <c r="AV185" i="1"/>
  <c r="AH185" i="1"/>
  <c r="BZ170" i="1"/>
  <c r="AX170" i="1"/>
  <c r="BI229" i="1"/>
  <c r="BK162" i="1"/>
  <c r="BI225" i="1"/>
  <c r="AW185" i="1"/>
  <c r="AY170" i="1"/>
  <c r="CB204" i="1"/>
  <c r="AW85" i="1"/>
  <c r="BN19" i="1"/>
  <c r="AC19" i="1"/>
  <c r="AW19" i="1"/>
  <c r="L19" i="1"/>
  <c r="BT205" i="1"/>
  <c r="BT204" i="1" s="1"/>
  <c r="P47" i="1"/>
  <c r="BK185" i="1"/>
  <c r="CA170" i="1"/>
  <c r="AK170" i="1"/>
  <c r="BL204" i="1"/>
  <c r="AX204" i="1"/>
  <c r="BT197" i="1"/>
  <c r="BT193" i="1" s="1"/>
  <c r="BF197" i="1"/>
  <c r="BF193" i="1" s="1"/>
  <c r="AR197" i="1"/>
  <c r="AR193" i="1" s="1"/>
  <c r="CA185" i="1"/>
  <c r="BM185" i="1"/>
  <c r="AY185" i="1"/>
  <c r="AK185" i="1"/>
  <c r="BU178" i="1"/>
  <c r="BG178" i="1"/>
  <c r="AS178" i="1"/>
  <c r="CC170" i="1"/>
  <c r="BO170" i="1"/>
  <c r="BA170" i="1"/>
  <c r="AM170" i="1"/>
  <c r="BR162" i="1"/>
  <c r="BD162" i="1"/>
  <c r="AP162" i="1"/>
  <c r="BY141" i="1"/>
  <c r="BK141" i="1"/>
  <c r="AW141" i="1"/>
  <c r="AI141" i="1"/>
  <c r="U141" i="1"/>
  <c r="CA70" i="1"/>
  <c r="BM70" i="1"/>
  <c r="AY70" i="1"/>
  <c r="AK70" i="1"/>
  <c r="W70" i="1"/>
  <c r="I70" i="1"/>
  <c r="BT47" i="1"/>
  <c r="BF47" i="1"/>
  <c r="AR47" i="1"/>
  <c r="AD47" i="1"/>
  <c r="AQ19" i="1"/>
  <c r="CC19" i="1"/>
  <c r="BO19" i="1"/>
  <c r="BA19" i="1"/>
  <c r="AM19" i="1"/>
  <c r="Y19" i="1"/>
  <c r="K19" i="1"/>
  <c r="BZ70" i="1"/>
  <c r="BL70" i="1"/>
  <c r="AX70" i="1"/>
  <c r="AJ70" i="1"/>
  <c r="V70" i="1"/>
  <c r="H70" i="1"/>
  <c r="BS47" i="1"/>
  <c r="BE47" i="1"/>
  <c r="AQ47" i="1"/>
  <c r="AC47" i="1"/>
  <c r="O47" i="1"/>
  <c r="AP19" i="1"/>
  <c r="AB19" i="1"/>
  <c r="CB19" i="1"/>
  <c r="AZ19" i="1"/>
  <c r="AL19" i="1"/>
  <c r="X19" i="1"/>
  <c r="J19" i="1"/>
  <c r="BS89" i="1"/>
  <c r="BE89" i="1"/>
  <c r="AQ89" i="1"/>
  <c r="AC89" i="1"/>
  <c r="O89" i="1"/>
  <c r="BX70" i="1"/>
  <c r="BJ70" i="1"/>
  <c r="AV70" i="1"/>
  <c r="AH70" i="1"/>
  <c r="T70" i="1"/>
  <c r="BQ47" i="1"/>
  <c r="BC47" i="1"/>
  <c r="AO47" i="1"/>
  <c r="AA47" i="1"/>
  <c r="M47" i="1"/>
  <c r="BG19" i="1"/>
  <c r="AS19" i="1"/>
  <c r="BZ19" i="1"/>
  <c r="BL19" i="1"/>
  <c r="AX19" i="1"/>
  <c r="AJ19" i="1"/>
  <c r="V19" i="1"/>
  <c r="H19" i="1"/>
  <c r="BZ229" i="1"/>
  <c r="BL229" i="1"/>
  <c r="AX229" i="1"/>
  <c r="AJ229" i="1"/>
  <c r="H229" i="1"/>
  <c r="CA225" i="1"/>
  <c r="BM225" i="1"/>
  <c r="AY225" i="1"/>
  <c r="AK225" i="1"/>
  <c r="W225" i="1"/>
  <c r="I225" i="1"/>
  <c r="CB221" i="1"/>
  <c r="BN221" i="1"/>
  <c r="AZ221" i="1"/>
  <c r="AL221" i="1"/>
  <c r="X221" i="1"/>
  <c r="J221" i="1"/>
  <c r="BX218" i="1"/>
  <c r="BJ218" i="1"/>
  <c r="AV218" i="1"/>
  <c r="AH218" i="1"/>
  <c r="T218" i="1"/>
  <c r="BV205" i="1"/>
  <c r="BV204" i="1" s="1"/>
  <c r="BH205" i="1"/>
  <c r="BH204" i="1" s="1"/>
  <c r="AT205" i="1"/>
  <c r="AT204" i="1" s="1"/>
  <c r="AF205" i="1"/>
  <c r="AF204" i="1" s="1"/>
  <c r="R205" i="1"/>
  <c r="R204" i="1" s="1"/>
  <c r="CD197" i="1"/>
  <c r="CD193" i="1" s="1"/>
  <c r="BP197" i="1"/>
  <c r="BP193" i="1" s="1"/>
  <c r="BB197" i="1"/>
  <c r="BB193" i="1" s="1"/>
  <c r="AN197" i="1"/>
  <c r="AN193" i="1" s="1"/>
  <c r="BW185" i="1"/>
  <c r="BI185" i="1"/>
  <c r="AU185" i="1"/>
  <c r="AG185" i="1"/>
  <c r="BQ178" i="1"/>
  <c r="BC178" i="1"/>
  <c r="AO178" i="1"/>
  <c r="BY170" i="1"/>
  <c r="BK170" i="1"/>
  <c r="AW170" i="1"/>
  <c r="AI170" i="1"/>
  <c r="U170" i="1"/>
  <c r="X162" i="1"/>
  <c r="X155" i="1" s="1"/>
  <c r="BR89" i="1"/>
  <c r="AP89" i="1"/>
  <c r="AB89" i="1"/>
  <c r="N89" i="1"/>
  <c r="BW70" i="1"/>
  <c r="BI70" i="1"/>
  <c r="BK47" i="1"/>
  <c r="AW47" i="1"/>
  <c r="CD47" i="1"/>
  <c r="BP47" i="1"/>
  <c r="BB47" i="1"/>
  <c r="AN47" i="1"/>
  <c r="Z47" i="1"/>
  <c r="L47" i="1"/>
  <c r="BY19" i="1"/>
  <c r="AI19" i="1"/>
  <c r="U19" i="1"/>
  <c r="G221" i="1"/>
  <c r="BL225" i="1"/>
  <c r="W221" i="1"/>
  <c r="BG205" i="1"/>
  <c r="BG204" i="1" s="1"/>
  <c r="CA162" i="1"/>
  <c r="BM162" i="1"/>
  <c r="AY162" i="1"/>
  <c r="W162" i="1"/>
  <c r="BQ152" i="1"/>
  <c r="BC152" i="1"/>
  <c r="AO152" i="1"/>
  <c r="AA152" i="1"/>
  <c r="M152" i="1"/>
  <c r="BT141" i="1"/>
  <c r="BT140" i="1" s="1"/>
  <c r="BF141" i="1"/>
  <c r="BF140" i="1" s="1"/>
  <c r="AR141" i="1"/>
  <c r="AR140" i="1" s="1"/>
  <c r="AD141" i="1"/>
  <c r="AD140" i="1" s="1"/>
  <c r="P141" i="1"/>
  <c r="BY96" i="1"/>
  <c r="BK96" i="1"/>
  <c r="AI96" i="1"/>
  <c r="BH70" i="1"/>
  <c r="BJ47" i="1"/>
  <c r="BW218" i="1"/>
  <c r="AE205" i="1"/>
  <c r="AE204" i="1" s="1"/>
  <c r="AM197" i="1"/>
  <c r="AM193" i="1" s="1"/>
  <c r="AF185" i="1"/>
  <c r="AN178" i="1"/>
  <c r="BX170" i="1"/>
  <c r="T170" i="1"/>
  <c r="G89" i="1"/>
  <c r="BX229" i="1"/>
  <c r="BJ229" i="1"/>
  <c r="AV229" i="1"/>
  <c r="AH229" i="1"/>
  <c r="T229" i="1"/>
  <c r="BY225" i="1"/>
  <c r="BK225" i="1"/>
  <c r="AW225" i="1"/>
  <c r="AI225" i="1"/>
  <c r="U225" i="1"/>
  <c r="BZ221" i="1"/>
  <c r="BL221" i="1"/>
  <c r="AX221" i="1"/>
  <c r="AJ221" i="1"/>
  <c r="V221" i="1"/>
  <c r="H221" i="1"/>
  <c r="BV218" i="1"/>
  <c r="BH218" i="1"/>
  <c r="AT218" i="1"/>
  <c r="AF218" i="1"/>
  <c r="R218" i="1"/>
  <c r="BF205" i="1"/>
  <c r="BF204" i="1" s="1"/>
  <c r="AR205" i="1"/>
  <c r="AR204" i="1" s="1"/>
  <c r="AD205" i="1"/>
  <c r="AD204" i="1" s="1"/>
  <c r="P205" i="1"/>
  <c r="P204" i="1" s="1"/>
  <c r="CB197" i="1"/>
  <c r="CB193" i="1" s="1"/>
  <c r="BN197" i="1"/>
  <c r="BN193" i="1" s="1"/>
  <c r="AZ197" i="1"/>
  <c r="AZ193" i="1" s="1"/>
  <c r="AL197" i="1"/>
  <c r="AL193" i="1" s="1"/>
  <c r="BU185" i="1"/>
  <c r="BG185" i="1"/>
  <c r="AS185" i="1"/>
  <c r="CC178" i="1"/>
  <c r="BO178" i="1"/>
  <c r="BA178" i="1"/>
  <c r="AM178" i="1"/>
  <c r="BW170" i="1"/>
  <c r="BI170" i="1"/>
  <c r="AU170" i="1"/>
  <c r="AG170" i="1"/>
  <c r="S170" i="1"/>
  <c r="BZ162" i="1"/>
  <c r="BL162" i="1"/>
  <c r="AX162" i="1"/>
  <c r="AJ162" i="1"/>
  <c r="V162" i="1"/>
  <c r="BX96" i="1"/>
  <c r="BJ96" i="1"/>
  <c r="AV96" i="1"/>
  <c r="AH96" i="1"/>
  <c r="CD89" i="1"/>
  <c r="BP89" i="1"/>
  <c r="BB89" i="1"/>
  <c r="AN89" i="1"/>
  <c r="L89" i="1"/>
  <c r="BR80" i="1"/>
  <c r="BD80" i="1"/>
  <c r="AB80" i="1"/>
  <c r="N80" i="1"/>
  <c r="BU70" i="1"/>
  <c r="BG70" i="1"/>
  <c r="AS70" i="1"/>
  <c r="AU47" i="1"/>
  <c r="AH5" i="1"/>
  <c r="CC5" i="1"/>
  <c r="BO5" i="1"/>
  <c r="BA5" i="1"/>
  <c r="K5" i="1"/>
  <c r="AY221" i="1"/>
  <c r="BI218" i="1"/>
  <c r="AU218" i="1"/>
  <c r="S218" i="1"/>
  <c r="BB178" i="1"/>
  <c r="BJ170" i="1"/>
  <c r="AH170" i="1"/>
  <c r="G70" i="1"/>
  <c r="G218" i="1"/>
  <c r="BW229" i="1"/>
  <c r="AU229" i="1"/>
  <c r="AG229" i="1"/>
  <c r="S229" i="1"/>
  <c r="BX225" i="1"/>
  <c r="BJ225" i="1"/>
  <c r="AV225" i="1"/>
  <c r="AH225" i="1"/>
  <c r="T225" i="1"/>
  <c r="BY221" i="1"/>
  <c r="BK221" i="1"/>
  <c r="AW221" i="1"/>
  <c r="AI221" i="1"/>
  <c r="U221" i="1"/>
  <c r="BU218" i="1"/>
  <c r="BG218" i="1"/>
  <c r="AS218" i="1"/>
  <c r="AE218" i="1"/>
  <c r="Q218" i="1"/>
  <c r="BS205" i="1"/>
  <c r="BS204" i="1" s="1"/>
  <c r="BE205" i="1"/>
  <c r="BE204" i="1" s="1"/>
  <c r="AQ205" i="1"/>
  <c r="AQ204" i="1" s="1"/>
  <c r="AC205" i="1"/>
  <c r="AC204" i="1" s="1"/>
  <c r="O205" i="1"/>
  <c r="O204" i="1" s="1"/>
  <c r="CA197" i="1"/>
  <c r="CA193" i="1" s="1"/>
  <c r="BM197" i="1"/>
  <c r="BM193" i="1" s="1"/>
  <c r="AY197" i="1"/>
  <c r="AY193" i="1" s="1"/>
  <c r="AK197" i="1"/>
  <c r="AK193" i="1" s="1"/>
  <c r="BT185" i="1"/>
  <c r="BF185" i="1"/>
  <c r="AR185" i="1"/>
  <c r="CB178" i="1"/>
  <c r="BN178" i="1"/>
  <c r="AZ178" i="1"/>
  <c r="AL178" i="1"/>
  <c r="BV170" i="1"/>
  <c r="BH170" i="1"/>
  <c r="AT170" i="1"/>
  <c r="AF170" i="1"/>
  <c r="R170" i="1"/>
  <c r="BY162" i="1"/>
  <c r="AW162" i="1"/>
  <c r="AI162" i="1"/>
  <c r="U162" i="1"/>
  <c r="CC152" i="1"/>
  <c r="BO152" i="1"/>
  <c r="BA152" i="1"/>
  <c r="AM152" i="1"/>
  <c r="Y152" i="1"/>
  <c r="K152" i="1"/>
  <c r="BR141" i="1"/>
  <c r="BD141" i="1"/>
  <c r="AP141" i="1"/>
  <c r="CC89" i="1"/>
  <c r="BO89" i="1"/>
  <c r="BA89" i="1"/>
  <c r="AM89" i="1"/>
  <c r="Y89" i="1"/>
  <c r="K89" i="1"/>
  <c r="BQ80" i="1"/>
  <c r="BC80" i="1"/>
  <c r="AO80" i="1"/>
  <c r="AA80" i="1"/>
  <c r="M80" i="1"/>
  <c r="AI229" i="1"/>
  <c r="H225" i="1"/>
  <c r="AK221" i="1"/>
  <c r="I221" i="1"/>
  <c r="BU205" i="1"/>
  <c r="BU204" i="1" s="1"/>
  <c r="BV185" i="1"/>
  <c r="BP178" i="1"/>
  <c r="I162" i="1"/>
  <c r="BV229" i="1"/>
  <c r="BH229" i="1"/>
  <c r="AT229" i="1"/>
  <c r="AF229" i="1"/>
  <c r="R229" i="1"/>
  <c r="BW225" i="1"/>
  <c r="AU225" i="1"/>
  <c r="AG225" i="1"/>
  <c r="S225" i="1"/>
  <c r="BX221" i="1"/>
  <c r="BJ221" i="1"/>
  <c r="AV221" i="1"/>
  <c r="AH221" i="1"/>
  <c r="T221" i="1"/>
  <c r="BT218" i="1"/>
  <c r="BF218" i="1"/>
  <c r="AR218" i="1"/>
  <c r="AD218" i="1"/>
  <c r="P218" i="1"/>
  <c r="BR205" i="1"/>
  <c r="BR204" i="1" s="1"/>
  <c r="BD205" i="1"/>
  <c r="BD204" i="1" s="1"/>
  <c r="AP205" i="1"/>
  <c r="AP204" i="1" s="1"/>
  <c r="AB205" i="1"/>
  <c r="AB204" i="1" s="1"/>
  <c r="N205" i="1"/>
  <c r="N204" i="1" s="1"/>
  <c r="BZ197" i="1"/>
  <c r="BZ193" i="1" s="1"/>
  <c r="BL197" i="1"/>
  <c r="BL193" i="1" s="1"/>
  <c r="AX197" i="1"/>
  <c r="AX193" i="1" s="1"/>
  <c r="AJ197" i="1"/>
  <c r="AJ193" i="1" s="1"/>
  <c r="BS185" i="1"/>
  <c r="BE185" i="1"/>
  <c r="AQ185" i="1"/>
  <c r="CA178" i="1"/>
  <c r="BM178" i="1"/>
  <c r="AY178" i="1"/>
  <c r="AK178" i="1"/>
  <c r="BU170" i="1"/>
  <c r="BG170" i="1"/>
  <c r="AS170" i="1"/>
  <c r="AE170" i="1"/>
  <c r="Q170" i="1"/>
  <c r="BX162" i="1"/>
  <c r="BJ162" i="1"/>
  <c r="AV162" i="1"/>
  <c r="AH162" i="1"/>
  <c r="T162" i="1"/>
  <c r="CB152" i="1"/>
  <c r="BN152" i="1"/>
  <c r="AZ152" i="1"/>
  <c r="AL152" i="1"/>
  <c r="X152" i="1"/>
  <c r="J152" i="1"/>
  <c r="BQ141" i="1"/>
  <c r="BC141" i="1"/>
  <c r="AO141" i="1"/>
  <c r="AA141" i="1"/>
  <c r="M141" i="1"/>
  <c r="CB89" i="1"/>
  <c r="BN89" i="1"/>
  <c r="AZ89" i="1"/>
  <c r="AL89" i="1"/>
  <c r="X89" i="1"/>
  <c r="J89" i="1"/>
  <c r="BZ47" i="1"/>
  <c r="BL47" i="1"/>
  <c r="AJ47" i="1"/>
  <c r="V47" i="1"/>
  <c r="H47" i="1"/>
  <c r="BU19" i="1"/>
  <c r="AE19" i="1"/>
  <c r="Q19" i="1"/>
  <c r="BM5" i="1"/>
  <c r="AY5" i="1"/>
  <c r="I5" i="1"/>
  <c r="V225" i="1"/>
  <c r="AS205" i="1"/>
  <c r="AS204" i="1" s="1"/>
  <c r="BO197" i="1"/>
  <c r="BO193" i="1" s="1"/>
  <c r="BA197" i="1"/>
  <c r="BA193" i="1" s="1"/>
  <c r="BH185" i="1"/>
  <c r="CD178" i="1"/>
  <c r="AV170" i="1"/>
  <c r="AK162" i="1"/>
  <c r="G204" i="1"/>
  <c r="G85" i="1"/>
  <c r="BU229" i="1"/>
  <c r="BG229" i="1"/>
  <c r="AS229" i="1"/>
  <c r="AE229" i="1"/>
  <c r="Q229" i="1"/>
  <c r="BV225" i="1"/>
  <c r="BH225" i="1"/>
  <c r="AT225" i="1"/>
  <c r="AF225" i="1"/>
  <c r="R225" i="1"/>
  <c r="BW221" i="1"/>
  <c r="BI221" i="1"/>
  <c r="AG221" i="1"/>
  <c r="S221" i="1"/>
  <c r="BS218" i="1"/>
  <c r="BE218" i="1"/>
  <c r="AQ218" i="1"/>
  <c r="AC218" i="1"/>
  <c r="O218" i="1"/>
  <c r="BQ205" i="1"/>
  <c r="BQ204" i="1" s="1"/>
  <c r="BC205" i="1"/>
  <c r="BC204" i="1" s="1"/>
  <c r="AO205" i="1"/>
  <c r="AO204" i="1" s="1"/>
  <c r="AA205" i="1"/>
  <c r="AA204" i="1" s="1"/>
  <c r="M205" i="1"/>
  <c r="M204" i="1" s="1"/>
  <c r="BY197" i="1"/>
  <c r="BY193" i="1" s="1"/>
  <c r="BK197" i="1"/>
  <c r="BK193" i="1" s="1"/>
  <c r="AW197" i="1"/>
  <c r="AW193" i="1" s="1"/>
  <c r="AI197" i="1"/>
  <c r="AI193" i="1" s="1"/>
  <c r="BR185" i="1"/>
  <c r="BD185" i="1"/>
  <c r="AP185" i="1"/>
  <c r="BZ178" i="1"/>
  <c r="BL178" i="1"/>
  <c r="AX178" i="1"/>
  <c r="AJ178" i="1"/>
  <c r="BF170" i="1"/>
  <c r="BW162" i="1"/>
  <c r="BI162" i="1"/>
  <c r="CA89" i="1"/>
  <c r="BM89" i="1"/>
  <c r="AY89" i="1"/>
  <c r="AK89" i="1"/>
  <c r="AK84" i="1" s="1"/>
  <c r="W89" i="1"/>
  <c r="W84" i="1" s="1"/>
  <c r="I89" i="1"/>
  <c r="I84" i="1" s="1"/>
  <c r="BY47" i="1"/>
  <c r="AI47" i="1"/>
  <c r="U47" i="1"/>
  <c r="BT19" i="1"/>
  <c r="AD19" i="1"/>
  <c r="P19" i="1"/>
  <c r="BL5" i="1"/>
  <c r="BK229" i="1"/>
  <c r="AJ225" i="1"/>
  <c r="BM221" i="1"/>
  <c r="Q205" i="1"/>
  <c r="Q204" i="1" s="1"/>
  <c r="CC197" i="1"/>
  <c r="CC193" i="1" s="1"/>
  <c r="BF229" i="1"/>
  <c r="AD229" i="1"/>
  <c r="BG225" i="1"/>
  <c r="Q225" i="1"/>
  <c r="BV221" i="1"/>
  <c r="BH221" i="1"/>
  <c r="AF221" i="1"/>
  <c r="BR218" i="1"/>
  <c r="AP218" i="1"/>
  <c r="N218" i="1"/>
  <c r="CD205" i="1"/>
  <c r="CD204" i="1" s="1"/>
  <c r="BP205" i="1"/>
  <c r="BP204" i="1" s="1"/>
  <c r="BB205" i="1"/>
  <c r="BB204" i="1" s="1"/>
  <c r="AN205" i="1"/>
  <c r="AN204" i="1" s="1"/>
  <c r="Z205" i="1"/>
  <c r="Z204" i="1" s="1"/>
  <c r="L205" i="1"/>
  <c r="L204" i="1" s="1"/>
  <c r="BX197" i="1"/>
  <c r="BX193" i="1" s="1"/>
  <c r="BJ197" i="1"/>
  <c r="BJ193" i="1" s="1"/>
  <c r="AV197" i="1"/>
  <c r="AV193" i="1" s="1"/>
  <c r="AH197" i="1"/>
  <c r="AH193" i="1" s="1"/>
  <c r="BQ185" i="1"/>
  <c r="BC185" i="1"/>
  <c r="AO185" i="1"/>
  <c r="BY178" i="1"/>
  <c r="BK178" i="1"/>
  <c r="AW178" i="1"/>
  <c r="AI178" i="1"/>
  <c r="BS170" i="1"/>
  <c r="BE170" i="1"/>
  <c r="AQ170" i="1"/>
  <c r="AC170" i="1"/>
  <c r="O170" i="1"/>
  <c r="BV162" i="1"/>
  <c r="BH162" i="1"/>
  <c r="AT162" i="1"/>
  <c r="AF162" i="1"/>
  <c r="R162" i="1"/>
  <c r="BZ152" i="1"/>
  <c r="BL152" i="1"/>
  <c r="AX152" i="1"/>
  <c r="AJ152" i="1"/>
  <c r="V152" i="1"/>
  <c r="H152" i="1"/>
  <c r="CC141" i="1"/>
  <c r="BQ70" i="1"/>
  <c r="BC70" i="1"/>
  <c r="AO70" i="1"/>
  <c r="M70" i="1"/>
  <c r="BX47" i="1"/>
  <c r="AV47" i="1"/>
  <c r="AH47" i="1"/>
  <c r="T47" i="1"/>
  <c r="BS19" i="1"/>
  <c r="BE19" i="1"/>
  <c r="O19" i="1"/>
  <c r="BK5" i="1"/>
  <c r="BY229" i="1"/>
  <c r="AW229" i="1"/>
  <c r="BZ225" i="1"/>
  <c r="AX225" i="1"/>
  <c r="CA221" i="1"/>
  <c r="BT229" i="1"/>
  <c r="AR229" i="1"/>
  <c r="P229" i="1"/>
  <c r="BU225" i="1"/>
  <c r="AS225" i="1"/>
  <c r="AE225" i="1"/>
  <c r="AT221" i="1"/>
  <c r="R221" i="1"/>
  <c r="BD218" i="1"/>
  <c r="AB218" i="1"/>
  <c r="G19" i="1"/>
  <c r="BS229" i="1"/>
  <c r="BE229" i="1"/>
  <c r="AQ229" i="1"/>
  <c r="AC229" i="1"/>
  <c r="O229" i="1"/>
  <c r="BT225" i="1"/>
  <c r="BF225" i="1"/>
  <c r="AR225" i="1"/>
  <c r="AD225" i="1"/>
  <c r="P225" i="1"/>
  <c r="BU221" i="1"/>
  <c r="BG221" i="1"/>
  <c r="AS221" i="1"/>
  <c r="AE221" i="1"/>
  <c r="Q221" i="1"/>
  <c r="BQ218" i="1"/>
  <c r="BC218" i="1"/>
  <c r="AO218" i="1"/>
  <c r="AA218" i="1"/>
  <c r="M218" i="1"/>
  <c r="M217" i="1" s="1"/>
  <c r="CC205" i="1"/>
  <c r="CC204" i="1" s="1"/>
  <c r="BO205" i="1"/>
  <c r="BO204" i="1" s="1"/>
  <c r="BA205" i="1"/>
  <c r="BA204" i="1" s="1"/>
  <c r="AM205" i="1"/>
  <c r="AM204" i="1" s="1"/>
  <c r="Y205" i="1"/>
  <c r="Y204" i="1" s="1"/>
  <c r="K205" i="1"/>
  <c r="K204" i="1" s="1"/>
  <c r="BW197" i="1"/>
  <c r="BW193" i="1" s="1"/>
  <c r="BI197" i="1"/>
  <c r="BI193" i="1" s="1"/>
  <c r="AU197" i="1"/>
  <c r="AU193" i="1" s="1"/>
  <c r="AG197" i="1"/>
  <c r="AG193" i="1" s="1"/>
  <c r="CD185" i="1"/>
  <c r="BP185" i="1"/>
  <c r="BB185" i="1"/>
  <c r="AN185" i="1"/>
  <c r="BX178" i="1"/>
  <c r="BJ178" i="1"/>
  <c r="AV178" i="1"/>
  <c r="AH178" i="1"/>
  <c r="BR170" i="1"/>
  <c r="BG162" i="1"/>
  <c r="BZ85" i="1"/>
  <c r="BL85" i="1"/>
  <c r="AX85" i="1"/>
  <c r="AJ85" i="1"/>
  <c r="V85" i="1"/>
  <c r="H85" i="1"/>
  <c r="CD70" i="1"/>
  <c r="BP70" i="1"/>
  <c r="AN70" i="1"/>
  <c r="Z70" i="1"/>
  <c r="L70" i="1"/>
  <c r="BW47" i="1"/>
  <c r="BI47" i="1"/>
  <c r="S47" i="1"/>
  <c r="BR19" i="1"/>
  <c r="BD19" i="1"/>
  <c r="N19" i="1"/>
  <c r="AV5" i="1"/>
  <c r="BE225" i="1"/>
  <c r="AC225" i="1"/>
  <c r="AR221" i="1"/>
  <c r="P221" i="1"/>
  <c r="AL204" i="1"/>
  <c r="BV197" i="1"/>
  <c r="BV193" i="1" s="1"/>
  <c r="BH197" i="1"/>
  <c r="BH193" i="1" s="1"/>
  <c r="AT197" i="1"/>
  <c r="AT193" i="1" s="1"/>
  <c r="AF197" i="1"/>
  <c r="AF193" i="1" s="1"/>
  <c r="CC185" i="1"/>
  <c r="BO185" i="1"/>
  <c r="BA185" i="1"/>
  <c r="AM185" i="1"/>
  <c r="BW178" i="1"/>
  <c r="BI178" i="1"/>
  <c r="AU178" i="1"/>
  <c r="AG178" i="1"/>
  <c r="BQ170" i="1"/>
  <c r="BC170" i="1"/>
  <c r="AO170" i="1"/>
  <c r="BT162" i="1"/>
  <c r="BF162" i="1"/>
  <c r="AR162" i="1"/>
  <c r="CA141" i="1"/>
  <c r="BM141" i="1"/>
  <c r="AY141" i="1"/>
  <c r="AK141" i="1"/>
  <c r="W141" i="1"/>
  <c r="I141" i="1"/>
  <c r="BR96" i="1"/>
  <c r="BD96" i="1"/>
  <c r="AP96" i="1"/>
  <c r="BX89" i="1"/>
  <c r="BJ89" i="1"/>
  <c r="AV89" i="1"/>
  <c r="AH89" i="1"/>
  <c r="T89" i="1"/>
  <c r="BY85" i="1"/>
  <c r="BK85" i="1"/>
  <c r="AI85" i="1"/>
  <c r="U85" i="1"/>
  <c r="BZ80" i="1"/>
  <c r="BL80" i="1"/>
  <c r="AX80" i="1"/>
  <c r="AJ80" i="1"/>
  <c r="V80" i="1"/>
  <c r="H80" i="1"/>
  <c r="CC70" i="1"/>
  <c r="BO70" i="1"/>
  <c r="BA70" i="1"/>
  <c r="AM70" i="1"/>
  <c r="Y70" i="1"/>
  <c r="K70" i="1"/>
  <c r="BV47" i="1"/>
  <c r="BH47" i="1"/>
  <c r="AT47" i="1"/>
  <c r="AF47" i="1"/>
  <c r="R47" i="1"/>
  <c r="BQ19" i="1"/>
  <c r="BC19" i="1"/>
  <c r="AO19" i="1"/>
  <c r="AA19" i="1"/>
  <c r="M19" i="1"/>
  <c r="U229" i="1"/>
  <c r="G141" i="1"/>
  <c r="BS225" i="1"/>
  <c r="AQ225" i="1"/>
  <c r="O225" i="1"/>
  <c r="BT221" i="1"/>
  <c r="BF221" i="1"/>
  <c r="AD221" i="1"/>
  <c r="G229" i="1"/>
  <c r="BR225" i="1"/>
  <c r="BD225" i="1"/>
  <c r="AP225" i="1"/>
  <c r="AB225" i="1"/>
  <c r="N225" i="1"/>
  <c r="BS221" i="1"/>
  <c r="BE221" i="1"/>
  <c r="AQ221" i="1"/>
  <c r="AC221" i="1"/>
  <c r="O221" i="1"/>
  <c r="BU197" i="1"/>
  <c r="BU193" i="1" s="1"/>
  <c r="BG197" i="1"/>
  <c r="BG193" i="1" s="1"/>
  <c r="AS197" i="1"/>
  <c r="AS193" i="1" s="1"/>
  <c r="CB185" i="1"/>
  <c r="BN185" i="1"/>
  <c r="AZ185" i="1"/>
  <c r="AL185" i="1"/>
  <c r="BV178" i="1"/>
  <c r="AT178" i="1"/>
  <c r="AF178" i="1"/>
  <c r="CD170" i="1"/>
  <c r="BP170" i="1"/>
  <c r="BB170" i="1"/>
  <c r="AN170" i="1"/>
  <c r="BS162" i="1"/>
  <c r="BE162" i="1"/>
  <c r="AQ162" i="1"/>
  <c r="BZ141" i="1"/>
  <c r="BL141" i="1"/>
  <c r="AX141" i="1"/>
  <c r="AJ141" i="1"/>
  <c r="V141" i="1"/>
  <c r="H141" i="1"/>
  <c r="BW89" i="1"/>
  <c r="BI89" i="1"/>
  <c r="AU89" i="1"/>
  <c r="AG89" i="1"/>
  <c r="S89" i="1"/>
  <c r="BX85" i="1"/>
  <c r="BJ85" i="1"/>
  <c r="AV85" i="1"/>
  <c r="AH85" i="1"/>
  <c r="T85" i="1"/>
  <c r="BY80" i="1"/>
  <c r="BK80" i="1"/>
  <c r="AW80" i="1"/>
  <c r="AI80" i="1"/>
  <c r="U80" i="1"/>
  <c r="CB70" i="1"/>
  <c r="BN70" i="1"/>
  <c r="AZ70" i="1"/>
  <c r="AL70" i="1"/>
  <c r="X70" i="1"/>
  <c r="J70" i="1"/>
  <c r="BU47" i="1"/>
  <c r="BG47" i="1"/>
  <c r="AS47" i="1"/>
  <c r="AE47" i="1"/>
  <c r="Q47" i="1"/>
  <c r="BF19" i="1"/>
  <c r="AR19" i="1"/>
  <c r="BK19" i="1"/>
  <c r="CD19" i="1"/>
  <c r="BP19" i="1"/>
  <c r="BB19" i="1"/>
  <c r="AN19" i="1"/>
  <c r="Z19" i="1"/>
  <c r="U5" i="1"/>
  <c r="BB5" i="1"/>
  <c r="BG5" i="1"/>
  <c r="BZ5" i="1"/>
  <c r="V5" i="1"/>
  <c r="BV5" i="1"/>
  <c r="BH5" i="1"/>
  <c r="AT5" i="1"/>
  <c r="AF5" i="1"/>
  <c r="R5" i="1"/>
  <c r="BV89" i="1"/>
  <c r="BV84" i="1" s="1"/>
  <c r="BH89" i="1"/>
  <c r="AT89" i="1"/>
  <c r="AT84" i="1" s="1"/>
  <c r="AF89" i="1"/>
  <c r="R89" i="1"/>
  <c r="R84" i="1" s="1"/>
  <c r="BS5" i="1"/>
  <c r="BE5" i="1"/>
  <c r="AQ5" i="1"/>
  <c r="AC5" i="1"/>
  <c r="O5" i="1"/>
  <c r="BR5" i="1"/>
  <c r="BD5" i="1"/>
  <c r="AP5" i="1"/>
  <c r="AB5" i="1"/>
  <c r="N5" i="1"/>
  <c r="CB162" i="1"/>
  <c r="BN162" i="1"/>
  <c r="AZ162" i="1"/>
  <c r="AL162" i="1"/>
  <c r="J162" i="1"/>
  <c r="BR152" i="1"/>
  <c r="BD152" i="1"/>
  <c r="AP152" i="1"/>
  <c r="AB152" i="1"/>
  <c r="N152" i="1"/>
  <c r="BU141" i="1"/>
  <c r="BU140" i="1" s="1"/>
  <c r="BG141" i="1"/>
  <c r="BG140" i="1" s="1"/>
  <c r="AS141" i="1"/>
  <c r="AS140" i="1" s="1"/>
  <c r="AE141" i="1"/>
  <c r="Q141" i="1"/>
  <c r="BS85" i="1"/>
  <c r="BE85" i="1"/>
  <c r="AQ85" i="1"/>
  <c r="AC85" i="1"/>
  <c r="AC84" i="1" s="1"/>
  <c r="O85" i="1"/>
  <c r="AU70" i="1"/>
  <c r="AG70" i="1"/>
  <c r="S70" i="1"/>
  <c r="BQ5" i="1"/>
  <c r="BC5" i="1"/>
  <c r="AO5" i="1"/>
  <c r="AA5" i="1"/>
  <c r="M5" i="1"/>
  <c r="BR85" i="1"/>
  <c r="BD85" i="1"/>
  <c r="AP85" i="1"/>
  <c r="AB85" i="1"/>
  <c r="N85" i="1"/>
  <c r="AT70" i="1"/>
  <c r="AF70" i="1"/>
  <c r="R70" i="1"/>
  <c r="CC47" i="1"/>
  <c r="BO47" i="1"/>
  <c r="BA47" i="1"/>
  <c r="AM47" i="1"/>
  <c r="Y47" i="1"/>
  <c r="K47" i="1"/>
  <c r="BX19" i="1"/>
  <c r="BJ19" i="1"/>
  <c r="AV19" i="1"/>
  <c r="AH19" i="1"/>
  <c r="T19" i="1"/>
  <c r="H162" i="1"/>
  <c r="CD152" i="1"/>
  <c r="BP152" i="1"/>
  <c r="BB152" i="1"/>
  <c r="AN152" i="1"/>
  <c r="Z152" i="1"/>
  <c r="L152" i="1"/>
  <c r="BS141" i="1"/>
  <c r="BS140" i="1" s="1"/>
  <c r="BE141" i="1"/>
  <c r="BE140" i="1" s="1"/>
  <c r="AQ141" i="1"/>
  <c r="AC141" i="1"/>
  <c r="O141" i="1"/>
  <c r="BQ85" i="1"/>
  <c r="BC85" i="1"/>
  <c r="BC84" i="1" s="1"/>
  <c r="AO85" i="1"/>
  <c r="AA85" i="1"/>
  <c r="AA84" i="1" s="1"/>
  <c r="M85" i="1"/>
  <c r="AE70" i="1"/>
  <c r="Q70" i="1"/>
  <c r="CB47" i="1"/>
  <c r="BN47" i="1"/>
  <c r="AZ47" i="1"/>
  <c r="AL47" i="1"/>
  <c r="X47" i="1"/>
  <c r="J47" i="1"/>
  <c r="BW19" i="1"/>
  <c r="BI19" i="1"/>
  <c r="AU19" i="1"/>
  <c r="AG19" i="1"/>
  <c r="S19" i="1"/>
  <c r="AB141" i="1"/>
  <c r="N141" i="1"/>
  <c r="BW96" i="1"/>
  <c r="BI96" i="1"/>
  <c r="AU96" i="1"/>
  <c r="AG96" i="1"/>
  <c r="CD85" i="1"/>
  <c r="BP85" i="1"/>
  <c r="BB85" i="1"/>
  <c r="AN85" i="1"/>
  <c r="Z85" i="1"/>
  <c r="Z84" i="1" s="1"/>
  <c r="L85" i="1"/>
  <c r="BT70" i="1"/>
  <c r="BF70" i="1"/>
  <c r="AR70" i="1"/>
  <c r="AD70" i="1"/>
  <c r="P70" i="1"/>
  <c r="CA47" i="1"/>
  <c r="BM47" i="1"/>
  <c r="AY47" i="1"/>
  <c r="AK47" i="1"/>
  <c r="W47" i="1"/>
  <c r="I47" i="1"/>
  <c r="BV19" i="1"/>
  <c r="BH19" i="1"/>
  <c r="AT19" i="1"/>
  <c r="AF19" i="1"/>
  <c r="R19" i="1"/>
  <c r="BV96" i="1"/>
  <c r="BH96" i="1"/>
  <c r="AT96" i="1"/>
  <c r="AF96" i="1"/>
  <c r="CC85" i="1"/>
  <c r="BO85" i="1"/>
  <c r="BA85" i="1"/>
  <c r="AM85" i="1"/>
  <c r="Y85" i="1"/>
  <c r="K85" i="1"/>
  <c r="CD80" i="1"/>
  <c r="BP80" i="1"/>
  <c r="BB80" i="1"/>
  <c r="AN80" i="1"/>
  <c r="Z80" i="1"/>
  <c r="L80" i="1"/>
  <c r="BS70" i="1"/>
  <c r="BE70" i="1"/>
  <c r="AQ70" i="1"/>
  <c r="AC70" i="1"/>
  <c r="O70" i="1"/>
  <c r="BT170" i="1"/>
  <c r="AR170" i="1"/>
  <c r="AD170" i="1"/>
  <c r="P170" i="1"/>
  <c r="AU162" i="1"/>
  <c r="AG162" i="1"/>
  <c r="S162" i="1"/>
  <c r="CA152" i="1"/>
  <c r="BM152" i="1"/>
  <c r="AY152" i="1"/>
  <c r="AK152" i="1"/>
  <c r="W152" i="1"/>
  <c r="I152" i="1"/>
  <c r="CD141" i="1"/>
  <c r="BP141" i="1"/>
  <c r="BB141" i="1"/>
  <c r="AN141" i="1"/>
  <c r="Z141" i="1"/>
  <c r="L141" i="1"/>
  <c r="BU96" i="1"/>
  <c r="BG96" i="1"/>
  <c r="AS96" i="1"/>
  <c r="CB85" i="1"/>
  <c r="BN85" i="1"/>
  <c r="AZ85" i="1"/>
  <c r="AL85" i="1"/>
  <c r="X85" i="1"/>
  <c r="J85" i="1"/>
  <c r="J84" i="1" s="1"/>
  <c r="CC80" i="1"/>
  <c r="BO80" i="1"/>
  <c r="BA80" i="1"/>
  <c r="AM80" i="1"/>
  <c r="Y80" i="1"/>
  <c r="K80" i="1"/>
  <c r="BR70" i="1"/>
  <c r="BD70" i="1"/>
  <c r="AP70" i="1"/>
  <c r="AB70" i="1"/>
  <c r="N70" i="1"/>
  <c r="BO141" i="1"/>
  <c r="BA141" i="1"/>
  <c r="AM141" i="1"/>
  <c r="Y141" i="1"/>
  <c r="K141" i="1"/>
  <c r="K140" i="1" s="1"/>
  <c r="BT96" i="1"/>
  <c r="BF96" i="1"/>
  <c r="AR96" i="1"/>
  <c r="BZ89" i="1"/>
  <c r="BL89" i="1"/>
  <c r="AX89" i="1"/>
  <c r="AJ89" i="1"/>
  <c r="V89" i="1"/>
  <c r="H89" i="1"/>
  <c r="CB80" i="1"/>
  <c r="BN80" i="1"/>
  <c r="AZ80" i="1"/>
  <c r="AL80" i="1"/>
  <c r="X80" i="1"/>
  <c r="J80" i="1"/>
  <c r="BD170" i="1"/>
  <c r="AP170" i="1"/>
  <c r="AB170" i="1"/>
  <c r="N170" i="1"/>
  <c r="BU162" i="1"/>
  <c r="AS162" i="1"/>
  <c r="AE162" i="1"/>
  <c r="Q162" i="1"/>
  <c r="BY152" i="1"/>
  <c r="BK152" i="1"/>
  <c r="AW152" i="1"/>
  <c r="AI152" i="1"/>
  <c r="U152" i="1"/>
  <c r="CB141" i="1"/>
  <c r="BN141" i="1"/>
  <c r="AZ141" i="1"/>
  <c r="AZ140" i="1" s="1"/>
  <c r="AL141" i="1"/>
  <c r="X141" i="1"/>
  <c r="X140" i="1" s="1"/>
  <c r="J141" i="1"/>
  <c r="BS96" i="1"/>
  <c r="BE96" i="1"/>
  <c r="AQ96" i="1"/>
  <c r="BY89" i="1"/>
  <c r="BK89" i="1"/>
  <c r="AW89" i="1"/>
  <c r="AI89" i="1"/>
  <c r="U89" i="1"/>
  <c r="CA80" i="1"/>
  <c r="BM80" i="1"/>
  <c r="AY80" i="1"/>
  <c r="AK80" i="1"/>
  <c r="W80" i="1"/>
  <c r="I80" i="1"/>
  <c r="BD84" i="1" l="1"/>
  <c r="AQ140" i="1"/>
  <c r="AX100" i="1"/>
  <c r="AY84" i="1"/>
  <c r="AO140" i="1"/>
  <c r="K100" i="1"/>
  <c r="BQ100" i="1"/>
  <c r="BT100" i="1"/>
  <c r="BZ100" i="1"/>
  <c r="AL140" i="1"/>
  <c r="BM84" i="1"/>
  <c r="BC100" i="1"/>
  <c r="AF84" i="1"/>
  <c r="AO217" i="1"/>
  <c r="BB217" i="1"/>
  <c r="AA217" i="1"/>
  <c r="BO217" i="1"/>
  <c r="BK100" i="1"/>
  <c r="L100" i="1"/>
  <c r="BF100" i="1"/>
  <c r="O100" i="1"/>
  <c r="Z100" i="1"/>
  <c r="AU100" i="1"/>
  <c r="H100" i="1"/>
  <c r="BG100" i="1"/>
  <c r="S84" i="1"/>
  <c r="BD100" i="1"/>
  <c r="CD100" i="1"/>
  <c r="AV100" i="1"/>
  <c r="Q140" i="1"/>
  <c r="BW84" i="1"/>
  <c r="AY100" i="1"/>
  <c r="BP100" i="1"/>
  <c r="G155" i="1"/>
  <c r="AO100" i="1"/>
  <c r="BW4" i="1"/>
  <c r="Y155" i="1"/>
  <c r="AC140" i="1"/>
  <c r="BO140" i="1"/>
  <c r="BH84" i="1"/>
  <c r="AW100" i="1"/>
  <c r="BV100" i="1"/>
  <c r="Q100" i="1"/>
  <c r="N155" i="1"/>
  <c r="AG4" i="1"/>
  <c r="AS100" i="1"/>
  <c r="S100" i="1"/>
  <c r="AM100" i="1"/>
  <c r="AE100" i="1"/>
  <c r="AI100" i="1"/>
  <c r="BA217" i="1"/>
  <c r="BF84" i="1"/>
  <c r="AN100" i="1"/>
  <c r="AG100" i="1"/>
  <c r="M100" i="1"/>
  <c r="BI100" i="1"/>
  <c r="BS100" i="1"/>
  <c r="P100" i="1"/>
  <c r="AZ100" i="1"/>
  <c r="V100" i="1"/>
  <c r="BR100" i="1"/>
  <c r="AC100" i="1"/>
  <c r="CB100" i="1"/>
  <c r="AL100" i="1"/>
  <c r="BU100" i="1"/>
  <c r="BL100" i="1"/>
  <c r="AJ100" i="1"/>
  <c r="BO100" i="1"/>
  <c r="CC100" i="1"/>
  <c r="BK217" i="1"/>
  <c r="BB100" i="1"/>
  <c r="AA100" i="1"/>
  <c r="BW100" i="1"/>
  <c r="N100" i="1"/>
  <c r="AD100" i="1"/>
  <c r="BN100" i="1"/>
  <c r="T100" i="1"/>
  <c r="I100" i="1"/>
  <c r="AQ100" i="1"/>
  <c r="AE155" i="1"/>
  <c r="AB100" i="1"/>
  <c r="AR100" i="1"/>
  <c r="AH100" i="1"/>
  <c r="W100" i="1"/>
  <c r="BE100" i="1"/>
  <c r="U155" i="1"/>
  <c r="AP100" i="1"/>
  <c r="R100" i="1"/>
  <c r="Q84" i="1"/>
  <c r="BJ100" i="1"/>
  <c r="J100" i="1"/>
  <c r="BA100" i="1"/>
  <c r="AM84" i="1"/>
  <c r="AH140" i="1"/>
  <c r="BP217" i="1"/>
  <c r="G100" i="1"/>
  <c r="Y100" i="1"/>
  <c r="BX100" i="1"/>
  <c r="U100" i="1"/>
  <c r="BM100" i="1"/>
  <c r="X100" i="1"/>
  <c r="BA84" i="1"/>
  <c r="AV140" i="1"/>
  <c r="S4" i="1"/>
  <c r="CD217" i="1"/>
  <c r="CA100" i="1"/>
  <c r="BJ140" i="1"/>
  <c r="L217" i="1"/>
  <c r="BG84" i="1"/>
  <c r="AF100" i="1"/>
  <c r="AU84" i="1"/>
  <c r="BX140" i="1"/>
  <c r="AZ217" i="1"/>
  <c r="Z217" i="1"/>
  <c r="BU84" i="1"/>
  <c r="AT100" i="1"/>
  <c r="AO84" i="1"/>
  <c r="BI84" i="1"/>
  <c r="AN217" i="1"/>
  <c r="K217" i="1"/>
  <c r="BH100" i="1"/>
  <c r="BY100" i="1"/>
  <c r="AM217" i="1"/>
  <c r="AY217" i="1"/>
  <c r="BL217" i="1"/>
  <c r="AL217" i="1"/>
  <c r="AB140" i="1"/>
  <c r="M140" i="1"/>
  <c r="AS155" i="1"/>
  <c r="AS139" i="1" s="1"/>
  <c r="AA140" i="1"/>
  <c r="K155" i="1"/>
  <c r="K139" i="1" s="1"/>
  <c r="BX4" i="1"/>
  <c r="BR84" i="1"/>
  <c r="X84" i="1"/>
  <c r="BU155" i="1"/>
  <c r="BU139" i="1" s="1"/>
  <c r="AI217" i="1"/>
  <c r="BQ155" i="1"/>
  <c r="I217" i="1"/>
  <c r="BN217" i="1"/>
  <c r="L84" i="1"/>
  <c r="AQ84" i="1"/>
  <c r="BS84" i="1"/>
  <c r="N140" i="1"/>
  <c r="AL84" i="1"/>
  <c r="BN140" i="1"/>
  <c r="AG84" i="1"/>
  <c r="AG3" i="1" s="1"/>
  <c r="AA155" i="1"/>
  <c r="P84" i="1"/>
  <c r="AE84" i="1"/>
  <c r="AZ84" i="1"/>
  <c r="CB140" i="1"/>
  <c r="BE84" i="1"/>
  <c r="CD84" i="1"/>
  <c r="BI4" i="1"/>
  <c r="BQ84" i="1"/>
  <c r="Q155" i="1"/>
  <c r="Q139" i="1" s="1"/>
  <c r="AE140" i="1"/>
  <c r="P140" i="1"/>
  <c r="AD84" i="1"/>
  <c r="AS84" i="1"/>
  <c r="CA84" i="1"/>
  <c r="BQ140" i="1"/>
  <c r="BO84" i="1"/>
  <c r="M84" i="1"/>
  <c r="R155" i="1"/>
  <c r="AD155" i="1"/>
  <c r="AD139" i="1" s="1"/>
  <c r="AY155" i="1"/>
  <c r="V155" i="1"/>
  <c r="CC84" i="1"/>
  <c r="BY155" i="1"/>
  <c r="BM155" i="1"/>
  <c r="BC217" i="1"/>
  <c r="CB217" i="1"/>
  <c r="BT84" i="1"/>
  <c r="BJ4" i="1"/>
  <c r="AV155" i="1"/>
  <c r="R4" i="1"/>
  <c r="R3" i="1" s="1"/>
  <c r="CD4" i="1"/>
  <c r="BQ217" i="1"/>
  <c r="BI217" i="1"/>
  <c r="W217" i="1"/>
  <c r="AS4" i="1"/>
  <c r="AG140" i="1"/>
  <c r="S155" i="1"/>
  <c r="AU4" i="1"/>
  <c r="BJ155" i="1"/>
  <c r="AF4" i="1"/>
  <c r="AX217" i="1"/>
  <c r="T155" i="1"/>
  <c r="AF140" i="1"/>
  <c r="AT4" i="1"/>
  <c r="AT3" i="1" s="1"/>
  <c r="I140" i="1"/>
  <c r="G4" i="1"/>
  <c r="AW217" i="1"/>
  <c r="AT140" i="1"/>
  <c r="AB217" i="1"/>
  <c r="AE217" i="1"/>
  <c r="BZ217" i="1"/>
  <c r="BH140" i="1"/>
  <c r="AN155" i="1"/>
  <c r="W140" i="1"/>
  <c r="AN4" i="1"/>
  <c r="AO4" i="1"/>
  <c r="BD217" i="1"/>
  <c r="BV140" i="1"/>
  <c r="AB155" i="1"/>
  <c r="AB139" i="1" s="1"/>
  <c r="O4" i="1"/>
  <c r="O155" i="1"/>
  <c r="BC4" i="1"/>
  <c r="BC3" i="1" s="1"/>
  <c r="Q4" i="1"/>
  <c r="J217" i="1"/>
  <c r="CA155" i="1"/>
  <c r="T4" i="1"/>
  <c r="BQ4" i="1"/>
  <c r="BQ3" i="1" s="1"/>
  <c r="CC155" i="1"/>
  <c r="AE4" i="1"/>
  <c r="X217" i="1"/>
  <c r="L140" i="1"/>
  <c r="L139" i="1" s="1"/>
  <c r="O140" i="1"/>
  <c r="AC4" i="1"/>
  <c r="AC3" i="1" s="1"/>
  <c r="J140" i="1"/>
  <c r="M155" i="1"/>
  <c r="BC155" i="1"/>
  <c r="AZ4" i="1"/>
  <c r="U217" i="1"/>
  <c r="AW4" i="1"/>
  <c r="T140" i="1"/>
  <c r="BY4" i="1"/>
  <c r="BG155" i="1"/>
  <c r="BG139" i="1" s="1"/>
  <c r="BA140" i="1"/>
  <c r="AH155" i="1"/>
  <c r="BP4" i="1"/>
  <c r="AJ217" i="1"/>
  <c r="BI140" i="1"/>
  <c r="Y4" i="1"/>
  <c r="BW140" i="1"/>
  <c r="AM4" i="1"/>
  <c r="BN4" i="1"/>
  <c r="AS217" i="1"/>
  <c r="AG217" i="1"/>
  <c r="BU4" i="1"/>
  <c r="BU3" i="1" s="1"/>
  <c r="AI4" i="1"/>
  <c r="BM217" i="1"/>
  <c r="AH84" i="1"/>
  <c r="N217" i="1"/>
  <c r="AJ4" i="1"/>
  <c r="BF4" i="1"/>
  <c r="AK4" i="1"/>
  <c r="AK3" i="1" s="1"/>
  <c r="AP155" i="1"/>
  <c r="AP217" i="1"/>
  <c r="AK217" i="1"/>
  <c r="J4" i="1"/>
  <c r="J3" i="1" s="1"/>
  <c r="BD155" i="1"/>
  <c r="R140" i="1"/>
  <c r="AR4" i="1"/>
  <c r="AR3" i="1" s="1"/>
  <c r="P155" i="1"/>
  <c r="Y84" i="1"/>
  <c r="H84" i="1"/>
  <c r="BR217" i="1"/>
  <c r="P4" i="1"/>
  <c r="BY217" i="1"/>
  <c r="H4" i="1"/>
  <c r="X4" i="1"/>
  <c r="AX4" i="1"/>
  <c r="BF155" i="1"/>
  <c r="BF139" i="1" s="1"/>
  <c r="CA4" i="1"/>
  <c r="W4" i="1"/>
  <c r="W3" i="1" s="1"/>
  <c r="H140" i="1"/>
  <c r="BR155" i="1"/>
  <c r="N84" i="1"/>
  <c r="Z4" i="1"/>
  <c r="Z3" i="1" s="1"/>
  <c r="U84" i="1"/>
  <c r="V84" i="1"/>
  <c r="CA217" i="1"/>
  <c r="AD4" i="1"/>
  <c r="AL4" i="1"/>
  <c r="AC155" i="1"/>
  <c r="BN84" i="1"/>
  <c r="CB84" i="1"/>
  <c r="BP84" i="1"/>
  <c r="AI84" i="1"/>
  <c r="AV4" i="1"/>
  <c r="AJ84" i="1"/>
  <c r="BT4" i="1"/>
  <c r="H217" i="1"/>
  <c r="S140" i="1"/>
  <c r="CB4" i="1"/>
  <c r="H155" i="1"/>
  <c r="AU217" i="1"/>
  <c r="V217" i="1"/>
  <c r="L4" i="1"/>
  <c r="AU140" i="1"/>
  <c r="AG155" i="1"/>
  <c r="AG139" i="1" s="1"/>
  <c r="K4" i="1"/>
  <c r="W155" i="1"/>
  <c r="AM140" i="1"/>
  <c r="AO155" i="1"/>
  <c r="AO139" i="1" s="1"/>
  <c r="AP84" i="1"/>
  <c r="AA4" i="1"/>
  <c r="AA3" i="1" s="1"/>
  <c r="BK155" i="1"/>
  <c r="BZ140" i="1"/>
  <c r="BL155" i="1"/>
  <c r="BV155" i="1"/>
  <c r="BS217" i="1"/>
  <c r="BM4" i="1"/>
  <c r="BM3" i="1" s="1"/>
  <c r="BT217" i="1"/>
  <c r="S217" i="1"/>
  <c r="AH217" i="1"/>
  <c r="BY140" i="1"/>
  <c r="BZ155" i="1"/>
  <c r="G84" i="1"/>
  <c r="AV217" i="1"/>
  <c r="AQ155" i="1"/>
  <c r="AQ139" i="1" s="1"/>
  <c r="BK84" i="1"/>
  <c r="Q217" i="1"/>
  <c r="BX217" i="1"/>
  <c r="AR155" i="1"/>
  <c r="AR139" i="1" s="1"/>
  <c r="BS155" i="1"/>
  <c r="BS139" i="1" s="1"/>
  <c r="BA4" i="1"/>
  <c r="BT155" i="1"/>
  <c r="BT139" i="1" s="1"/>
  <c r="AW84" i="1"/>
  <c r="BL84" i="1"/>
  <c r="Z140" i="1"/>
  <c r="Z139" i="1" s="1"/>
  <c r="AQ4" i="1"/>
  <c r="AQ3" i="1" s="1"/>
  <c r="BV4" i="1"/>
  <c r="BV3" i="1" s="1"/>
  <c r="AK140" i="1"/>
  <c r="BZ84" i="1"/>
  <c r="BI155" i="1"/>
  <c r="BL4" i="1"/>
  <c r="BG217" i="1"/>
  <c r="BO4" i="1"/>
  <c r="BO3" i="1" s="1"/>
  <c r="BJ217" i="1"/>
  <c r="AX84" i="1"/>
  <c r="AK155" i="1"/>
  <c r="BH4" i="1"/>
  <c r="BH3" i="1" s="1"/>
  <c r="AU155" i="1"/>
  <c r="AN140" i="1"/>
  <c r="O84" i="1"/>
  <c r="BE4" i="1"/>
  <c r="V4" i="1"/>
  <c r="AY140" i="1"/>
  <c r="BW155" i="1"/>
  <c r="BA155" i="1"/>
  <c r="BU217" i="1"/>
  <c r="CC4" i="1"/>
  <c r="AM155" i="1"/>
  <c r="BN155" i="1"/>
  <c r="BX155" i="1"/>
  <c r="BX139" i="1" s="1"/>
  <c r="BS4" i="1"/>
  <c r="BZ4" i="1"/>
  <c r="T84" i="1"/>
  <c r="G140" i="1"/>
  <c r="BM140" i="1"/>
  <c r="BO155" i="1"/>
  <c r="G217" i="1"/>
  <c r="AH4" i="1"/>
  <c r="CB155" i="1"/>
  <c r="N4" i="1"/>
  <c r="CA140" i="1"/>
  <c r="BK4" i="1"/>
  <c r="R217" i="1"/>
  <c r="BW217" i="1"/>
  <c r="AZ155" i="1"/>
  <c r="AZ139" i="1" s="1"/>
  <c r="BG4" i="1"/>
  <c r="BG3" i="1" s="1"/>
  <c r="BB155" i="1"/>
  <c r="AB4" i="1"/>
  <c r="BB4" i="1"/>
  <c r="AV84" i="1"/>
  <c r="V140" i="1"/>
  <c r="O217" i="1"/>
  <c r="P217" i="1"/>
  <c r="AF217" i="1"/>
  <c r="U140" i="1"/>
  <c r="BE155" i="1"/>
  <c r="BE139" i="1" s="1"/>
  <c r="BY84" i="1"/>
  <c r="BB140" i="1"/>
  <c r="CD140" i="1"/>
  <c r="K84" i="1"/>
  <c r="BP155" i="1"/>
  <c r="AP4" i="1"/>
  <c r="I155" i="1"/>
  <c r="U4" i="1"/>
  <c r="BJ84" i="1"/>
  <c r="AJ140" i="1"/>
  <c r="J155" i="1"/>
  <c r="AF155" i="1"/>
  <c r="AC217" i="1"/>
  <c r="AD217" i="1"/>
  <c r="AP140" i="1"/>
  <c r="AT217" i="1"/>
  <c r="AI140" i="1"/>
  <c r="CD155" i="1"/>
  <c r="BD4" i="1"/>
  <c r="BD3" i="1" s="1"/>
  <c r="AI155" i="1"/>
  <c r="BX84" i="1"/>
  <c r="AX140" i="1"/>
  <c r="AJ155" i="1"/>
  <c r="AT155" i="1"/>
  <c r="CC140" i="1"/>
  <c r="AQ217" i="1"/>
  <c r="I4" i="1"/>
  <c r="I3" i="1" s="1"/>
  <c r="AR217" i="1"/>
  <c r="BD140" i="1"/>
  <c r="BH217" i="1"/>
  <c r="AW140" i="1"/>
  <c r="BC140" i="1"/>
  <c r="AN84" i="1"/>
  <c r="BB84" i="1"/>
  <c r="BP140" i="1"/>
  <c r="AL155" i="1"/>
  <c r="X139" i="1"/>
  <c r="Y140" i="1"/>
  <c r="AB84" i="1"/>
  <c r="M4" i="1"/>
  <c r="BR4" i="1"/>
  <c r="AW155" i="1"/>
  <c r="BL140" i="1"/>
  <c r="AX155" i="1"/>
  <c r="BH155" i="1"/>
  <c r="BE217" i="1"/>
  <c r="AY4" i="1"/>
  <c r="AY3" i="1" s="1"/>
  <c r="BF217" i="1"/>
  <c r="BR140" i="1"/>
  <c r="BV217" i="1"/>
  <c r="T217" i="1"/>
  <c r="BK140" i="1"/>
  <c r="J139" i="1" l="1"/>
  <c r="CB139" i="1"/>
  <c r="Y139" i="1"/>
  <c r="AT139" i="1"/>
  <c r="BW139" i="1"/>
  <c r="S3" i="1"/>
  <c r="AY139" i="1"/>
  <c r="AY232" i="1" s="1"/>
  <c r="AF3" i="1"/>
  <c r="AF232" i="1" s="1"/>
  <c r="AV139" i="1"/>
  <c r="AV232" i="1" s="1"/>
  <c r="BV139" i="1"/>
  <c r="BV232" i="1" s="1"/>
  <c r="AL139" i="1"/>
  <c r="BO139" i="1"/>
  <c r="BO232" i="1" s="1"/>
  <c r="AU3" i="1"/>
  <c r="R139" i="1"/>
  <c r="R232" i="1" s="1"/>
  <c r="I139" i="1"/>
  <c r="AE3" i="1"/>
  <c r="BJ139" i="1"/>
  <c r="AE139" i="1"/>
  <c r="AV3" i="1"/>
  <c r="H139" i="1"/>
  <c r="H232" i="1" s="1"/>
  <c r="N139" i="1"/>
  <c r="V3" i="1"/>
  <c r="AH139" i="1"/>
  <c r="AZ3" i="1"/>
  <c r="AZ232" i="1" s="1"/>
  <c r="BF3" i="1"/>
  <c r="BF232" i="1" s="1"/>
  <c r="AM3" i="1"/>
  <c r="O139" i="1"/>
  <c r="O232" i="1" s="1"/>
  <c r="M3" i="1"/>
  <c r="AF139" i="1"/>
  <c r="AC139" i="1"/>
  <c r="BQ139" i="1"/>
  <c r="BY139" i="1"/>
  <c r="U139" i="1"/>
  <c r="G139" i="1"/>
  <c r="BZ3" i="1"/>
  <c r="BT3" i="1"/>
  <c r="BT232" i="1" s="1"/>
  <c r="AA139" i="1"/>
  <c r="AA232" i="1" s="1"/>
  <c r="AW3" i="1"/>
  <c r="BR3" i="1"/>
  <c r="BK3" i="1"/>
  <c r="BN139" i="1"/>
  <c r="BN232" i="1" s="1"/>
  <c r="K3" i="1"/>
  <c r="BN3" i="1"/>
  <c r="K232" i="1"/>
  <c r="T139" i="1"/>
  <c r="BY3" i="1"/>
  <c r="BY232" i="1" s="1"/>
  <c r="T3" i="1"/>
  <c r="U3" i="1"/>
  <c r="BW3" i="1"/>
  <c r="BW232" i="1" s="1"/>
  <c r="P139" i="1"/>
  <c r="AI3" i="1"/>
  <c r="CC3" i="1"/>
  <c r="Q3" i="1"/>
  <c r="Q232" i="1" s="1"/>
  <c r="BI3" i="1"/>
  <c r="BI232" i="1" s="1"/>
  <c r="BA3" i="1"/>
  <c r="L3" i="1"/>
  <c r="L232" i="1" s="1"/>
  <c r="M139" i="1"/>
  <c r="I232" i="1"/>
  <c r="AB3" i="1"/>
  <c r="AB232" i="1" s="1"/>
  <c r="CD3" i="1"/>
  <c r="BI139" i="1"/>
  <c r="BB139" i="1"/>
  <c r="BE3" i="1"/>
  <c r="BE232" i="1" s="1"/>
  <c r="AP139" i="1"/>
  <c r="AP232" i="1" s="1"/>
  <c r="Z232" i="1"/>
  <c r="AO3" i="1"/>
  <c r="AO232" i="1" s="1"/>
  <c r="BJ3" i="1"/>
  <c r="BS3" i="1"/>
  <c r="BS232" i="1" s="1"/>
  <c r="AN3" i="1"/>
  <c r="AP3" i="1"/>
  <c r="BB3" i="1"/>
  <c r="CA3" i="1"/>
  <c r="J232" i="1"/>
  <c r="AE232" i="1"/>
  <c r="AG232" i="1"/>
  <c r="U232" i="1"/>
  <c r="AS3" i="1"/>
  <c r="AS232" i="1"/>
  <c r="AH3" i="1"/>
  <c r="BU232" i="1"/>
  <c r="AX3" i="1"/>
  <c r="BX3" i="1"/>
  <c r="BX232" i="1" s="1"/>
  <c r="BA139" i="1"/>
  <c r="AL3" i="1"/>
  <c r="X3" i="1"/>
  <c r="X232" i="1" s="1"/>
  <c r="Y3" i="1"/>
  <c r="Y232" i="1" s="1"/>
  <c r="AT232" i="1"/>
  <c r="BG232" i="1"/>
  <c r="AD3" i="1"/>
  <c r="AD232" i="1" s="1"/>
  <c r="H3" i="1"/>
  <c r="O3" i="1"/>
  <c r="G3" i="1"/>
  <c r="BQ232" i="1"/>
  <c r="AR232" i="1"/>
  <c r="BL3" i="1"/>
  <c r="N3" i="1"/>
  <c r="CB3" i="1"/>
  <c r="CB232" i="1" s="1"/>
  <c r="P3" i="1"/>
  <c r="AJ3" i="1"/>
  <c r="BP3" i="1"/>
  <c r="AQ232" i="1"/>
  <c r="AC232" i="1"/>
  <c r="W139" i="1"/>
  <c r="W232" i="1" s="1"/>
  <c r="BM139" i="1"/>
  <c r="BM232" i="1" s="1"/>
  <c r="BZ139" i="1"/>
  <c r="BR139" i="1"/>
  <c r="AK139" i="1"/>
  <c r="AK232" i="1" s="1"/>
  <c r="BH139" i="1"/>
  <c r="BH232" i="1" s="1"/>
  <c r="CA139" i="1"/>
  <c r="S139" i="1"/>
  <c r="S232" i="1" s="1"/>
  <c r="CC139" i="1"/>
  <c r="V139" i="1"/>
  <c r="V232" i="1" s="1"/>
  <c r="AN139" i="1"/>
  <c r="BC139" i="1"/>
  <c r="BC232" i="1" s="1"/>
  <c r="CD139" i="1"/>
  <c r="AU139" i="1"/>
  <c r="AX139" i="1"/>
  <c r="BD139" i="1"/>
  <c r="BD232" i="1" s="1"/>
  <c r="AW139" i="1"/>
  <c r="AJ139" i="1"/>
  <c r="AM139" i="1"/>
  <c r="BK139" i="1"/>
  <c r="BL139" i="1"/>
  <c r="AI139" i="1"/>
  <c r="BP139" i="1"/>
  <c r="N232" i="1" l="1"/>
  <c r="CA232" i="1"/>
  <c r="AU232" i="1"/>
  <c r="AL232" i="1"/>
  <c r="BZ232" i="1"/>
  <c r="AI232" i="1"/>
  <c r="P232" i="1"/>
  <c r="BK232" i="1"/>
  <c r="AJ232" i="1"/>
  <c r="AW232" i="1"/>
  <c r="BR232" i="1"/>
  <c r="M232" i="1"/>
  <c r="T232" i="1"/>
  <c r="AX232" i="1"/>
  <c r="AM232" i="1"/>
  <c r="AH232" i="1"/>
  <c r="CD232" i="1"/>
  <c r="BJ232" i="1"/>
  <c r="G232" i="1"/>
  <c r="CC232" i="1"/>
  <c r="AN232" i="1"/>
  <c r="BA232" i="1"/>
  <c r="BL232" i="1"/>
  <c r="BB232" i="1"/>
  <c r="BP232" i="1"/>
</calcChain>
</file>

<file path=xl/sharedStrings.xml><?xml version="1.0" encoding="utf-8"?>
<sst xmlns="http://schemas.openxmlformats.org/spreadsheetml/2006/main" count="1478" uniqueCount="188">
  <si>
    <t>1 - Energy</t>
  </si>
  <si>
    <t>1.A - Fuel Combustion Activities</t>
  </si>
  <si>
    <t>1.A.1 - Energy Industries</t>
  </si>
  <si>
    <t>1.A.1.a - Main Activity Electricity and Heat Production</t>
  </si>
  <si>
    <t>1.A.1.a.i - Electricity Generation</t>
  </si>
  <si>
    <t>Electricity and Heat Generation</t>
  </si>
  <si>
    <t>ch4</t>
  </si>
  <si>
    <t>co2</t>
  </si>
  <si>
    <t>n2o</t>
  </si>
  <si>
    <t>1.A.1.b - Petroleum Refining</t>
  </si>
  <si>
    <t>Fuel Production</t>
  </si>
  <si>
    <t>1.A.1.c - Manufacture of Solid Fuels and Other Energy Industries</t>
  </si>
  <si>
    <t>1.A.1.c.i - Manufacture of Solid Fuels</t>
  </si>
  <si>
    <t>1.A.1.c.ii - Other Energy Industries</t>
  </si>
  <si>
    <t>1.A.2 - Manufacturing Industries and Construction</t>
  </si>
  <si>
    <t>1.A.2.a - Iron and Steel|1.A.2.b - Non-Ferrous Metals</t>
  </si>
  <si>
    <t>Industrial Combustion</t>
  </si>
  <si>
    <t>1.A.2.c - Chemicals</t>
  </si>
  <si>
    <t>1.A.2.d - Pulp, Paper and Print</t>
  </si>
  <si>
    <t>1.A.2.e - Food Processing, Beverages and Tobacco|1.A.2.g - Transport Equipment|1.A.2.m - Non-specified Industry</t>
  </si>
  <si>
    <t>1.A.2.f - Non-Metallic Minerals</t>
  </si>
  <si>
    <t>1.A.2.i - Mining (excluding fuels) and Quarrying</t>
  </si>
  <si>
    <t>1.A.2.j - Wood and wood products</t>
  </si>
  <si>
    <t>1.A.2.k - Construction</t>
  </si>
  <si>
    <t>1.A.2.l - Textile and Leather</t>
  </si>
  <si>
    <t>1.A.3 - Transport</t>
  </si>
  <si>
    <t>1.A.3.a - Civil Aviation|1.A.3.a.i - International Aviation (International Bunkers) (1)</t>
  </si>
  <si>
    <t>Transportation</t>
  </si>
  <si>
    <t>1.A.3.b - Road Transportation</t>
  </si>
  <si>
    <t>1.A.3.b.i - Cars|1.A.3.b.ii - Light-duty trucks</t>
  </si>
  <si>
    <t>1.A.3.b.iii - Heavy-duty trucks and buses</t>
  </si>
  <si>
    <t>1.A.3.b.iv - Motorcycles</t>
  </si>
  <si>
    <t>1.A.3.c - Railways</t>
  </si>
  <si>
    <t>1.A.3.d - Water-borne Navigation</t>
  </si>
  <si>
    <t>1.A.3.e - Other Transportation</t>
  </si>
  <si>
    <t>1.A.4 - Other Sectors</t>
  </si>
  <si>
    <t>1.A.4.a - Commercial/Institutional</t>
  </si>
  <si>
    <t>Buildings</t>
  </si>
  <si>
    <t>1.A.4.b - Residential</t>
  </si>
  <si>
    <t>1.A.4.c - Agriculture/Forestry/Fishing/Fish Farms</t>
  </si>
  <si>
    <t>1.A.5 - Non-Specified</t>
  </si>
  <si>
    <t>Other  Combustion</t>
  </si>
  <si>
    <t>1.B - Fugitive emissions from fuels</t>
  </si>
  <si>
    <t>1.B.1 - Solid Fuels</t>
  </si>
  <si>
    <t>Fugitive Emissions</t>
  </si>
  <si>
    <t>1.B.2 - Oil and Natural Gas</t>
  </si>
  <si>
    <t>1.B.2.a - Oil</t>
  </si>
  <si>
    <t>1.B.2.b - Natural Gas</t>
  </si>
  <si>
    <t>Carbon Capture Industries</t>
  </si>
  <si>
    <t xml:space="preserve">2 - Industrial Processes and Product Use </t>
  </si>
  <si>
    <t xml:space="preserve">2.A - Mineral Industry </t>
  </si>
  <si>
    <t xml:space="preserve">2.A.1 - Cement production </t>
  </si>
  <si>
    <t>IPPU</t>
  </si>
  <si>
    <t xml:space="preserve">2.A.2 - Lime production </t>
  </si>
  <si>
    <t xml:space="preserve">2.A.3 - Glass Production </t>
  </si>
  <si>
    <t xml:space="preserve">2.B - Chemical Industry </t>
  </si>
  <si>
    <t>hfcs</t>
  </si>
  <si>
    <t>nf3</t>
  </si>
  <si>
    <t>pfcs</t>
  </si>
  <si>
    <t>sf6</t>
  </si>
  <si>
    <t xml:space="preserve">2.C - Metal Industry </t>
  </si>
  <si>
    <t>2.D - Non-Energy Products from Fuels and Solvent Use  (6)</t>
  </si>
  <si>
    <t xml:space="preserve">2.D.1 - Lubricant Use </t>
  </si>
  <si>
    <t xml:space="preserve">2.D.2 - Paraffin Wax Use </t>
  </si>
  <si>
    <t>2.D.3 - Solvent Use  (7)</t>
  </si>
  <si>
    <t xml:space="preserve">2.E - Electronics Industry </t>
  </si>
  <si>
    <t xml:space="preserve">2.F - Product Uses as Substitutes for Ozone Depleting Substances </t>
  </si>
  <si>
    <t xml:space="preserve">2.F.1 - Refrigeration and Air Conditioning </t>
  </si>
  <si>
    <t>2.F.2 - Foam Blowing Agents|2.F.3 - Fire Protection|2.F.4 - Aerosols|2.F.5 - Solvents|2.F.6 - Other Applications (please specify)  (3)</t>
  </si>
  <si>
    <t xml:space="preserve">2.G - Other Product Manufacture and Use </t>
  </si>
  <si>
    <t xml:space="preserve">2.H - Other </t>
  </si>
  <si>
    <t xml:space="preserve"> 2.H.1 - Pulp and Paper Industry </t>
  </si>
  <si>
    <t xml:space="preserve">3 - Agriculture, Forestry, and Other Land Use </t>
  </si>
  <si>
    <t xml:space="preserve">3.A - Livestock </t>
  </si>
  <si>
    <t xml:space="preserve">3.A.1 - Enteric Fermentation </t>
  </si>
  <si>
    <t xml:space="preserve">3.A.1.a - Cattle </t>
  </si>
  <si>
    <t>3.A.1.a.i - Dairy Cows</t>
  </si>
  <si>
    <t>Livestock</t>
  </si>
  <si>
    <t>3.A.1.a.ii - Other Cattle</t>
  </si>
  <si>
    <t xml:space="preserve">3.A.1.b - Buffalo </t>
  </si>
  <si>
    <t xml:space="preserve">3.A.1.c - Sheep </t>
  </si>
  <si>
    <t xml:space="preserve">3.A.1.d - Goats </t>
  </si>
  <si>
    <t>3.A.1.e - Camels|3.A.1.f - Horses</t>
  </si>
  <si>
    <t xml:space="preserve">3.A.1.g - Mules and Asses </t>
  </si>
  <si>
    <t xml:space="preserve">3.A.1.h - Swine </t>
  </si>
  <si>
    <t xml:space="preserve">3.A.1.i - Poultry </t>
  </si>
  <si>
    <t>3.A.2 - Manure Management  (1)</t>
  </si>
  <si>
    <t>3.B - Land</t>
  </si>
  <si>
    <t>3.B.1 - Forest land</t>
  </si>
  <si>
    <t>3.B.1.a - Forest land Remaining Forest land</t>
  </si>
  <si>
    <t>Forest Land - Removals</t>
  </si>
  <si>
    <t>Forest Land - Sequestration</t>
  </si>
  <si>
    <t>Forest Land Methane</t>
  </si>
  <si>
    <t>3.B.2 - Cropland</t>
  </si>
  <si>
    <t>3.B.2.a - Cropland Remaining Cropland</t>
  </si>
  <si>
    <t>Cropland</t>
  </si>
  <si>
    <t>Agriculture and Managed Soil</t>
  </si>
  <si>
    <t>3.B.2.b - Land Converted to Cropland</t>
  </si>
  <si>
    <t>3.B.2.b.i - Forest Land converted to Cropland</t>
  </si>
  <si>
    <t>Deforestation</t>
  </si>
  <si>
    <t>3.B.2.b.ii - Grassland converted to Cropland</t>
  </si>
  <si>
    <t>Other Not Estimated Conversion</t>
  </si>
  <si>
    <t>Other Land Use Conversion</t>
  </si>
  <si>
    <t>3.B.2.b.iii - Wetlands converted to Cropland</t>
  </si>
  <si>
    <t>3.B.2.b.iv - Settlements converted to Cropland</t>
  </si>
  <si>
    <t>3.B.2.b.v - Other Land converted to Cropland</t>
  </si>
  <si>
    <t>3.B.3 - Grassland</t>
  </si>
  <si>
    <t>3.B.3.a - Grassland Remaining Grassland</t>
  </si>
  <si>
    <t>Grassland</t>
  </si>
  <si>
    <t>3.B.3.b - Land Converted to Grassland</t>
  </si>
  <si>
    <t>3.B.3.b.i - Forest Land converted to Grassland</t>
  </si>
  <si>
    <t>3.B.3.b.ii - Cropland converted to Grassland</t>
  </si>
  <si>
    <t>3.B.3.b.iii - Wetlands converted to Grassland</t>
  </si>
  <si>
    <t>3.B.3.b.iv - Settlements converted to Grassland</t>
  </si>
  <si>
    <t>3.B.3.b.v - Other Land converted to Grassland</t>
  </si>
  <si>
    <t>3.B.4 - Wetlands</t>
  </si>
  <si>
    <t>3.B.4.a - Wetlands Remaining Wetlands</t>
  </si>
  <si>
    <t>3.B.4.a.i - Peat Extraction remaining Peat Extraction|3.B.4.a.iii - Other Wetlands Remaining Other Wetlands</t>
  </si>
  <si>
    <t>Wetlands</t>
  </si>
  <si>
    <t>3.B.4.a.ii - Flooded Land remaining Flooded Land</t>
  </si>
  <si>
    <t>3.B.4.b - Land Converted to Wetlands</t>
  </si>
  <si>
    <t>3.B.4.b.i - Land converted for Peat Extraction|3.B.4.b.iii - Land converted to Other Wetlands</t>
  </si>
  <si>
    <t>3.B.4.b.ii - Land converted to Flooded Land</t>
  </si>
  <si>
    <t>3.B.5 - Settlements</t>
  </si>
  <si>
    <t>3.B.5.a - Settlements Remaining Settlements</t>
  </si>
  <si>
    <t>Other Not Estimated Sequestration</t>
  </si>
  <si>
    <t>3.B.5.b - Land Converted to Settlements</t>
  </si>
  <si>
    <t>3.B.5.b.i - Forest Land converted to Settlements</t>
  </si>
  <si>
    <t>3.B.5.b.ii - Cropland converted to Settlements</t>
  </si>
  <si>
    <t>3.B.5.b.iii - Grassland converted to Settlements</t>
  </si>
  <si>
    <t>3.B.5.b.iv - Wetlands converted to Settlements</t>
  </si>
  <si>
    <t>3.B.5.b.v - Other Land converted to Settlements</t>
  </si>
  <si>
    <t>3.B.6 - Other Land</t>
  </si>
  <si>
    <t>3.B.6.a - Other land Remaining Other land</t>
  </si>
  <si>
    <t>3.B.6.b - Land Converted to Other land</t>
  </si>
  <si>
    <t>3.B.6.b.i - Forest Land converted to Other Land</t>
  </si>
  <si>
    <t>3.B.6.b.ii - Cropland converted to Other Land</t>
  </si>
  <si>
    <t>3.B.6.b.iii - Grassland converted to Other Land</t>
  </si>
  <si>
    <t>3.B.6.b.iv - Wetlands converted to Other Land</t>
  </si>
  <si>
    <t>3.B.6.b.v - Settlements converted to Other Land</t>
  </si>
  <si>
    <t>3.C - Aggregate sources and non-CO2 emissions sources on land  (2)</t>
  </si>
  <si>
    <t xml:space="preserve">3.C.1 - Burning </t>
  </si>
  <si>
    <t xml:space="preserve"> 3.C.1.b - Burning in Cropland </t>
  </si>
  <si>
    <t xml:space="preserve">3.C.1.b - Burning in Cropland </t>
  </si>
  <si>
    <t xml:space="preserve">3.C.2 - Liming </t>
  </si>
  <si>
    <t xml:space="preserve">3.C.3 - Urea application </t>
  </si>
  <si>
    <t xml:space="preserve">3.C.4 - Direct N2O Emissions from managed soils  (3)|3.C.5 - Indirect N2O Emissions from managed soils </t>
  </si>
  <si>
    <t xml:space="preserve">3.C.6 - Indirect N2O Emissions from manure management </t>
  </si>
  <si>
    <t xml:space="preserve">3.C.7 - Rice cultivation </t>
  </si>
  <si>
    <t>Other Soils</t>
  </si>
  <si>
    <t>Other Not Estimated Soils</t>
  </si>
  <si>
    <t>CH4 from Wetlands</t>
  </si>
  <si>
    <t xml:space="preserve">3.D - Other </t>
  </si>
  <si>
    <t xml:space="preserve">3.D.1 - Harvested Wood Products </t>
  </si>
  <si>
    <t>Forest Land - HWP</t>
  </si>
  <si>
    <t xml:space="preserve">4 - Waste </t>
  </si>
  <si>
    <t xml:space="preserve">   4.A - Solid Waste Disposal </t>
  </si>
  <si>
    <t>4.A.1 - Managed Waste Disposal Sites</t>
  </si>
  <si>
    <t>Solid Waste</t>
  </si>
  <si>
    <t>4.A.2 - Unmanaged Waste Disposal Sites|4.A.3 - Uncategorised Waste Disposal Sites</t>
  </si>
  <si>
    <t xml:space="preserve">   4.B - Biological Treatment of Solid Waste </t>
  </si>
  <si>
    <t>Anaerobic digestion at biogas facilities</t>
  </si>
  <si>
    <t>Composting</t>
  </si>
  <si>
    <t xml:space="preserve">   4.C - Incineration and Open Burning of Waste </t>
  </si>
  <si>
    <t>4.C.1 - Waste Incineration|4.C.2 - Open Burning of Waste</t>
  </si>
  <si>
    <t xml:space="preserve">   4.D - Wastewater Treatment and Discharge </t>
  </si>
  <si>
    <t>4.D.1 - Domestic Wastewater Treatment and Discharge|4.D.2 - Industrial Wastewater Treatment and Discharge</t>
  </si>
  <si>
    <t>Wastewater Treatment</t>
  </si>
  <si>
    <t>3.B - Land*</t>
  </si>
  <si>
    <t>NOTES:</t>
  </si>
  <si>
    <t>FLAGS:</t>
  </si>
  <si>
    <t>MISSING:</t>
  </si>
  <si>
    <t xml:space="preserve">3.B.1.b - Land Converted to Forest land </t>
  </si>
  <si>
    <t>(OTHER, NOT IN IPCC-Forest Land Methane)</t>
  </si>
  <si>
    <t>3.B.2.a - Cropland Remaining Cropland**</t>
  </si>
  <si>
    <t>*  - The WB team uses transition estimates for deforestation from the National Communication 3 and BUR2, which reflect emissions comensurate with extensive deforestation and land use change noted between 2000 and 2020. Emissions classified as deforestation (e.g., forestland converted to cropland or grasslands) are on the order of 13 MT in these documents, but dissapate in the inventories. Additionally, conversion to forest is accounted differently in SISEPUEDE; conversion to forest is not accounted as a complete sink in the year of conversion; instead, there's an annual sequestration factor per area of forest.
**  - SISEPUEDE includes drained organic soils CO2 in croplands remaining croplands</t>
  </si>
  <si>
    <t>ALL NUMBERS ARE CO2E: FACTORS (AR6 100-yr GWP; CH4--27.9, N2O, 273)</t>
  </si>
  <si>
    <t>(NE) SOIL ORGANIC CARBON FROM CONVERSION</t>
  </si>
  <si>
    <t>(NE) OTHER LAND USE SEQUESTRATION (annual, including shrublands)</t>
  </si>
  <si>
    <t>(NE) OTHER LAND USE CONVERTED TO OTHER (within 11 SISEPUEDE categories)</t>
  </si>
  <si>
    <t>(NE) OTHER NOT ESTIMATED SOILS (Paddock, Pasture, Range)</t>
  </si>
  <si>
    <t>(NE) CH4 FROM WETLANDS</t>
  </si>
  <si>
    <t>1.X (NE) OTHER NON-SPECIFIED ENERGY</t>
  </si>
  <si>
    <t>Carbon Capture and Sequestration Industries</t>
  </si>
  <si>
    <t>Gas</t>
  </si>
  <si>
    <t>1.A.3 - Transport (including bunkers)</t>
  </si>
  <si>
    <t>Total Emissions (Kt CO2e)</t>
  </si>
  <si>
    <t>Enter values below IN EXACT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</si>
</sst>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b/>
      <sz val="16"/>
      <color theme="0"/>
      <name val="Aptos Narrow"/>
      <scheme val="minor"/>
    </font>
    <font>
      <b/>
      <sz val="18"/>
      <color theme="0"/>
      <name val="Aptos Narrow"/>
      <scheme val="minor"/>
    </font>
    <font>
      <sz val="12"/>
      <color theme="1"/>
      <name val="Aptos"/>
    </font>
    <font>
      <sz val="12"/>
      <color rgb="FF000000"/>
      <name val="Aptos"/>
    </font>
  </fonts>
  <fills count="9">
    <fill>
      <patternFill patternType="none"/>
    </fill>
    <fill>
      <patternFill patternType="gray125"/>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3"/>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2" fillId="2"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1" fillId="3" borderId="0" xfId="0" applyFont="1" applyFill="1"/>
    <xf numFmtId="0" fontId="0" fillId="8" borderId="0" xfId="0" applyFill="1"/>
    <xf numFmtId="0" fontId="3" fillId="7" borderId="0" xfId="0" applyFont="1" applyFill="1" applyAlignment="1">
      <alignment horizontal="center" vertical="center"/>
    </xf>
    <xf numFmtId="0" fontId="3" fillId="7" borderId="0" xfId="0" applyFont="1" applyFill="1" applyAlignment="1">
      <alignment horizontal="left" vertical="center"/>
    </xf>
    <xf numFmtId="0" fontId="2" fillId="7" borderId="0" xfId="0" applyFont="1" applyFill="1"/>
    <xf numFmtId="0" fontId="0" fillId="0" borderId="0" xfId="0" applyAlignment="1">
      <alignment wrapText="1"/>
    </xf>
    <xf numFmtId="0" fontId="0" fillId="0" borderId="0" xfId="0" applyAlignment="1"/>
    <xf numFmtId="0" fontId="4" fillId="4" borderId="0" xfId="0" applyFont="1" applyFill="1" applyBorder="1" applyAlignment="1">
      <alignment horizontal="center" vertical="center"/>
    </xf>
    <xf numFmtId="0" fontId="4" fillId="4" borderId="0" xfId="0" applyFont="1" applyFill="1" applyAlignment="1">
      <alignment horizontal="center" vertical="center"/>
    </xf>
    <xf numFmtId="0" fontId="5" fillId="4" borderId="0" xfId="0" applyNumberFormat="1" applyFont="1" applyFill="1" applyBorder="1" applyAlignment="1">
      <alignment horizontal="center" vertical="center"/>
    </xf>
    <xf numFmtId="4" fontId="5" fillId="4" borderId="0"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80EC-8DD9-9C42-8ABC-32E320F5C74A}">
  <dimension ref="A1:CL431"/>
  <sheetViews>
    <sheetView tabSelected="1" topLeftCell="BQ222" workbookViewId="0">
      <selection activeCell="CF235" sqref="CF235"/>
    </sheetView>
  </sheetViews>
  <sheetFormatPr baseColWidth="10" defaultRowHeight="16" x14ac:dyDescent="0.2"/>
  <cols>
    <col min="1" max="4" width="2.6640625" customWidth="1"/>
    <col min="5" max="5" width="67.1640625" customWidth="1"/>
    <col min="6" max="6" width="8.83203125" customWidth="1"/>
    <col min="8" max="81" width="10.83203125" customWidth="1"/>
  </cols>
  <sheetData>
    <row r="1" spans="1:82" x14ac:dyDescent="0.2">
      <c r="A1" t="s">
        <v>176</v>
      </c>
    </row>
    <row r="2" spans="1:82" s="6" customFormat="1" ht="29" customHeight="1" x14ac:dyDescent="0.3">
      <c r="F2" s="11" t="s">
        <v>184</v>
      </c>
      <c r="G2" s="11">
        <v>1995</v>
      </c>
      <c r="H2" s="11">
        <v>1996</v>
      </c>
      <c r="I2" s="11">
        <v>1997</v>
      </c>
      <c r="J2" s="11">
        <v>1998</v>
      </c>
      <c r="K2" s="11">
        <v>1999</v>
      </c>
      <c r="L2" s="11">
        <v>2000</v>
      </c>
      <c r="M2" s="11">
        <v>2001</v>
      </c>
      <c r="N2" s="11">
        <v>2002</v>
      </c>
      <c r="O2" s="11">
        <v>2003</v>
      </c>
      <c r="P2" s="11">
        <v>2004</v>
      </c>
      <c r="Q2" s="11">
        <v>2005</v>
      </c>
      <c r="R2" s="11">
        <v>2006</v>
      </c>
      <c r="S2" s="11">
        <v>2007</v>
      </c>
      <c r="T2" s="11">
        <v>2008</v>
      </c>
      <c r="U2" s="11">
        <v>2009</v>
      </c>
      <c r="V2" s="11">
        <v>2010</v>
      </c>
      <c r="W2" s="11">
        <v>2011</v>
      </c>
      <c r="X2" s="11">
        <v>2012</v>
      </c>
      <c r="Y2" s="11">
        <v>2013</v>
      </c>
      <c r="Z2" s="11">
        <v>2014</v>
      </c>
      <c r="AA2" s="11">
        <v>2015</v>
      </c>
      <c r="AB2" s="11">
        <v>2016</v>
      </c>
      <c r="AC2" s="11">
        <v>2017</v>
      </c>
      <c r="AD2" s="11">
        <v>2018</v>
      </c>
      <c r="AE2" s="11">
        <v>2019</v>
      </c>
      <c r="AF2" s="11">
        <v>2020</v>
      </c>
      <c r="AG2" s="11">
        <v>2021</v>
      </c>
      <c r="AH2" s="11">
        <v>2022</v>
      </c>
      <c r="AI2" s="11">
        <v>2023</v>
      </c>
      <c r="AJ2" s="11">
        <v>2024</v>
      </c>
      <c r="AK2" s="11">
        <v>2025</v>
      </c>
      <c r="AL2" s="11">
        <v>2026</v>
      </c>
      <c r="AM2" s="11">
        <v>2027</v>
      </c>
      <c r="AN2" s="11">
        <v>2028</v>
      </c>
      <c r="AO2" s="11">
        <v>2029</v>
      </c>
      <c r="AP2" s="11">
        <v>2030</v>
      </c>
      <c r="AQ2" s="11">
        <v>2031</v>
      </c>
      <c r="AR2" s="11">
        <v>2032</v>
      </c>
      <c r="AS2" s="11">
        <v>2033</v>
      </c>
      <c r="AT2" s="11">
        <v>2034</v>
      </c>
      <c r="AU2" s="11">
        <v>2035</v>
      </c>
      <c r="AV2" s="11">
        <v>2036</v>
      </c>
      <c r="AW2" s="11">
        <v>2037</v>
      </c>
      <c r="AX2" s="11">
        <v>2038</v>
      </c>
      <c r="AY2" s="11">
        <v>2039</v>
      </c>
      <c r="AZ2" s="11">
        <v>2040</v>
      </c>
      <c r="BA2" s="11">
        <v>2041</v>
      </c>
      <c r="BB2" s="11">
        <v>2042</v>
      </c>
      <c r="BC2" s="11">
        <v>2043</v>
      </c>
      <c r="BD2" s="11">
        <v>2044</v>
      </c>
      <c r="BE2" s="11">
        <v>2045</v>
      </c>
      <c r="BF2" s="11">
        <v>2046</v>
      </c>
      <c r="BG2" s="11">
        <v>2047</v>
      </c>
      <c r="BH2" s="11">
        <v>2048</v>
      </c>
      <c r="BI2" s="11">
        <v>2049</v>
      </c>
      <c r="BJ2" s="11">
        <v>2050</v>
      </c>
      <c r="BK2" s="11">
        <v>2051</v>
      </c>
      <c r="BL2" s="11">
        <v>2052</v>
      </c>
      <c r="BM2" s="11">
        <v>2053</v>
      </c>
      <c r="BN2" s="11">
        <v>2054</v>
      </c>
      <c r="BO2" s="11">
        <v>2055</v>
      </c>
      <c r="BP2" s="11">
        <v>2056</v>
      </c>
      <c r="BQ2" s="11">
        <v>2057</v>
      </c>
      <c r="BR2" s="11">
        <v>2058</v>
      </c>
      <c r="BS2" s="11">
        <v>2059</v>
      </c>
      <c r="BT2" s="11">
        <v>2060</v>
      </c>
      <c r="BU2" s="11">
        <v>2061</v>
      </c>
      <c r="BV2" s="11">
        <v>2062</v>
      </c>
      <c r="BW2" s="11">
        <v>2063</v>
      </c>
      <c r="BX2" s="11">
        <v>2064</v>
      </c>
      <c r="BY2" s="11">
        <v>2065</v>
      </c>
      <c r="BZ2" s="11">
        <v>2066</v>
      </c>
      <c r="CA2" s="11">
        <v>2067</v>
      </c>
      <c r="CB2" s="11">
        <v>2068</v>
      </c>
      <c r="CC2" s="11">
        <v>2069</v>
      </c>
      <c r="CD2" s="11">
        <v>2070</v>
      </c>
    </row>
    <row r="3" spans="1:82" s="2" customFormat="1" ht="22" x14ac:dyDescent="0.3">
      <c r="A3" s="2" t="s">
        <v>0</v>
      </c>
      <c r="G3" s="2">
        <f>SUM(G4,G84,G96)</f>
        <v>3037.8213000000005</v>
      </c>
      <c r="H3" s="2">
        <f t="shared" ref="H3:BS3" si="0">SUM(H4,H84,H96)</f>
        <v>3037.8213000000005</v>
      </c>
      <c r="I3" s="2">
        <f t="shared" si="0"/>
        <v>3309.6647000000003</v>
      </c>
      <c r="J3" s="2">
        <f t="shared" si="0"/>
        <v>3569.3178000000003</v>
      </c>
      <c r="K3" s="2">
        <f t="shared" si="0"/>
        <v>3626.5111999999999</v>
      </c>
      <c r="L3" s="2">
        <f t="shared" si="0"/>
        <v>3716.2582999999995</v>
      </c>
      <c r="M3" s="2">
        <f t="shared" si="0"/>
        <v>4048.9882000000002</v>
      </c>
      <c r="N3" s="2">
        <f t="shared" si="0"/>
        <v>4299.8744000000006</v>
      </c>
      <c r="O3" s="2">
        <f t="shared" si="0"/>
        <v>4444.8482999999997</v>
      </c>
      <c r="P3" s="2">
        <f t="shared" si="0"/>
        <v>4585.4283999999989</v>
      </c>
      <c r="Q3" s="2">
        <f t="shared" si="0"/>
        <v>4799.4894999999997</v>
      </c>
      <c r="R3" s="2">
        <f t="shared" si="0"/>
        <v>5179.6650000000009</v>
      </c>
      <c r="S3" s="2">
        <f t="shared" si="0"/>
        <v>5412.9075000000003</v>
      </c>
      <c r="T3" s="2">
        <f t="shared" si="0"/>
        <v>5839.1768999999995</v>
      </c>
      <c r="U3" s="2">
        <f t="shared" si="0"/>
        <v>6834.6412</v>
      </c>
      <c r="V3" s="2">
        <f t="shared" si="0"/>
        <v>6717.8518999999997</v>
      </c>
      <c r="W3" s="2">
        <f t="shared" si="0"/>
        <v>6974.5753999999997</v>
      </c>
      <c r="X3" s="2">
        <f t="shared" si="0"/>
        <v>7542.8891000000003</v>
      </c>
      <c r="Y3" s="2">
        <f t="shared" si="0"/>
        <v>7106.1514000000006</v>
      </c>
      <c r="Z3" s="2">
        <f t="shared" si="0"/>
        <v>7578.4705999999996</v>
      </c>
      <c r="AA3" s="2">
        <f t="shared" si="0"/>
        <v>8908.7505000000019</v>
      </c>
      <c r="AB3" s="2">
        <f t="shared" si="0"/>
        <v>8731.2611000000015</v>
      </c>
      <c r="AC3" s="2">
        <f t="shared" si="0"/>
        <v>9061.2655000000013</v>
      </c>
      <c r="AD3" s="2">
        <f t="shared" si="0"/>
        <v>9916.0385999999999</v>
      </c>
      <c r="AE3" s="2">
        <f t="shared" si="0"/>
        <v>12352.605099999999</v>
      </c>
      <c r="AF3" s="2">
        <f t="shared" si="0"/>
        <v>12953.70471732805</v>
      </c>
      <c r="AG3" s="2">
        <f t="shared" si="0"/>
        <v>13195.278917208872</v>
      </c>
      <c r="AH3" s="2">
        <f t="shared" si="0"/>
        <v>13690.708510516199</v>
      </c>
      <c r="AI3" s="2">
        <f t="shared" si="0"/>
        <v>14232.335243304955</v>
      </c>
      <c r="AJ3" s="2">
        <f t="shared" si="0"/>
        <v>14793.97789036603</v>
      </c>
      <c r="AK3" s="2">
        <f t="shared" si="0"/>
        <v>15437.340223934514</v>
      </c>
      <c r="AL3" s="2">
        <f t="shared" si="0"/>
        <v>16185.511467240394</v>
      </c>
      <c r="AM3" s="2">
        <f t="shared" si="0"/>
        <v>17371.118774084753</v>
      </c>
      <c r="AN3" s="2">
        <f t="shared" si="0"/>
        <v>19142.845436366468</v>
      </c>
      <c r="AO3" s="2">
        <f t="shared" si="0"/>
        <v>21071.585408428538</v>
      </c>
      <c r="AP3" s="2">
        <f t="shared" si="0"/>
        <v>23186.51944534434</v>
      </c>
      <c r="AQ3" s="2">
        <f t="shared" si="0"/>
        <v>25552.963162131902</v>
      </c>
      <c r="AR3" s="2">
        <f t="shared" si="0"/>
        <v>28279.05944737844</v>
      </c>
      <c r="AS3" s="2">
        <f t="shared" si="0"/>
        <v>31496.924121038388</v>
      </c>
      <c r="AT3" s="2">
        <f t="shared" si="0"/>
        <v>35288.723441356204</v>
      </c>
      <c r="AU3" s="2">
        <f t="shared" si="0"/>
        <v>39645.665219469847</v>
      </c>
      <c r="AV3" s="2">
        <f t="shared" si="0"/>
        <v>44466.503394986386</v>
      </c>
      <c r="AW3" s="2">
        <f t="shared" si="0"/>
        <v>49578.247151551979</v>
      </c>
      <c r="AX3" s="2">
        <f t="shared" si="0"/>
        <v>54806.683923197568</v>
      </c>
      <c r="AY3" s="2">
        <f t="shared" si="0"/>
        <v>60046.917588213066</v>
      </c>
      <c r="AZ3" s="2">
        <f t="shared" si="0"/>
        <v>65053.724978316277</v>
      </c>
      <c r="BA3" s="2">
        <f t="shared" si="0"/>
        <v>69719.810424577896</v>
      </c>
      <c r="BB3" s="2">
        <f t="shared" si="0"/>
        <v>74019.039018536059</v>
      </c>
      <c r="BC3" s="2">
        <f t="shared" si="0"/>
        <v>77972.543858271878</v>
      </c>
      <c r="BD3" s="2">
        <f t="shared" si="0"/>
        <v>81589.346647805985</v>
      </c>
      <c r="BE3" s="2">
        <f t="shared" si="0"/>
        <v>84865.244188593497</v>
      </c>
      <c r="BF3" s="2">
        <f t="shared" si="0"/>
        <v>87380.064937109128</v>
      </c>
      <c r="BG3" s="2">
        <f t="shared" si="0"/>
        <v>89866.296941899753</v>
      </c>
      <c r="BH3" s="2">
        <f t="shared" si="0"/>
        <v>92311.25884398428</v>
      </c>
      <c r="BI3" s="2">
        <f t="shared" si="0"/>
        <v>94701.514999886669</v>
      </c>
      <c r="BJ3" s="2">
        <f t="shared" si="0"/>
        <v>97025.552901123941</v>
      </c>
      <c r="BK3" s="2">
        <f t="shared" si="0"/>
        <v>99271.339916360419</v>
      </c>
      <c r="BL3" s="2">
        <f t="shared" si="0"/>
        <v>101423.89160636105</v>
      </c>
      <c r="BM3" s="2">
        <f t="shared" si="0"/>
        <v>103469.82296900038</v>
      </c>
      <c r="BN3" s="2">
        <f t="shared" si="0"/>
        <v>105397.66435949841</v>
      </c>
      <c r="BO3" s="2">
        <f t="shared" si="0"/>
        <v>107196.88608052202</v>
      </c>
      <c r="BP3" s="2">
        <f t="shared" si="0"/>
        <v>108858.15291138417</v>
      </c>
      <c r="BQ3" s="2">
        <f t="shared" si="0"/>
        <v>110544.3164117616</v>
      </c>
      <c r="BR3" s="2">
        <f t="shared" si="0"/>
        <v>112255.95803538097</v>
      </c>
      <c r="BS3" s="2">
        <f t="shared" si="0"/>
        <v>113993.42827635715</v>
      </c>
      <c r="BT3" s="2">
        <f t="shared" ref="BT3:CD3" si="1">SUM(BT4,BT84,BT96)</f>
        <v>115755.60783428259</v>
      </c>
      <c r="BU3" s="2">
        <f t="shared" si="1"/>
        <v>117548.54322504214</v>
      </c>
      <c r="BV3" s="2">
        <f t="shared" si="1"/>
        <v>119368.96194249415</v>
      </c>
      <c r="BW3" s="2">
        <f t="shared" si="1"/>
        <v>121218.98000143106</v>
      </c>
      <c r="BX3" s="2">
        <f t="shared" si="1"/>
        <v>123100.66218003993</v>
      </c>
      <c r="BY3" s="2">
        <f t="shared" si="1"/>
        <v>125016.06230926952</v>
      </c>
      <c r="BZ3" s="2">
        <f t="shared" si="1"/>
        <v>126967.88934208396</v>
      </c>
      <c r="CA3" s="2">
        <f t="shared" si="1"/>
        <v>128959.44670165592</v>
      </c>
      <c r="CB3" s="2">
        <f t="shared" si="1"/>
        <v>130994.03107246789</v>
      </c>
      <c r="CC3" s="2">
        <f t="shared" si="1"/>
        <v>133075.38805731639</v>
      </c>
      <c r="CD3" s="2">
        <f t="shared" si="1"/>
        <v>135207.84269382348</v>
      </c>
    </row>
    <row r="4" spans="1:82" s="7" customFormat="1" x14ac:dyDescent="0.2">
      <c r="B4" s="7" t="s">
        <v>1</v>
      </c>
      <c r="G4" s="7">
        <f>SUM(G5,G19,G47,G70,G80)</f>
        <v>3037.8213000000005</v>
      </c>
      <c r="H4" s="7">
        <f t="shared" ref="H4:BS4" si="2">SUM(H5,H19,H47,H70,H80)</f>
        <v>3037.8213000000005</v>
      </c>
      <c r="I4" s="7">
        <f t="shared" si="2"/>
        <v>3309.6647000000003</v>
      </c>
      <c r="J4" s="7">
        <f t="shared" si="2"/>
        <v>3569.3178000000003</v>
      </c>
      <c r="K4" s="7">
        <f t="shared" si="2"/>
        <v>3626.5111999999999</v>
      </c>
      <c r="L4" s="7">
        <f t="shared" si="2"/>
        <v>3716.2582999999995</v>
      </c>
      <c r="M4" s="7">
        <f t="shared" si="2"/>
        <v>4048.9882000000002</v>
      </c>
      <c r="N4" s="7">
        <f t="shared" si="2"/>
        <v>4299.8744000000006</v>
      </c>
      <c r="O4" s="7">
        <f t="shared" si="2"/>
        <v>4444.8482999999997</v>
      </c>
      <c r="P4" s="7">
        <f t="shared" si="2"/>
        <v>4585.4283999999989</v>
      </c>
      <c r="Q4" s="7">
        <f t="shared" si="2"/>
        <v>4799.4894999999997</v>
      </c>
      <c r="R4" s="7">
        <f t="shared" si="2"/>
        <v>5179.6650000000009</v>
      </c>
      <c r="S4" s="7">
        <f t="shared" si="2"/>
        <v>5412.9075000000003</v>
      </c>
      <c r="T4" s="7">
        <f t="shared" si="2"/>
        <v>5839.1768999999995</v>
      </c>
      <c r="U4" s="7">
        <f t="shared" si="2"/>
        <v>6834.6412</v>
      </c>
      <c r="V4" s="7">
        <f t="shared" si="2"/>
        <v>6717.8518999999997</v>
      </c>
      <c r="W4" s="7">
        <f t="shared" si="2"/>
        <v>6974.5753999999997</v>
      </c>
      <c r="X4" s="7">
        <f t="shared" si="2"/>
        <v>7542.8891000000003</v>
      </c>
      <c r="Y4" s="7">
        <f t="shared" si="2"/>
        <v>7106.1514000000006</v>
      </c>
      <c r="Z4" s="7">
        <f t="shared" si="2"/>
        <v>7578.4705999999996</v>
      </c>
      <c r="AA4" s="7">
        <f t="shared" si="2"/>
        <v>8908.7505000000019</v>
      </c>
      <c r="AB4" s="7">
        <f t="shared" si="2"/>
        <v>8731.2611000000015</v>
      </c>
      <c r="AC4" s="7">
        <f t="shared" si="2"/>
        <v>9061.2655000000013</v>
      </c>
      <c r="AD4" s="7">
        <f t="shared" si="2"/>
        <v>9916.0385999999999</v>
      </c>
      <c r="AE4" s="7">
        <f t="shared" si="2"/>
        <v>12352.605099999999</v>
      </c>
      <c r="AF4" s="7">
        <f t="shared" si="2"/>
        <v>12941.787964632891</v>
      </c>
      <c r="AG4" s="7">
        <f t="shared" si="2"/>
        <v>13183.263124032557</v>
      </c>
      <c r="AH4" s="7">
        <f t="shared" si="2"/>
        <v>13678.604179487453</v>
      </c>
      <c r="AI4" s="7">
        <f t="shared" si="2"/>
        <v>14220.118316451331</v>
      </c>
      <c r="AJ4" s="7">
        <f t="shared" si="2"/>
        <v>14781.673212260259</v>
      </c>
      <c r="AK4" s="7">
        <f t="shared" si="2"/>
        <v>15424.949654226941</v>
      </c>
      <c r="AL4" s="7">
        <f t="shared" si="2"/>
        <v>16173.039046181613</v>
      </c>
      <c r="AM4" s="7">
        <f t="shared" si="2"/>
        <v>17351.831368506915</v>
      </c>
      <c r="AN4" s="7">
        <f t="shared" si="2"/>
        <v>19114.906974792808</v>
      </c>
      <c r="AO4" s="7">
        <f t="shared" si="2"/>
        <v>21032.499809459252</v>
      </c>
      <c r="AP4" s="7">
        <f t="shared" si="2"/>
        <v>23133.018003242323</v>
      </c>
      <c r="AQ4" s="7">
        <f t="shared" si="2"/>
        <v>25314.892258843516</v>
      </c>
      <c r="AR4" s="7">
        <f t="shared" si="2"/>
        <v>27870.115590433255</v>
      </c>
      <c r="AS4" s="7">
        <f t="shared" si="2"/>
        <v>30907.442039087851</v>
      </c>
      <c r="AT4" s="7">
        <f t="shared" si="2"/>
        <v>34505.117412741594</v>
      </c>
      <c r="AU4" s="7">
        <f t="shared" si="2"/>
        <v>38654.850812970108</v>
      </c>
      <c r="AV4" s="7">
        <f t="shared" si="2"/>
        <v>43259.055417488875</v>
      </c>
      <c r="AW4" s="7">
        <f t="shared" si="2"/>
        <v>48150.424767807184</v>
      </c>
      <c r="AX4" s="7">
        <f t="shared" si="2"/>
        <v>53160.644101621801</v>
      </c>
      <c r="AY4" s="7">
        <f t="shared" si="2"/>
        <v>58189.234501654828</v>
      </c>
      <c r="AZ4" s="7">
        <f t="shared" si="2"/>
        <v>62994.446699432039</v>
      </c>
      <c r="BA4" s="7">
        <f t="shared" si="2"/>
        <v>67469.226290239953</v>
      </c>
      <c r="BB4" s="7">
        <f t="shared" si="2"/>
        <v>71587.126685306954</v>
      </c>
      <c r="BC4" s="7">
        <f t="shared" si="2"/>
        <v>75368.261197061744</v>
      </c>
      <c r="BD4" s="7">
        <f t="shared" si="2"/>
        <v>78820.309430662644</v>
      </c>
      <c r="BE4" s="7">
        <f t="shared" si="2"/>
        <v>81938.162005413542</v>
      </c>
      <c r="BF4" s="7">
        <f t="shared" si="2"/>
        <v>84433.932924809473</v>
      </c>
      <c r="BG4" s="7">
        <f t="shared" si="2"/>
        <v>86901.22161712902</v>
      </c>
      <c r="BH4" s="7">
        <f t="shared" si="2"/>
        <v>89327.445122960868</v>
      </c>
      <c r="BI4" s="7">
        <f t="shared" si="2"/>
        <v>91699.265603842709</v>
      </c>
      <c r="BJ4" s="7">
        <f t="shared" si="2"/>
        <v>94005.271632068208</v>
      </c>
      <c r="BK4" s="7">
        <f t="shared" si="2"/>
        <v>96233.41521926118</v>
      </c>
      <c r="BL4" s="7">
        <f t="shared" si="2"/>
        <v>98368.927493628769</v>
      </c>
      <c r="BM4" s="7">
        <f t="shared" si="2"/>
        <v>100398.52346991812</v>
      </c>
      <c r="BN4" s="7">
        <f t="shared" si="2"/>
        <v>102310.82777967444</v>
      </c>
      <c r="BO4" s="7">
        <f t="shared" si="2"/>
        <v>104095.4033283148</v>
      </c>
      <c r="BP4" s="7">
        <f t="shared" si="2"/>
        <v>105743.00702839564</v>
      </c>
      <c r="BQ4" s="7">
        <f t="shared" si="2"/>
        <v>107415.14428703072</v>
      </c>
      <c r="BR4" s="7">
        <f t="shared" si="2"/>
        <v>109112.38977414015</v>
      </c>
      <c r="BS4" s="7">
        <f t="shared" si="2"/>
        <v>110835.0851256076</v>
      </c>
      <c r="BT4" s="7">
        <f t="shared" ref="BT4:CD4" si="3">SUM(BT5,BT19,BT47,BT70,BT80)</f>
        <v>112582.10190787815</v>
      </c>
      <c r="BU4" s="7">
        <f t="shared" si="3"/>
        <v>114359.48215328454</v>
      </c>
      <c r="BV4" s="7">
        <f t="shared" si="3"/>
        <v>116163.94723702164</v>
      </c>
      <c r="BW4" s="7">
        <f t="shared" si="3"/>
        <v>117997.59939985059</v>
      </c>
      <c r="BX4" s="7">
        <f t="shared" si="3"/>
        <v>119862.49503639943</v>
      </c>
      <c r="BY4" s="7">
        <f t="shared" si="3"/>
        <v>121760.67610082467</v>
      </c>
      <c r="BZ4" s="7">
        <f t="shared" si="3"/>
        <v>123694.83990589557</v>
      </c>
      <c r="CA4" s="7">
        <f t="shared" si="3"/>
        <v>125668.2781716997</v>
      </c>
      <c r="CB4" s="7">
        <f t="shared" si="3"/>
        <v>127684.27191323365</v>
      </c>
      <c r="CC4" s="7">
        <f t="shared" si="3"/>
        <v>129746.55003328211</v>
      </c>
      <c r="CD4" s="7">
        <f t="shared" si="3"/>
        <v>131859.42532012175</v>
      </c>
    </row>
    <row r="5" spans="1:82" s="4" customFormat="1" x14ac:dyDescent="0.2">
      <c r="C5" s="4" t="s">
        <v>2</v>
      </c>
      <c r="G5" s="4">
        <f>SUM(G6:G18)</f>
        <v>66.344500000000011</v>
      </c>
      <c r="H5" s="4">
        <f t="shared" ref="H5:BS5" si="4">SUM(H6:H18)</f>
        <v>66.344500000000011</v>
      </c>
      <c r="I5" s="4">
        <f t="shared" si="4"/>
        <v>72.512600000000006</v>
      </c>
      <c r="J5" s="4">
        <f t="shared" si="4"/>
        <v>75.683999999999997</v>
      </c>
      <c r="K5" s="4">
        <f t="shared" si="4"/>
        <v>93.884799999999998</v>
      </c>
      <c r="L5" s="4">
        <f t="shared" si="4"/>
        <v>94.170799999999986</v>
      </c>
      <c r="M5" s="4">
        <f t="shared" si="4"/>
        <v>107.9734</v>
      </c>
      <c r="N5" s="4">
        <f t="shared" si="4"/>
        <v>127.62470000000002</v>
      </c>
      <c r="O5" s="4">
        <f t="shared" si="4"/>
        <v>137.65390000000002</v>
      </c>
      <c r="P5" s="4">
        <f t="shared" si="4"/>
        <v>147.60610000000003</v>
      </c>
      <c r="Q5" s="4">
        <f t="shared" si="4"/>
        <v>260.16629999999998</v>
      </c>
      <c r="R5" s="4">
        <f t="shared" si="4"/>
        <v>275.79819999999995</v>
      </c>
      <c r="S5" s="4">
        <f t="shared" si="4"/>
        <v>340.58899999999994</v>
      </c>
      <c r="T5" s="4">
        <f t="shared" si="4"/>
        <v>376.58539999999994</v>
      </c>
      <c r="U5" s="4">
        <f t="shared" si="4"/>
        <v>332.39339999999999</v>
      </c>
      <c r="V5" s="4">
        <f t="shared" si="4"/>
        <v>399.96049999999991</v>
      </c>
      <c r="W5" s="4">
        <f t="shared" si="4"/>
        <v>470.63219999999995</v>
      </c>
      <c r="X5" s="4">
        <f t="shared" si="4"/>
        <v>428.19939999999997</v>
      </c>
      <c r="Y5" s="4">
        <f t="shared" si="4"/>
        <v>323.66519999999997</v>
      </c>
      <c r="Z5" s="4">
        <f t="shared" si="4"/>
        <v>192.82589999999999</v>
      </c>
      <c r="AA5" s="4">
        <f t="shared" si="4"/>
        <v>605.00659999999993</v>
      </c>
      <c r="AB5" s="4">
        <f t="shared" si="4"/>
        <v>413.43799999999999</v>
      </c>
      <c r="AC5" s="4">
        <f t="shared" si="4"/>
        <v>493.1497</v>
      </c>
      <c r="AD5" s="4">
        <f t="shared" si="4"/>
        <v>1506.5996</v>
      </c>
      <c r="AE5" s="4">
        <f t="shared" si="4"/>
        <v>1678.0684999999999</v>
      </c>
      <c r="AF5" s="4">
        <f t="shared" si="4"/>
        <v>87.273386519633064</v>
      </c>
      <c r="AG5" s="4">
        <f t="shared" si="4"/>
        <v>103.47196279199302</v>
      </c>
      <c r="AH5" s="4">
        <f t="shared" si="4"/>
        <v>114.61321314799888</v>
      </c>
      <c r="AI5" s="4">
        <f t="shared" si="4"/>
        <v>109.26351615190903</v>
      </c>
      <c r="AJ5" s="4">
        <f t="shared" si="4"/>
        <v>104.01427551975819</v>
      </c>
      <c r="AK5" s="4">
        <f t="shared" si="4"/>
        <v>109.09785411360902</v>
      </c>
      <c r="AL5" s="4">
        <f t="shared" si="4"/>
        <v>115.03476461174429</v>
      </c>
      <c r="AM5" s="4">
        <f t="shared" si="4"/>
        <v>186.21501765919058</v>
      </c>
      <c r="AN5" s="4">
        <f t="shared" si="4"/>
        <v>599.44694027170726</v>
      </c>
      <c r="AO5" s="4">
        <f t="shared" si="4"/>
        <v>879.25603785410817</v>
      </c>
      <c r="AP5" s="4">
        <f t="shared" si="4"/>
        <v>1057.0886813315963</v>
      </c>
      <c r="AQ5" s="4">
        <f t="shared" si="4"/>
        <v>1181.7119026929165</v>
      </c>
      <c r="AR5" s="4">
        <f t="shared" si="4"/>
        <v>1240.1987052002444</v>
      </c>
      <c r="AS5" s="4">
        <f t="shared" si="4"/>
        <v>1251.0635826538555</v>
      </c>
      <c r="AT5" s="4">
        <f t="shared" si="4"/>
        <v>1239.4871621640145</v>
      </c>
      <c r="AU5" s="4">
        <f t="shared" si="4"/>
        <v>1216.8769238408925</v>
      </c>
      <c r="AV5" s="4">
        <f t="shared" si="4"/>
        <v>1194.5219955604584</v>
      </c>
      <c r="AW5" s="4">
        <f t="shared" si="4"/>
        <v>1176.8231247925432</v>
      </c>
      <c r="AX5" s="4">
        <f t="shared" si="4"/>
        <v>1170.5196506928301</v>
      </c>
      <c r="AY5" s="4">
        <f t="shared" si="4"/>
        <v>1197.3123636928267</v>
      </c>
      <c r="AZ5" s="4">
        <f t="shared" si="4"/>
        <v>1284.9110913436141</v>
      </c>
      <c r="BA5" s="4">
        <f t="shared" si="4"/>
        <v>1372.7340303115136</v>
      </c>
      <c r="BB5" s="4">
        <f t="shared" si="4"/>
        <v>1454.8162975338773</v>
      </c>
      <c r="BC5" s="4">
        <f t="shared" si="4"/>
        <v>1532.2415800194476</v>
      </c>
      <c r="BD5" s="4">
        <f t="shared" si="4"/>
        <v>1605.6140885518355</v>
      </c>
      <c r="BE5" s="4">
        <f t="shared" si="4"/>
        <v>1675.418800963751</v>
      </c>
      <c r="BF5" s="4">
        <f t="shared" si="4"/>
        <v>1674.1847849129131</v>
      </c>
      <c r="BG5" s="4">
        <f t="shared" si="4"/>
        <v>1673.7414487153162</v>
      </c>
      <c r="BH5" s="4">
        <f t="shared" si="4"/>
        <v>1674.1245310350209</v>
      </c>
      <c r="BI5" s="4">
        <f t="shared" si="4"/>
        <v>1675.4834170710728</v>
      </c>
      <c r="BJ5" s="4">
        <f t="shared" si="4"/>
        <v>1679.4046762430971</v>
      </c>
      <c r="BK5" s="4">
        <f t="shared" si="4"/>
        <v>1689.7675311342493</v>
      </c>
      <c r="BL5" s="4">
        <f t="shared" si="4"/>
        <v>1701.3310094355159</v>
      </c>
      <c r="BM5" s="4">
        <f t="shared" si="4"/>
        <v>1712.2974663020068</v>
      </c>
      <c r="BN5" s="4">
        <f t="shared" si="4"/>
        <v>1722.588489689927</v>
      </c>
      <c r="BO5" s="4">
        <f t="shared" si="4"/>
        <v>1732.1620714648641</v>
      </c>
      <c r="BP5" s="4">
        <f t="shared" si="4"/>
        <v>1740.9419575504007</v>
      </c>
      <c r="BQ5" s="4">
        <f t="shared" si="4"/>
        <v>1749.9688355711166</v>
      </c>
      <c r="BR5" s="4">
        <f t="shared" si="4"/>
        <v>1759.2518369486343</v>
      </c>
      <c r="BS5" s="4">
        <f t="shared" si="4"/>
        <v>1768.815739412008</v>
      </c>
      <c r="BT5" s="4">
        <f t="shared" ref="BT5:CD5" si="5">SUM(BT6:BT18)</f>
        <v>1777.188054605482</v>
      </c>
      <c r="BU5" s="4">
        <f t="shared" si="5"/>
        <v>1788.8043282292847</v>
      </c>
      <c r="BV5" s="4">
        <f t="shared" si="5"/>
        <v>1799.0651190613064</v>
      </c>
      <c r="BW5" s="4">
        <f t="shared" si="5"/>
        <v>1809.4890767183958</v>
      </c>
      <c r="BX5" s="4">
        <f t="shared" si="5"/>
        <v>1820.0861012985422</v>
      </c>
      <c r="BY5" s="4">
        <f t="shared" si="5"/>
        <v>1830.8757186603086</v>
      </c>
      <c r="BZ5" s="4">
        <f t="shared" si="5"/>
        <v>1841.8803963226153</v>
      </c>
      <c r="CA5" s="4">
        <f t="shared" si="5"/>
        <v>1853.1258171989643</v>
      </c>
      <c r="CB5" s="4">
        <f t="shared" si="5"/>
        <v>1864.6425555875419</v>
      </c>
      <c r="CC5" s="4">
        <f t="shared" si="5"/>
        <v>1876.4620670791548</v>
      </c>
      <c r="CD5" s="4">
        <f t="shared" si="5"/>
        <v>1888.9715694885415</v>
      </c>
    </row>
    <row r="6" spans="1:82" s="3" customFormat="1" x14ac:dyDescent="0.2">
      <c r="E6" s="3" t="s">
        <v>3</v>
      </c>
    </row>
    <row r="7" spans="1:82" s="3" customFormat="1" x14ac:dyDescent="0.2">
      <c r="E7" s="3" t="s">
        <v>4</v>
      </c>
      <c r="F7" s="3" t="s">
        <v>6</v>
      </c>
      <c r="G7" s="3">
        <f>O254/1000</f>
        <v>0</v>
      </c>
      <c r="H7" s="3">
        <f t="shared" ref="H7:BS8" si="6">P254</f>
        <v>0</v>
      </c>
      <c r="I7" s="3">
        <f t="shared" si="6"/>
        <v>0</v>
      </c>
      <c r="J7" s="3">
        <f t="shared" si="6"/>
        <v>0</v>
      </c>
      <c r="K7" s="3">
        <f t="shared" si="6"/>
        <v>0</v>
      </c>
      <c r="L7" s="3">
        <f t="shared" si="6"/>
        <v>0</v>
      </c>
      <c r="M7" s="3">
        <f t="shared" si="6"/>
        <v>0</v>
      </c>
      <c r="N7" s="3">
        <f t="shared" si="6"/>
        <v>0</v>
      </c>
      <c r="O7" s="3">
        <f t="shared" si="6"/>
        <v>0</v>
      </c>
      <c r="P7" s="3">
        <f t="shared" si="6"/>
        <v>0</v>
      </c>
      <c r="Q7" s="3">
        <f t="shared" si="6"/>
        <v>0.1116</v>
      </c>
      <c r="R7" s="3">
        <f t="shared" si="6"/>
        <v>0.13950000000000001</v>
      </c>
      <c r="S7" s="3">
        <f t="shared" si="6"/>
        <v>0.1953</v>
      </c>
      <c r="T7" s="3">
        <f t="shared" si="6"/>
        <v>0.22320000000000001</v>
      </c>
      <c r="U7" s="3">
        <f t="shared" si="6"/>
        <v>0.16739999999999999</v>
      </c>
      <c r="V7" s="3">
        <f t="shared" si="6"/>
        <v>0.22320000000000001</v>
      </c>
      <c r="W7" s="3">
        <f t="shared" si="6"/>
        <v>0.30690000000000001</v>
      </c>
      <c r="X7" s="3">
        <f t="shared" si="6"/>
        <v>0.25109999999999999</v>
      </c>
      <c r="Y7" s="3">
        <f t="shared" si="6"/>
        <v>8.3699999999999997E-2</v>
      </c>
      <c r="Z7" s="3">
        <f t="shared" si="6"/>
        <v>5.5800000000000002E-2</v>
      </c>
      <c r="AA7" s="3">
        <f t="shared" si="6"/>
        <v>5.5800000000000002E-2</v>
      </c>
      <c r="AB7" s="3">
        <f t="shared" si="6"/>
        <v>5.5800000000000002E-2</v>
      </c>
      <c r="AC7" s="3">
        <f t="shared" si="6"/>
        <v>0.13950000000000001</v>
      </c>
      <c r="AD7" s="3">
        <f t="shared" si="6"/>
        <v>0.25109999999999999</v>
      </c>
      <c r="AE7" s="3">
        <f t="shared" si="6"/>
        <v>8.3699999999999997E-2</v>
      </c>
      <c r="AF7" s="3">
        <f t="shared" si="6"/>
        <v>0.1022902378170501</v>
      </c>
      <c r="AG7" s="3">
        <f t="shared" si="6"/>
        <v>0.15214537854862259</v>
      </c>
      <c r="AH7" s="3">
        <f t="shared" si="6"/>
        <v>0.1985826144809249</v>
      </c>
      <c r="AI7" s="3">
        <f t="shared" si="6"/>
        <v>0.21833879725717381</v>
      </c>
      <c r="AJ7" s="3">
        <f t="shared" si="6"/>
        <v>0.20180341566743229</v>
      </c>
      <c r="AK7" s="3">
        <f t="shared" si="6"/>
        <v>0.25545154881886217</v>
      </c>
      <c r="AL7" s="3">
        <f t="shared" si="6"/>
        <v>0.31483244845377822</v>
      </c>
      <c r="AM7" s="3">
        <f t="shared" si="6"/>
        <v>0.39255447323193687</v>
      </c>
      <c r="AN7" s="3">
        <f t="shared" si="6"/>
        <v>0.62813463123955282</v>
      </c>
      <c r="AO7" s="3">
        <f t="shared" si="6"/>
        <v>0.868651839569197</v>
      </c>
      <c r="AP7" s="3">
        <f t="shared" si="6"/>
        <v>1.098785853720333</v>
      </c>
      <c r="AQ7" s="3">
        <f t="shared" si="6"/>
        <v>1.19265540790637</v>
      </c>
      <c r="AR7" s="3">
        <f t="shared" si="6"/>
        <v>1.263630510975464</v>
      </c>
      <c r="AS7" s="3">
        <f t="shared" si="6"/>
        <v>1.310390545730417</v>
      </c>
      <c r="AT7" s="3">
        <f t="shared" si="6"/>
        <v>1.347601762506925</v>
      </c>
      <c r="AU7" s="3">
        <f t="shared" si="6"/>
        <v>1.377079532151849</v>
      </c>
      <c r="AV7" s="3">
        <f t="shared" si="6"/>
        <v>1.405478817666014</v>
      </c>
      <c r="AW7" s="3">
        <f t="shared" si="6"/>
        <v>1.4351436116227141</v>
      </c>
      <c r="AX7" s="3">
        <f t="shared" si="6"/>
        <v>1.4694308164945309</v>
      </c>
      <c r="AY7" s="3">
        <f t="shared" si="6"/>
        <v>1.5131824246229579</v>
      </c>
      <c r="AZ7" s="3">
        <f t="shared" si="6"/>
        <v>1.567902277329019</v>
      </c>
      <c r="BA7" s="3">
        <f t="shared" si="6"/>
        <v>1.612876557723689</v>
      </c>
      <c r="BB7" s="3">
        <f t="shared" si="6"/>
        <v>1.6603758649337761</v>
      </c>
      <c r="BC7" s="3">
        <f t="shared" si="6"/>
        <v>1.702917827843204</v>
      </c>
      <c r="BD7" s="3">
        <f t="shared" si="6"/>
        <v>1.741125152198751</v>
      </c>
      <c r="BE7" s="3">
        <f t="shared" si="6"/>
        <v>1.7757923076260189</v>
      </c>
      <c r="BF7" s="3">
        <f t="shared" si="6"/>
        <v>1.7919750857544621</v>
      </c>
      <c r="BG7" s="3">
        <f t="shared" si="6"/>
        <v>1.812899274051895</v>
      </c>
      <c r="BH7" s="3">
        <f t="shared" si="6"/>
        <v>1.8392037818726239</v>
      </c>
      <c r="BI7" s="3">
        <f t="shared" si="6"/>
        <v>1.88420764930387</v>
      </c>
      <c r="BJ7" s="3">
        <f t="shared" si="6"/>
        <v>1.9515787943868681</v>
      </c>
      <c r="BK7" s="3">
        <f t="shared" si="6"/>
        <v>1.967047243983874</v>
      </c>
      <c r="BL7" s="3">
        <f t="shared" si="6"/>
        <v>1.9713369760312021</v>
      </c>
      <c r="BM7" s="3">
        <f t="shared" si="6"/>
        <v>1.9722186986397661</v>
      </c>
      <c r="BN7" s="3">
        <f t="shared" si="6"/>
        <v>1.965829861875293</v>
      </c>
      <c r="BO7" s="3">
        <f t="shared" si="6"/>
        <v>1.956197432432508</v>
      </c>
      <c r="BP7" s="3">
        <f t="shared" si="6"/>
        <v>1.9374219649867159</v>
      </c>
      <c r="BQ7" s="3">
        <f t="shared" si="6"/>
        <v>1.9143983472766679</v>
      </c>
      <c r="BR7" s="3">
        <f t="shared" si="6"/>
        <v>1.8860324675090701</v>
      </c>
      <c r="BS7" s="3">
        <f t="shared" si="6"/>
        <v>1.853133391026045</v>
      </c>
      <c r="BT7" s="3">
        <f t="shared" ref="BT7:CD11" si="7">CB254</f>
        <v>1.814713939732876</v>
      </c>
      <c r="BU7" s="3">
        <f t="shared" si="7"/>
        <v>1.7733020804755499</v>
      </c>
      <c r="BV7" s="3">
        <f t="shared" si="7"/>
        <v>1.725635669230319</v>
      </c>
      <c r="BW7" s="3">
        <f t="shared" si="7"/>
        <v>1.672267350322836</v>
      </c>
      <c r="BX7" s="3">
        <f t="shared" si="7"/>
        <v>1.6117299065896851</v>
      </c>
      <c r="BY7" s="3">
        <f t="shared" si="7"/>
        <v>1.543551333493576</v>
      </c>
      <c r="BZ7" s="3">
        <f t="shared" si="7"/>
        <v>1.4672379112760821</v>
      </c>
      <c r="CA7" s="3">
        <f t="shared" si="7"/>
        <v>1.382281412644875</v>
      </c>
      <c r="CB7" s="3">
        <f t="shared" si="7"/>
        <v>1.288174535686657</v>
      </c>
      <c r="CC7" s="3">
        <f t="shared" si="7"/>
        <v>1.184419834254353</v>
      </c>
      <c r="CD7" s="3">
        <f t="shared" si="7"/>
        <v>1.070567911121427</v>
      </c>
    </row>
    <row r="8" spans="1:82" s="3" customFormat="1" x14ac:dyDescent="0.2">
      <c r="E8" s="3" t="s">
        <v>4</v>
      </c>
      <c r="F8" s="3" t="s">
        <v>7</v>
      </c>
      <c r="G8" s="3">
        <f>O255</f>
        <v>0.874</v>
      </c>
      <c r="H8" s="3">
        <f>P255</f>
        <v>0.874</v>
      </c>
      <c r="I8" s="3">
        <f>Q255</f>
        <v>0.95599999999999996</v>
      </c>
      <c r="J8" s="3">
        <f>R255</f>
        <v>0.90300000000000002</v>
      </c>
      <c r="K8" s="3">
        <f>S255</f>
        <v>0.97899999999999998</v>
      </c>
      <c r="L8" s="3">
        <f>T255</f>
        <v>0.98599999999999999</v>
      </c>
      <c r="M8" s="3">
        <f>U255</f>
        <v>1.054</v>
      </c>
      <c r="N8" s="3">
        <f>V255</f>
        <v>1.052</v>
      </c>
      <c r="O8" s="3">
        <f>W255</f>
        <v>1.129</v>
      </c>
      <c r="P8" s="3">
        <f>X255</f>
        <v>1.129</v>
      </c>
      <c r="Q8" s="3">
        <f>Y255</f>
        <v>105.96299999999999</v>
      </c>
      <c r="R8" s="3">
        <f>Z255</f>
        <v>121.288</v>
      </c>
      <c r="S8" s="3">
        <f>AA255</f>
        <v>171.29</v>
      </c>
      <c r="T8" s="3">
        <f>AB255</f>
        <v>199.06399999999999</v>
      </c>
      <c r="U8" s="3">
        <f>AC255</f>
        <v>147.363</v>
      </c>
      <c r="V8" s="3">
        <f>AD255</f>
        <v>207.17599999999999</v>
      </c>
      <c r="W8" s="3">
        <f t="shared" si="6"/>
        <v>277.76400000000001</v>
      </c>
      <c r="X8" s="3">
        <f t="shared" si="6"/>
        <v>235.387</v>
      </c>
      <c r="Y8" s="3">
        <f t="shared" si="6"/>
        <v>84.366</v>
      </c>
      <c r="Z8" s="3">
        <f t="shared" si="6"/>
        <v>42.957000000000001</v>
      </c>
      <c r="AA8" s="3">
        <f t="shared" si="6"/>
        <v>52.786999999999999</v>
      </c>
      <c r="AB8" s="3">
        <f t="shared" si="6"/>
        <v>43.420999999999999</v>
      </c>
      <c r="AC8" s="3">
        <f t="shared" si="6"/>
        <v>122.776</v>
      </c>
      <c r="AD8" s="3">
        <f t="shared" si="6"/>
        <v>223.33699999999999</v>
      </c>
      <c r="AE8" s="3">
        <f t="shared" si="6"/>
        <v>74.471000000000004</v>
      </c>
      <c r="AF8" s="3">
        <f t="shared" si="6"/>
        <v>86.844756360416113</v>
      </c>
      <c r="AG8" s="3">
        <f t="shared" si="6"/>
        <v>102.84550483486881</v>
      </c>
      <c r="AH8" s="3">
        <f t="shared" si="6"/>
        <v>113.79619812860849</v>
      </c>
      <c r="AI8" s="3">
        <f t="shared" si="6"/>
        <v>108.3738988506492</v>
      </c>
      <c r="AJ8" s="3">
        <f t="shared" si="6"/>
        <v>103.1956085815312</v>
      </c>
      <c r="AK8" s="3">
        <f t="shared" si="6"/>
        <v>108.06516560702759</v>
      </c>
      <c r="AL8" s="3">
        <f t="shared" si="6"/>
        <v>113.7649349930148</v>
      </c>
      <c r="AM8" s="3">
        <f t="shared" si="6"/>
        <v>122.71345699148679</v>
      </c>
      <c r="AN8" s="3">
        <f t="shared" si="6"/>
        <v>159.43229149568299</v>
      </c>
      <c r="AO8" s="3">
        <f t="shared" si="6"/>
        <v>190.81165303365569</v>
      </c>
      <c r="AP8" s="3">
        <f t="shared" si="6"/>
        <v>216.05055208224701</v>
      </c>
      <c r="AQ8" s="3">
        <f t="shared" si="6"/>
        <v>225.28934075603451</v>
      </c>
      <c r="AR8" s="3">
        <f t="shared" si="6"/>
        <v>229.7554445652431</v>
      </c>
      <c r="AS8" s="3">
        <f t="shared" si="6"/>
        <v>229.59373889462461</v>
      </c>
      <c r="AT8" s="3">
        <f t="shared" si="6"/>
        <v>227.11545290617931</v>
      </c>
      <c r="AU8" s="3">
        <f t="shared" si="6"/>
        <v>222.70066399243569</v>
      </c>
      <c r="AV8" s="3">
        <f t="shared" si="6"/>
        <v>217.2621359519697</v>
      </c>
      <c r="AW8" s="3">
        <f t="shared" si="6"/>
        <v>211.07292670200459</v>
      </c>
      <c r="AX8" s="3">
        <f t="shared" si="6"/>
        <v>204.4481197649219</v>
      </c>
      <c r="AY8" s="3">
        <f t="shared" si="6"/>
        <v>197.7390546500138</v>
      </c>
      <c r="AZ8" s="3">
        <f t="shared" si="6"/>
        <v>190.84770132289111</v>
      </c>
      <c r="BA8" s="3">
        <f t="shared" si="6"/>
        <v>182.08893735310289</v>
      </c>
      <c r="BB8" s="3">
        <f t="shared" si="6"/>
        <v>172.5747934678659</v>
      </c>
      <c r="BC8" s="3">
        <f t="shared" si="6"/>
        <v>162.0193728595884</v>
      </c>
      <c r="BD8" s="3">
        <f t="shared" si="6"/>
        <v>150.78439639095529</v>
      </c>
      <c r="BE8" s="3">
        <f t="shared" si="6"/>
        <v>139.24249832885459</v>
      </c>
      <c r="BF8" s="3">
        <f t="shared" si="6"/>
        <v>127.3457682748637</v>
      </c>
      <c r="BG8" s="3">
        <f t="shared" si="6"/>
        <v>116.2514328392988</v>
      </c>
      <c r="BH8" s="3">
        <f t="shared" si="6"/>
        <v>106.1065754560798</v>
      </c>
      <c r="BI8" s="3">
        <f t="shared" si="6"/>
        <v>97.113419581409914</v>
      </c>
      <c r="BJ8" s="3">
        <f t="shared" si="6"/>
        <v>89.187044540604802</v>
      </c>
      <c r="BK8" s="3">
        <f t="shared" si="6"/>
        <v>91.274012957917492</v>
      </c>
      <c r="BL8" s="3">
        <f t="shared" si="6"/>
        <v>93.349350293405408</v>
      </c>
      <c r="BM8" s="3">
        <f t="shared" si="6"/>
        <v>95.41212879110509</v>
      </c>
      <c r="BN8" s="3">
        <f t="shared" si="6"/>
        <v>97.459532200301311</v>
      </c>
      <c r="BO8" s="3">
        <f t="shared" si="6"/>
        <v>99.488383252615904</v>
      </c>
      <c r="BP8" s="3">
        <f t="shared" si="6"/>
        <v>101.4964426891901</v>
      </c>
      <c r="BQ8" s="3">
        <f t="shared" si="6"/>
        <v>103.5047113514856</v>
      </c>
      <c r="BR8" s="3">
        <f t="shared" si="6"/>
        <v>105.5148563771635</v>
      </c>
      <c r="BS8" s="3">
        <f t="shared" si="6"/>
        <v>107.5271064484494</v>
      </c>
      <c r="BT8" s="3">
        <f t="shared" si="7"/>
        <v>109.540717360339</v>
      </c>
      <c r="BU8" s="3">
        <f t="shared" si="7"/>
        <v>111.5579900525086</v>
      </c>
      <c r="BV8" s="3">
        <f t="shared" si="7"/>
        <v>113.58040909613641</v>
      </c>
      <c r="BW8" s="3">
        <f t="shared" si="7"/>
        <v>115.6061543475017</v>
      </c>
      <c r="BX8" s="3">
        <f t="shared" si="7"/>
        <v>117.63569352038419</v>
      </c>
      <c r="BY8" s="3">
        <f t="shared" si="7"/>
        <v>119.6684141388084</v>
      </c>
      <c r="BZ8" s="3">
        <f t="shared" si="7"/>
        <v>121.70415584950079</v>
      </c>
      <c r="CA8" s="3">
        <f t="shared" si="7"/>
        <v>123.74337279980369</v>
      </c>
      <c r="CB8" s="3">
        <f t="shared" si="7"/>
        <v>125.7853894284578</v>
      </c>
      <c r="CC8" s="3">
        <f t="shared" si="7"/>
        <v>127.8296799183</v>
      </c>
      <c r="CD8" s="3">
        <f t="shared" si="7"/>
        <v>129.8775729605529</v>
      </c>
    </row>
    <row r="9" spans="1:82" s="3" customFormat="1" x14ac:dyDescent="0.2">
      <c r="E9" s="3" t="s">
        <v>4</v>
      </c>
      <c r="F9" s="3" t="s">
        <v>8</v>
      </c>
      <c r="G9" s="3">
        <f>O256</f>
        <v>0</v>
      </c>
      <c r="H9" s="3">
        <f t="shared" ref="H9:BS12" si="8">P256</f>
        <v>0</v>
      </c>
      <c r="I9" s="3">
        <f t="shared" si="8"/>
        <v>0</v>
      </c>
      <c r="J9" s="3">
        <f t="shared" si="8"/>
        <v>0</v>
      </c>
      <c r="K9" s="3">
        <f t="shared" si="8"/>
        <v>0</v>
      </c>
      <c r="L9" s="3">
        <f t="shared" si="8"/>
        <v>0</v>
      </c>
      <c r="M9" s="3">
        <f t="shared" si="8"/>
        <v>0</v>
      </c>
      <c r="N9" s="3">
        <f t="shared" si="8"/>
        <v>0</v>
      </c>
      <c r="O9" s="3">
        <f t="shared" si="8"/>
        <v>0</v>
      </c>
      <c r="P9" s="3">
        <f t="shared" si="8"/>
        <v>0</v>
      </c>
      <c r="Q9" s="3">
        <f t="shared" si="8"/>
        <v>0.27300000000000002</v>
      </c>
      <c r="R9" s="3">
        <f t="shared" si="8"/>
        <v>0.27300000000000002</v>
      </c>
      <c r="S9" s="3">
        <f t="shared" si="8"/>
        <v>0.27300000000000002</v>
      </c>
      <c r="T9" s="3">
        <f t="shared" si="8"/>
        <v>0.54600000000000004</v>
      </c>
      <c r="U9" s="3">
        <f t="shared" si="8"/>
        <v>0.27300000000000002</v>
      </c>
      <c r="V9" s="3">
        <f t="shared" si="8"/>
        <v>0.54600000000000004</v>
      </c>
      <c r="W9" s="3">
        <f t="shared" si="8"/>
        <v>0.54600000000000004</v>
      </c>
      <c r="X9" s="3">
        <f t="shared" si="8"/>
        <v>0.54600000000000004</v>
      </c>
      <c r="Y9" s="3">
        <f t="shared" si="8"/>
        <v>0.27300000000000002</v>
      </c>
      <c r="Z9" s="3">
        <f t="shared" si="8"/>
        <v>0</v>
      </c>
      <c r="AA9" s="3">
        <f t="shared" si="8"/>
        <v>0</v>
      </c>
      <c r="AB9" s="3">
        <f t="shared" si="8"/>
        <v>0</v>
      </c>
      <c r="AC9" s="3">
        <f t="shared" si="8"/>
        <v>0.27300000000000002</v>
      </c>
      <c r="AD9" s="3">
        <f t="shared" si="8"/>
        <v>0.54600000000000004</v>
      </c>
      <c r="AE9" s="3">
        <f t="shared" si="8"/>
        <v>0.27300000000000002</v>
      </c>
      <c r="AF9" s="3">
        <f t="shared" si="8"/>
        <v>0.32633992139991108</v>
      </c>
      <c r="AG9" s="3">
        <f t="shared" si="8"/>
        <v>0.47431257857559322</v>
      </c>
      <c r="AH9" s="3">
        <f t="shared" si="8"/>
        <v>0.61843240490944973</v>
      </c>
      <c r="AI9" s="3">
        <f t="shared" si="8"/>
        <v>0.6712785040026561</v>
      </c>
      <c r="AJ9" s="3">
        <f t="shared" si="8"/>
        <v>0.61686352255955634</v>
      </c>
      <c r="AK9" s="3">
        <f t="shared" si="8"/>
        <v>0.77723695776255153</v>
      </c>
      <c r="AL9" s="3">
        <f t="shared" si="8"/>
        <v>0.95499717027569997</v>
      </c>
      <c r="AM9" s="3">
        <f t="shared" si="8"/>
        <v>1.1890793832795929</v>
      </c>
      <c r="AN9" s="3">
        <f t="shared" si="8"/>
        <v>1.910256984110706</v>
      </c>
      <c r="AO9" s="3">
        <f t="shared" si="8"/>
        <v>2.6417886798050838</v>
      </c>
      <c r="AP9" s="3">
        <f t="shared" si="8"/>
        <v>3.3378790274854468</v>
      </c>
      <c r="AQ9" s="3">
        <f t="shared" si="8"/>
        <v>3.6193498075428749</v>
      </c>
      <c r="AR9" s="3">
        <f t="shared" si="8"/>
        <v>3.8294412698312672</v>
      </c>
      <c r="AS9" s="3">
        <f t="shared" si="8"/>
        <v>3.9643543517216981</v>
      </c>
      <c r="AT9" s="3">
        <f t="shared" si="8"/>
        <v>4.0691614126352853</v>
      </c>
      <c r="AU9" s="3">
        <f t="shared" si="8"/>
        <v>4.14950670531565</v>
      </c>
      <c r="AV9" s="3">
        <f t="shared" si="8"/>
        <v>4.2257369280260706</v>
      </c>
      <c r="AW9" s="3">
        <f t="shared" si="8"/>
        <v>4.3049780213131408</v>
      </c>
      <c r="AX9" s="3">
        <f t="shared" si="8"/>
        <v>4.3973807047638616</v>
      </c>
      <c r="AY9" s="3">
        <f t="shared" si="8"/>
        <v>4.5175117495389996</v>
      </c>
      <c r="AZ9" s="3">
        <f t="shared" si="8"/>
        <v>4.6698943390938892</v>
      </c>
      <c r="BA9" s="3">
        <f t="shared" si="8"/>
        <v>4.7920722809429606</v>
      </c>
      <c r="BB9" s="3">
        <f t="shared" si="8"/>
        <v>4.9212609409310764</v>
      </c>
      <c r="BC9" s="3">
        <f t="shared" si="8"/>
        <v>5.0350854615564362</v>
      </c>
      <c r="BD9" s="3">
        <f t="shared" si="8"/>
        <v>5.135687502382269</v>
      </c>
      <c r="BE9" s="3">
        <f t="shared" si="8"/>
        <v>5.2257259512946241</v>
      </c>
      <c r="BF9" s="3">
        <f t="shared" si="8"/>
        <v>5.2610296101120584</v>
      </c>
      <c r="BG9" s="3">
        <f t="shared" si="8"/>
        <v>5.3109622390470141</v>
      </c>
      <c r="BH9" s="3">
        <f t="shared" si="8"/>
        <v>5.3775290654258283</v>
      </c>
      <c r="BI9" s="3">
        <f t="shared" si="8"/>
        <v>5.5002592172963292</v>
      </c>
      <c r="BJ9" s="3">
        <f t="shared" si="8"/>
        <v>5.689937456139706</v>
      </c>
      <c r="BK9" s="3">
        <f t="shared" si="8"/>
        <v>5.7337409244156934</v>
      </c>
      <c r="BL9" s="3">
        <f t="shared" si="8"/>
        <v>5.7445447659181053</v>
      </c>
      <c r="BM9" s="3">
        <f t="shared" si="8"/>
        <v>5.745321738017342</v>
      </c>
      <c r="BN9" s="3">
        <f t="shared" si="8"/>
        <v>5.7246638990435121</v>
      </c>
      <c r="BO9" s="3">
        <f t="shared" si="8"/>
        <v>5.6944811514541582</v>
      </c>
      <c r="BP9" s="3">
        <f t="shared" si="8"/>
        <v>5.6373413448921186</v>
      </c>
      <c r="BQ9" s="3">
        <f t="shared" si="8"/>
        <v>5.5676250712112454</v>
      </c>
      <c r="BR9" s="3">
        <f t="shared" si="8"/>
        <v>5.4820983122609306</v>
      </c>
      <c r="BS9" s="3">
        <f t="shared" si="8"/>
        <v>5.3831543640647954</v>
      </c>
      <c r="BT9" s="3">
        <f t="shared" si="7"/>
        <v>5.2678778422660759</v>
      </c>
      <c r="BU9" s="3">
        <f t="shared" si="7"/>
        <v>5.1437358962069197</v>
      </c>
      <c r="BV9" s="3">
        <f t="shared" si="7"/>
        <v>5.0010853548898027</v>
      </c>
      <c r="BW9" s="3">
        <f t="shared" si="7"/>
        <v>4.8415647268613586</v>
      </c>
      <c r="BX9" s="3">
        <f t="shared" si="7"/>
        <v>4.6608355109484334</v>
      </c>
      <c r="BY9" s="3">
        <f t="shared" si="7"/>
        <v>4.4575035237035729</v>
      </c>
      <c r="BZ9" s="3">
        <f t="shared" si="7"/>
        <v>4.2301090184308414</v>
      </c>
      <c r="CA9" s="3">
        <f t="shared" si="7"/>
        <v>3.9771482492881272</v>
      </c>
      <c r="CB9" s="3">
        <f t="shared" si="7"/>
        <v>3.6971229389734162</v>
      </c>
      <c r="CC9" s="3">
        <f t="shared" si="7"/>
        <v>3.388562961443228</v>
      </c>
      <c r="CD9" s="3">
        <f t="shared" si="7"/>
        <v>3.0501365295364069</v>
      </c>
    </row>
    <row r="10" spans="1:82" s="3" customFormat="1" x14ac:dyDescent="0.2">
      <c r="E10" s="3" t="s">
        <v>9</v>
      </c>
      <c r="F10" s="3" t="s">
        <v>6</v>
      </c>
      <c r="G10" s="3">
        <f>O257</f>
        <v>0</v>
      </c>
      <c r="H10" s="3">
        <f t="shared" si="8"/>
        <v>0</v>
      </c>
      <c r="I10" s="3">
        <f t="shared" si="8"/>
        <v>0</v>
      </c>
      <c r="J10" s="3">
        <f t="shared" si="8"/>
        <v>0</v>
      </c>
      <c r="K10" s="3">
        <f t="shared" si="8"/>
        <v>0</v>
      </c>
      <c r="L10" s="3">
        <f t="shared" si="8"/>
        <v>0</v>
      </c>
      <c r="M10" s="3">
        <f t="shared" si="8"/>
        <v>0</v>
      </c>
      <c r="N10" s="3">
        <f t="shared" si="8"/>
        <v>0</v>
      </c>
      <c r="O10" s="3">
        <f t="shared" si="8"/>
        <v>0</v>
      </c>
      <c r="P10" s="3">
        <f t="shared" si="8"/>
        <v>0</v>
      </c>
      <c r="Q10" s="3">
        <f t="shared" si="8"/>
        <v>0</v>
      </c>
      <c r="R10" s="3">
        <f t="shared" si="8"/>
        <v>0</v>
      </c>
      <c r="S10" s="3">
        <f t="shared" si="8"/>
        <v>0</v>
      </c>
      <c r="T10" s="3">
        <f t="shared" si="8"/>
        <v>0</v>
      </c>
      <c r="U10" s="3">
        <f t="shared" si="8"/>
        <v>0</v>
      </c>
      <c r="V10" s="3">
        <f t="shared" si="8"/>
        <v>0</v>
      </c>
      <c r="W10" s="3">
        <f t="shared" si="8"/>
        <v>0</v>
      </c>
      <c r="X10" s="3">
        <f t="shared" si="8"/>
        <v>0</v>
      </c>
      <c r="Y10" s="3">
        <f t="shared" si="8"/>
        <v>0</v>
      </c>
      <c r="Z10" s="3">
        <f t="shared" si="8"/>
        <v>0</v>
      </c>
      <c r="AA10" s="3">
        <f t="shared" si="8"/>
        <v>0</v>
      </c>
      <c r="AB10" s="3">
        <f t="shared" si="8"/>
        <v>0</v>
      </c>
      <c r="AC10" s="3">
        <f t="shared" si="8"/>
        <v>0</v>
      </c>
      <c r="AD10" s="3">
        <f t="shared" si="8"/>
        <v>0</v>
      </c>
      <c r="AE10" s="3">
        <f t="shared" si="8"/>
        <v>0</v>
      </c>
      <c r="AF10" s="3">
        <f t="shared" si="8"/>
        <v>0</v>
      </c>
      <c r="AG10" s="3">
        <f t="shared" si="8"/>
        <v>0</v>
      </c>
      <c r="AH10" s="3">
        <f t="shared" si="8"/>
        <v>0</v>
      </c>
      <c r="AI10" s="3">
        <f t="shared" si="8"/>
        <v>0</v>
      </c>
      <c r="AJ10" s="3">
        <f t="shared" si="8"/>
        <v>0</v>
      </c>
      <c r="AK10" s="3">
        <f t="shared" si="8"/>
        <v>0</v>
      </c>
      <c r="AL10" s="3">
        <f t="shared" si="8"/>
        <v>0</v>
      </c>
      <c r="AM10" s="3">
        <f t="shared" si="8"/>
        <v>1.92487349314935E-2</v>
      </c>
      <c r="AN10" s="3">
        <f t="shared" si="8"/>
        <v>4.1292444866770597E-2</v>
      </c>
      <c r="AO10" s="3">
        <f t="shared" si="8"/>
        <v>6.6535906873790199E-2</v>
      </c>
      <c r="AP10" s="3">
        <f t="shared" si="8"/>
        <v>9.48986885526866E-2</v>
      </c>
      <c r="AQ10" s="3">
        <f t="shared" si="8"/>
        <v>9.9856845755262311E-2</v>
      </c>
      <c r="AR10" s="3">
        <f t="shared" si="8"/>
        <v>0.10474088479889999</v>
      </c>
      <c r="AS10" s="3">
        <f t="shared" si="8"/>
        <v>0.10953109113539999</v>
      </c>
      <c r="AT10" s="3">
        <f t="shared" si="8"/>
        <v>0.1142471931964</v>
      </c>
      <c r="AU10" s="3">
        <f t="shared" si="8"/>
        <v>0.1189472864689</v>
      </c>
      <c r="AV10" s="3">
        <f t="shared" si="8"/>
        <v>0.1237387374912</v>
      </c>
      <c r="AW10" s="3">
        <f t="shared" si="8"/>
        <v>0.12875364098850001</v>
      </c>
      <c r="AX10" s="3">
        <f t="shared" si="8"/>
        <v>0.1341220560743</v>
      </c>
      <c r="AY10" s="3">
        <f t="shared" si="8"/>
        <v>0.13995496593039999</v>
      </c>
      <c r="AZ10" s="3">
        <f t="shared" si="8"/>
        <v>0.14558408023309999</v>
      </c>
      <c r="BA10" s="3">
        <f t="shared" si="8"/>
        <v>0.15319152112109999</v>
      </c>
      <c r="BB10" s="3">
        <f t="shared" si="8"/>
        <v>0.16056351562339999</v>
      </c>
      <c r="BC10" s="3">
        <f t="shared" si="8"/>
        <v>0.1675258258175</v>
      </c>
      <c r="BD10" s="3">
        <f t="shared" si="8"/>
        <v>0.17393660581100001</v>
      </c>
      <c r="BE10" s="3">
        <f t="shared" si="8"/>
        <v>0.1796520229644</v>
      </c>
      <c r="BF10" s="3">
        <f t="shared" si="8"/>
        <v>0.18458504951990001</v>
      </c>
      <c r="BG10" s="3">
        <f t="shared" si="8"/>
        <v>0.18933475780510001</v>
      </c>
      <c r="BH10" s="3">
        <f t="shared" si="8"/>
        <v>0.19386219506989999</v>
      </c>
      <c r="BI10" s="3">
        <f t="shared" si="8"/>
        <v>0.19812882415909999</v>
      </c>
      <c r="BJ10" s="3">
        <f t="shared" si="8"/>
        <v>0.20209560830420001</v>
      </c>
      <c r="BK10" s="3">
        <f t="shared" si="8"/>
        <v>0.20624776825419999</v>
      </c>
      <c r="BL10" s="3">
        <f t="shared" si="8"/>
        <v>0.21004499545239999</v>
      </c>
      <c r="BM10" s="3">
        <f t="shared" si="8"/>
        <v>0.2134527616571</v>
      </c>
      <c r="BN10" s="3">
        <f t="shared" si="8"/>
        <v>0.21644540693059999</v>
      </c>
      <c r="BO10" s="3">
        <f t="shared" si="8"/>
        <v>0.21900099781320001</v>
      </c>
      <c r="BP10" s="3">
        <f t="shared" si="8"/>
        <v>0.22109985780950001</v>
      </c>
      <c r="BQ10" s="3">
        <f t="shared" si="8"/>
        <v>0.22318357250010001</v>
      </c>
      <c r="BR10" s="3">
        <f t="shared" si="8"/>
        <v>0.22525287881559999</v>
      </c>
      <c r="BS10" s="3">
        <f t="shared" si="8"/>
        <v>0.2273109046007</v>
      </c>
      <c r="BT10" s="3">
        <f t="shared" si="7"/>
        <v>0.22936062817069999</v>
      </c>
      <c r="BU10" s="3">
        <f t="shared" si="7"/>
        <v>0.23140744048129999</v>
      </c>
      <c r="BV10" s="3">
        <f t="shared" si="7"/>
        <v>0.2334520662714</v>
      </c>
      <c r="BW10" s="3">
        <f t="shared" si="7"/>
        <v>0.23550824874330001</v>
      </c>
      <c r="BX10" s="3">
        <f t="shared" si="7"/>
        <v>0.23758662954400001</v>
      </c>
      <c r="BY10" s="3">
        <f t="shared" si="7"/>
        <v>0.23970335088360001</v>
      </c>
      <c r="BZ10" s="3">
        <f t="shared" si="7"/>
        <v>0.24187737398270001</v>
      </c>
      <c r="CA10" s="3">
        <f t="shared" si="7"/>
        <v>0.2441305124698</v>
      </c>
      <c r="CB10" s="3">
        <f t="shared" si="7"/>
        <v>0.24648936137380001</v>
      </c>
      <c r="CC10" s="3">
        <f t="shared" si="7"/>
        <v>0.24898118481039999</v>
      </c>
      <c r="CD10" s="3">
        <f t="shared" si="7"/>
        <v>0.25162813874029999</v>
      </c>
    </row>
    <row r="11" spans="1:82" s="3" customFormat="1" x14ac:dyDescent="0.2">
      <c r="E11" s="3" t="s">
        <v>9</v>
      </c>
      <c r="F11" s="3" t="s">
        <v>7</v>
      </c>
      <c r="G11" s="3">
        <f>O258</f>
        <v>0</v>
      </c>
      <c r="H11" s="3">
        <f t="shared" si="8"/>
        <v>0</v>
      </c>
      <c r="I11" s="3">
        <f t="shared" si="8"/>
        <v>0</v>
      </c>
      <c r="J11" s="3">
        <f t="shared" si="8"/>
        <v>0</v>
      </c>
      <c r="K11" s="3">
        <f t="shared" si="8"/>
        <v>0</v>
      </c>
      <c r="L11" s="3">
        <f t="shared" si="8"/>
        <v>0</v>
      </c>
      <c r="M11" s="3">
        <f t="shared" si="8"/>
        <v>0</v>
      </c>
      <c r="N11" s="3">
        <f t="shared" si="8"/>
        <v>0</v>
      </c>
      <c r="O11" s="3">
        <f t="shared" si="8"/>
        <v>0</v>
      </c>
      <c r="P11" s="3">
        <f t="shared" si="8"/>
        <v>0</v>
      </c>
      <c r="Q11" s="3">
        <f t="shared" si="8"/>
        <v>0</v>
      </c>
      <c r="R11" s="3">
        <f t="shared" si="8"/>
        <v>0</v>
      </c>
      <c r="S11" s="3">
        <f t="shared" si="8"/>
        <v>0</v>
      </c>
      <c r="T11" s="3">
        <f t="shared" si="8"/>
        <v>0</v>
      </c>
      <c r="U11" s="3">
        <f t="shared" si="8"/>
        <v>0</v>
      </c>
      <c r="V11" s="3">
        <f t="shared" si="8"/>
        <v>0</v>
      </c>
      <c r="W11" s="3">
        <f t="shared" si="8"/>
        <v>0</v>
      </c>
      <c r="X11" s="3">
        <f t="shared" si="8"/>
        <v>0</v>
      </c>
      <c r="Y11" s="3">
        <f t="shared" si="8"/>
        <v>0</v>
      </c>
      <c r="Z11" s="3">
        <f t="shared" si="8"/>
        <v>0</v>
      </c>
      <c r="AA11" s="3">
        <f t="shared" si="8"/>
        <v>0</v>
      </c>
      <c r="AB11" s="3">
        <f t="shared" si="8"/>
        <v>0</v>
      </c>
      <c r="AC11" s="3">
        <f t="shared" si="8"/>
        <v>0</v>
      </c>
      <c r="AD11" s="3">
        <f t="shared" si="8"/>
        <v>0</v>
      </c>
      <c r="AE11" s="3">
        <f t="shared" si="8"/>
        <v>0</v>
      </c>
      <c r="AF11" s="3">
        <f t="shared" si="8"/>
        <v>0</v>
      </c>
      <c r="AG11" s="3">
        <f t="shared" si="8"/>
        <v>0</v>
      </c>
      <c r="AH11" s="3">
        <f t="shared" si="8"/>
        <v>0</v>
      </c>
      <c r="AI11" s="3">
        <f t="shared" si="8"/>
        <v>0</v>
      </c>
      <c r="AJ11" s="3">
        <f t="shared" si="8"/>
        <v>0</v>
      </c>
      <c r="AK11" s="3">
        <f t="shared" si="8"/>
        <v>0</v>
      </c>
      <c r="AL11" s="3">
        <f t="shared" si="8"/>
        <v>0</v>
      </c>
      <c r="AM11" s="3">
        <f t="shared" si="8"/>
        <v>16.856988277452</v>
      </c>
      <c r="AN11" s="3">
        <f t="shared" si="8"/>
        <v>36.161662651794899</v>
      </c>
      <c r="AO11" s="3">
        <f t="shared" si="8"/>
        <v>58.268504719551501</v>
      </c>
      <c r="AP11" s="3">
        <f t="shared" si="8"/>
        <v>83.107076188206108</v>
      </c>
      <c r="AQ11" s="3">
        <f t="shared" si="8"/>
        <v>87.449158830989902</v>
      </c>
      <c r="AR11" s="3">
        <f t="shared" si="8"/>
        <v>91.726332847839302</v>
      </c>
      <c r="AS11" s="3">
        <f t="shared" si="8"/>
        <v>95.921333316569104</v>
      </c>
      <c r="AT11" s="3">
        <f t="shared" si="8"/>
        <v>100.051437317777</v>
      </c>
      <c r="AU11" s="3">
        <f t="shared" si="8"/>
        <v>104.16752169837601</v>
      </c>
      <c r="AV11" s="3">
        <f t="shared" si="8"/>
        <v>108.363612194816</v>
      </c>
      <c r="AW11" s="3">
        <f t="shared" si="8"/>
        <v>112.7553901359</v>
      </c>
      <c r="AX11" s="3">
        <f t="shared" si="8"/>
        <v>117.456754173148</v>
      </c>
      <c r="AY11" s="3">
        <f t="shared" si="8"/>
        <v>122.56489730144099</v>
      </c>
      <c r="AZ11" s="3">
        <f t="shared" si="8"/>
        <v>127.494567440818</v>
      </c>
      <c r="BA11" s="3">
        <f t="shared" si="8"/>
        <v>134.156747699774</v>
      </c>
      <c r="BB11" s="3">
        <f t="shared" si="8"/>
        <v>140.61273690369401</v>
      </c>
      <c r="BC11" s="3">
        <f t="shared" si="8"/>
        <v>146.70994701868401</v>
      </c>
      <c r="BD11" s="3">
        <f t="shared" si="8"/>
        <v>152.324157177671</v>
      </c>
      <c r="BE11" s="3">
        <f t="shared" si="8"/>
        <v>157.329406629039</v>
      </c>
      <c r="BF11" s="3">
        <f t="shared" si="8"/>
        <v>161.64948122693499</v>
      </c>
      <c r="BG11" s="3">
        <f t="shared" si="8"/>
        <v>165.809015719483</v>
      </c>
      <c r="BH11" s="3">
        <f t="shared" si="8"/>
        <v>169.773897420569</v>
      </c>
      <c r="BI11" s="3">
        <f t="shared" si="8"/>
        <v>173.51037759951899</v>
      </c>
      <c r="BJ11" s="3">
        <f t="shared" si="8"/>
        <v>176.98426999144601</v>
      </c>
      <c r="BK11" s="3">
        <f t="shared" si="8"/>
        <v>180.62050436493399</v>
      </c>
      <c r="BL11" s="3">
        <f t="shared" si="8"/>
        <v>183.94590806518701</v>
      </c>
      <c r="BM11" s="3">
        <f t="shared" si="8"/>
        <v>186.93024314850001</v>
      </c>
      <c r="BN11" s="3">
        <f t="shared" si="8"/>
        <v>189.55103804611301</v>
      </c>
      <c r="BO11" s="3">
        <f t="shared" si="8"/>
        <v>191.78908463479601</v>
      </c>
      <c r="BP11" s="3">
        <f t="shared" si="8"/>
        <v>193.62715131705701</v>
      </c>
      <c r="BQ11" s="3">
        <f t="shared" si="8"/>
        <v>195.45195456975901</v>
      </c>
      <c r="BR11" s="3">
        <f t="shared" si="8"/>
        <v>197.264139756275</v>
      </c>
      <c r="BS11" s="3">
        <f t="shared" si="8"/>
        <v>199.06644607190199</v>
      </c>
      <c r="BT11" s="3">
        <f t="shared" si="7"/>
        <v>200.86148176194999</v>
      </c>
      <c r="BU11" s="3">
        <f t="shared" si="7"/>
        <v>202.65396793047799</v>
      </c>
      <c r="BV11" s="3">
        <f t="shared" si="7"/>
        <v>204.44453926401201</v>
      </c>
      <c r="BW11" s="3">
        <f t="shared" si="7"/>
        <v>206.245231306862</v>
      </c>
      <c r="BX11" s="3">
        <f t="shared" si="7"/>
        <v>208.06536343078801</v>
      </c>
      <c r="BY11" s="3">
        <f t="shared" si="7"/>
        <v>209.919072099701</v>
      </c>
      <c r="BZ11" s="3">
        <f t="shared" si="7"/>
        <v>211.822962512597</v>
      </c>
      <c r="CA11" s="3">
        <f t="shared" si="7"/>
        <v>213.79613785112099</v>
      </c>
      <c r="CB11" s="3">
        <f t="shared" si="7"/>
        <v>215.861888585619</v>
      </c>
      <c r="CC11" s="3">
        <f t="shared" si="7"/>
        <v>218.04409113605999</v>
      </c>
      <c r="CD11" s="3">
        <f t="shared" si="7"/>
        <v>220.36214847984999</v>
      </c>
    </row>
    <row r="12" spans="1:82" s="3" customFormat="1" x14ac:dyDescent="0.2">
      <c r="E12" s="3" t="s">
        <v>9</v>
      </c>
      <c r="F12" s="3" t="s">
        <v>8</v>
      </c>
      <c r="G12" s="3">
        <f>O259</f>
        <v>0</v>
      </c>
      <c r="H12" s="3">
        <f t="shared" si="8"/>
        <v>0</v>
      </c>
      <c r="I12" s="3">
        <f t="shared" si="8"/>
        <v>0</v>
      </c>
      <c r="J12" s="3">
        <f t="shared" si="8"/>
        <v>0</v>
      </c>
      <c r="K12" s="3">
        <f t="shared" si="8"/>
        <v>0</v>
      </c>
      <c r="L12" s="3">
        <f t="shared" si="8"/>
        <v>0</v>
      </c>
      <c r="M12" s="3">
        <f t="shared" si="8"/>
        <v>0</v>
      </c>
      <c r="N12" s="3">
        <f t="shared" si="8"/>
        <v>0</v>
      </c>
      <c r="O12" s="3">
        <f t="shared" si="8"/>
        <v>0</v>
      </c>
      <c r="P12" s="3">
        <f t="shared" si="8"/>
        <v>0</v>
      </c>
      <c r="Q12" s="3">
        <f t="shared" si="8"/>
        <v>0</v>
      </c>
      <c r="R12" s="3">
        <f t="shared" si="8"/>
        <v>0</v>
      </c>
      <c r="S12" s="3">
        <f t="shared" si="8"/>
        <v>0</v>
      </c>
      <c r="T12" s="3">
        <f t="shared" si="8"/>
        <v>0</v>
      </c>
      <c r="U12" s="3">
        <f t="shared" si="8"/>
        <v>0</v>
      </c>
      <c r="V12" s="3">
        <f t="shared" si="8"/>
        <v>0</v>
      </c>
      <c r="W12" s="3">
        <f t="shared" si="8"/>
        <v>0</v>
      </c>
      <c r="X12" s="3">
        <f t="shared" si="8"/>
        <v>0</v>
      </c>
      <c r="Y12" s="3">
        <f t="shared" si="8"/>
        <v>0</v>
      </c>
      <c r="Z12" s="3">
        <f t="shared" si="8"/>
        <v>0</v>
      </c>
      <c r="AA12" s="3">
        <f t="shared" si="8"/>
        <v>0</v>
      </c>
      <c r="AB12" s="3">
        <f t="shared" si="8"/>
        <v>0</v>
      </c>
      <c r="AC12" s="3">
        <f t="shared" si="8"/>
        <v>0</v>
      </c>
      <c r="AD12" s="3">
        <f t="shared" si="8"/>
        <v>0</v>
      </c>
      <c r="AE12" s="3">
        <f t="shared" si="8"/>
        <v>0</v>
      </c>
      <c r="AF12" s="3">
        <f t="shared" si="8"/>
        <v>0</v>
      </c>
      <c r="AG12" s="3">
        <f t="shared" si="8"/>
        <v>0</v>
      </c>
      <c r="AH12" s="3">
        <f t="shared" si="8"/>
        <v>0</v>
      </c>
      <c r="AI12" s="3">
        <f t="shared" si="8"/>
        <v>0</v>
      </c>
      <c r="AJ12" s="3">
        <f t="shared" si="8"/>
        <v>0</v>
      </c>
      <c r="AK12" s="3">
        <f t="shared" si="8"/>
        <v>0</v>
      </c>
      <c r="AL12" s="3">
        <f t="shared" si="8"/>
        <v>0</v>
      </c>
      <c r="AM12" s="3">
        <f t="shared" si="8"/>
        <v>3.7688339255032198E-2</v>
      </c>
      <c r="AN12" s="3">
        <f t="shared" si="8"/>
        <v>8.0849140286219201E-2</v>
      </c>
      <c r="AO12" s="3">
        <f t="shared" si="8"/>
        <v>0.1302749422144</v>
      </c>
      <c r="AP12" s="3">
        <f t="shared" si="8"/>
        <v>0.1858082612577</v>
      </c>
      <c r="AQ12" s="3">
        <f t="shared" si="8"/>
        <v>0.19551615693989999</v>
      </c>
      <c r="AR12" s="3">
        <f t="shared" si="8"/>
        <v>0.20507893189990001</v>
      </c>
      <c r="AS12" s="3">
        <f t="shared" si="8"/>
        <v>0.21445798575210001</v>
      </c>
      <c r="AT12" s="3">
        <f t="shared" si="8"/>
        <v>0.22369194606539999</v>
      </c>
      <c r="AU12" s="3">
        <f t="shared" si="8"/>
        <v>0.23289456173940001</v>
      </c>
      <c r="AV12" s="3">
        <f t="shared" si="8"/>
        <v>0.24227605264230001</v>
      </c>
      <c r="AW12" s="3">
        <f t="shared" si="8"/>
        <v>0.25209505555380002</v>
      </c>
      <c r="AX12" s="3">
        <f t="shared" si="8"/>
        <v>0.2626062215985</v>
      </c>
      <c r="AY12" s="3">
        <f t="shared" si="8"/>
        <v>0.27402685190409998</v>
      </c>
      <c r="AZ12" s="3">
        <f t="shared" si="8"/>
        <v>0.28504845775499998</v>
      </c>
      <c r="BA12" s="3">
        <f t="shared" si="8"/>
        <v>0.2999435567873</v>
      </c>
      <c r="BB12" s="3">
        <f t="shared" si="8"/>
        <v>0.31437766015969998</v>
      </c>
      <c r="BC12" s="3">
        <f t="shared" si="8"/>
        <v>0.32800961620899999</v>
      </c>
      <c r="BD12" s="3">
        <f t="shared" si="8"/>
        <v>0.34056169571680001</v>
      </c>
      <c r="BE12" s="3">
        <f t="shared" si="8"/>
        <v>0.35175227948389998</v>
      </c>
      <c r="BF12" s="3">
        <f t="shared" si="8"/>
        <v>0.36141097025199997</v>
      </c>
      <c r="BG12" s="3">
        <f t="shared" si="8"/>
        <v>0.37071073035840002</v>
      </c>
      <c r="BH12" s="3">
        <f t="shared" si="8"/>
        <v>0.3795752917022</v>
      </c>
      <c r="BI12" s="3">
        <f t="shared" si="8"/>
        <v>0.38792919990250002</v>
      </c>
      <c r="BJ12" s="3">
        <f t="shared" si="8"/>
        <v>0.39569602235309997</v>
      </c>
      <c r="BK12" s="3">
        <f t="shared" si="8"/>
        <v>0.40382580404500001</v>
      </c>
      <c r="BL12" s="3">
        <f t="shared" si="8"/>
        <v>0.41126064001649998</v>
      </c>
      <c r="BM12" s="3">
        <f t="shared" si="8"/>
        <v>0.41793292519690001</v>
      </c>
      <c r="BN12" s="3">
        <f t="shared" si="8"/>
        <v>0.42379241833969999</v>
      </c>
      <c r="BO12" s="3">
        <f t="shared" si="8"/>
        <v>0.42879617450980001</v>
      </c>
      <c r="BP12" s="3">
        <f t="shared" si="8"/>
        <v>0.4329056678282</v>
      </c>
      <c r="BQ12" s="3">
        <f t="shared" si="8"/>
        <v>0.43698550717610002</v>
      </c>
      <c r="BR12" s="3">
        <f t="shared" si="8"/>
        <v>0.44103713543720002</v>
      </c>
      <c r="BS12" s="3">
        <f t="shared" ref="BS12:CD15" si="9">CA259</f>
        <v>0.4450666768207</v>
      </c>
      <c r="BT12" s="3">
        <f t="shared" si="9"/>
        <v>0.44907996276169998</v>
      </c>
      <c r="BU12" s="3">
        <f t="shared" si="9"/>
        <v>0.45308754856040001</v>
      </c>
      <c r="BV12" s="3">
        <f t="shared" si="9"/>
        <v>0.45709085322949999</v>
      </c>
      <c r="BW12" s="3">
        <f t="shared" si="9"/>
        <v>0.4611167854712</v>
      </c>
      <c r="BX12" s="3">
        <f t="shared" si="9"/>
        <v>0.46518618125220002</v>
      </c>
      <c r="BY12" s="3">
        <f t="shared" si="9"/>
        <v>0.46933064644630001</v>
      </c>
      <c r="BZ12" s="3">
        <f t="shared" si="9"/>
        <v>0.4735873064501</v>
      </c>
      <c r="CA12" s="3">
        <f t="shared" si="9"/>
        <v>0.47799887157339999</v>
      </c>
      <c r="CB12" s="3">
        <f t="shared" si="9"/>
        <v>0.48261741393789998</v>
      </c>
      <c r="CC12" s="3">
        <f t="shared" si="9"/>
        <v>0.48749631571390001</v>
      </c>
      <c r="CD12" s="3">
        <f t="shared" si="9"/>
        <v>0.49267895748520002</v>
      </c>
    </row>
    <row r="13" spans="1:82" s="3" customFormat="1" x14ac:dyDescent="0.2">
      <c r="E13" s="3" t="s">
        <v>12</v>
      </c>
      <c r="F13" s="3" t="s">
        <v>6</v>
      </c>
      <c r="G13" s="3">
        <f>O260</f>
        <v>54.823500000000003</v>
      </c>
      <c r="H13" s="3">
        <f t="shared" ref="H13:BS16" si="10">P260</f>
        <v>54.823500000000003</v>
      </c>
      <c r="I13" s="3">
        <f t="shared" si="10"/>
        <v>59.817599999999999</v>
      </c>
      <c r="J13" s="3">
        <f t="shared" si="10"/>
        <v>62.496000000000002</v>
      </c>
      <c r="K13" s="3">
        <f t="shared" si="10"/>
        <v>77.617800000000003</v>
      </c>
      <c r="L13" s="3">
        <f t="shared" si="10"/>
        <v>77.896799999999985</v>
      </c>
      <c r="M13" s="3">
        <f t="shared" si="10"/>
        <v>89.447399999999988</v>
      </c>
      <c r="N13" s="3">
        <f t="shared" si="10"/>
        <v>105.82470000000001</v>
      </c>
      <c r="O13" s="3">
        <f t="shared" si="10"/>
        <v>114.13890000000001</v>
      </c>
      <c r="P13" s="3">
        <f t="shared" si="10"/>
        <v>122.45310000000001</v>
      </c>
      <c r="Q13" s="3">
        <f t="shared" si="10"/>
        <v>128.70269999999999</v>
      </c>
      <c r="R13" s="3">
        <f t="shared" si="10"/>
        <v>128.98169999999999</v>
      </c>
      <c r="S13" s="3">
        <f t="shared" si="10"/>
        <v>141.2577</v>
      </c>
      <c r="T13" s="3">
        <f t="shared" si="10"/>
        <v>147.8142</v>
      </c>
      <c r="U13" s="3">
        <f t="shared" si="10"/>
        <v>154.28700000000001</v>
      </c>
      <c r="V13" s="3">
        <f t="shared" si="10"/>
        <v>160.62029999999999</v>
      </c>
      <c r="W13" s="3">
        <f t="shared" si="10"/>
        <v>160.62029999999999</v>
      </c>
      <c r="X13" s="3">
        <f t="shared" si="10"/>
        <v>160.62029999999999</v>
      </c>
      <c r="Y13" s="3">
        <f t="shared" si="10"/>
        <v>199.90350000000001</v>
      </c>
      <c r="Z13" s="3">
        <f t="shared" si="10"/>
        <v>125.2431</v>
      </c>
      <c r="AA13" s="3">
        <f t="shared" si="10"/>
        <v>461.80079999999998</v>
      </c>
      <c r="AB13" s="3">
        <f t="shared" si="10"/>
        <v>309.35520000000002</v>
      </c>
      <c r="AC13" s="3">
        <f t="shared" si="10"/>
        <v>309.35520000000002</v>
      </c>
      <c r="AD13" s="3">
        <f t="shared" si="10"/>
        <v>1030.4865</v>
      </c>
      <c r="AE13" s="3">
        <f t="shared" si="10"/>
        <v>1288.1987999999999</v>
      </c>
      <c r="AF13" s="3">
        <f t="shared" si="10"/>
        <v>0</v>
      </c>
      <c r="AG13" s="3">
        <f t="shared" si="10"/>
        <v>0</v>
      </c>
      <c r="AH13" s="3">
        <f t="shared" si="10"/>
        <v>0</v>
      </c>
      <c r="AI13" s="3">
        <f t="shared" si="10"/>
        <v>0</v>
      </c>
      <c r="AJ13" s="3">
        <f t="shared" si="10"/>
        <v>0</v>
      </c>
      <c r="AK13" s="3">
        <f t="shared" si="10"/>
        <v>0</v>
      </c>
      <c r="AL13" s="3">
        <f t="shared" si="10"/>
        <v>0</v>
      </c>
      <c r="AM13" s="3">
        <f t="shared" si="10"/>
        <v>0</v>
      </c>
      <c r="AN13" s="3">
        <f t="shared" si="10"/>
        <v>0</v>
      </c>
      <c r="AO13" s="3">
        <f t="shared" si="10"/>
        <v>0</v>
      </c>
      <c r="AP13" s="3">
        <f t="shared" si="10"/>
        <v>0</v>
      </c>
      <c r="AQ13" s="3">
        <f t="shared" si="10"/>
        <v>0</v>
      </c>
      <c r="AR13" s="3">
        <f t="shared" si="10"/>
        <v>0</v>
      </c>
      <c r="AS13" s="3">
        <f t="shared" si="10"/>
        <v>0</v>
      </c>
      <c r="AT13" s="3">
        <f t="shared" si="10"/>
        <v>0</v>
      </c>
      <c r="AU13" s="3">
        <f t="shared" si="10"/>
        <v>0</v>
      </c>
      <c r="AV13" s="3">
        <f t="shared" si="10"/>
        <v>0</v>
      </c>
      <c r="AW13" s="3">
        <f t="shared" si="10"/>
        <v>0</v>
      </c>
      <c r="AX13" s="3">
        <f t="shared" si="10"/>
        <v>0</v>
      </c>
      <c r="AY13" s="3">
        <f t="shared" si="10"/>
        <v>0</v>
      </c>
      <c r="AZ13" s="3">
        <f t="shared" si="10"/>
        <v>0</v>
      </c>
      <c r="BA13" s="3">
        <f t="shared" si="10"/>
        <v>0</v>
      </c>
      <c r="BB13" s="3">
        <f t="shared" si="10"/>
        <v>0</v>
      </c>
      <c r="BC13" s="3">
        <f t="shared" si="10"/>
        <v>0</v>
      </c>
      <c r="BD13" s="3">
        <f t="shared" si="10"/>
        <v>0</v>
      </c>
      <c r="BE13" s="3">
        <f t="shared" si="10"/>
        <v>0</v>
      </c>
      <c r="BF13" s="3">
        <f t="shared" si="10"/>
        <v>0</v>
      </c>
      <c r="BG13" s="3">
        <f t="shared" si="10"/>
        <v>0</v>
      </c>
      <c r="BH13" s="3">
        <f t="shared" si="10"/>
        <v>0</v>
      </c>
      <c r="BI13" s="3">
        <f t="shared" si="10"/>
        <v>0</v>
      </c>
      <c r="BJ13" s="3">
        <f t="shared" si="10"/>
        <v>0</v>
      </c>
      <c r="BK13" s="3">
        <f t="shared" si="10"/>
        <v>0</v>
      </c>
      <c r="BL13" s="3">
        <f t="shared" si="10"/>
        <v>0</v>
      </c>
      <c r="BM13" s="3">
        <f t="shared" si="10"/>
        <v>0</v>
      </c>
      <c r="BN13" s="3">
        <f t="shared" si="10"/>
        <v>0</v>
      </c>
      <c r="BO13" s="3">
        <f t="shared" si="10"/>
        <v>0</v>
      </c>
      <c r="BP13" s="3">
        <f t="shared" si="10"/>
        <v>0</v>
      </c>
      <c r="BQ13" s="3">
        <f t="shared" si="10"/>
        <v>0</v>
      </c>
      <c r="BR13" s="3">
        <f t="shared" si="10"/>
        <v>0</v>
      </c>
      <c r="BS13" s="3">
        <f t="shared" si="10"/>
        <v>0</v>
      </c>
      <c r="BT13" s="3">
        <f t="shared" si="9"/>
        <v>0</v>
      </c>
      <c r="BU13" s="3">
        <f t="shared" si="9"/>
        <v>0</v>
      </c>
      <c r="BV13" s="3">
        <f t="shared" si="9"/>
        <v>0</v>
      </c>
      <c r="BW13" s="3">
        <f t="shared" si="9"/>
        <v>0</v>
      </c>
      <c r="BX13" s="3">
        <f t="shared" si="9"/>
        <v>0</v>
      </c>
      <c r="BY13" s="3">
        <f t="shared" si="9"/>
        <v>0</v>
      </c>
      <c r="BZ13" s="3">
        <f t="shared" si="9"/>
        <v>0</v>
      </c>
      <c r="CA13" s="3">
        <f t="shared" si="9"/>
        <v>0</v>
      </c>
      <c r="CB13" s="3">
        <f t="shared" si="9"/>
        <v>0</v>
      </c>
      <c r="CC13" s="3">
        <f t="shared" si="9"/>
        <v>0</v>
      </c>
      <c r="CD13" s="3">
        <f t="shared" si="9"/>
        <v>0</v>
      </c>
    </row>
    <row r="14" spans="1:82" s="3" customFormat="1" x14ac:dyDescent="0.2">
      <c r="E14" s="3" t="s">
        <v>12</v>
      </c>
      <c r="F14" s="3" t="s">
        <v>7</v>
      </c>
      <c r="G14" s="3">
        <f>O261</f>
        <v>0</v>
      </c>
      <c r="H14" s="3">
        <f t="shared" si="10"/>
        <v>0</v>
      </c>
      <c r="I14" s="3">
        <f t="shared" si="10"/>
        <v>0</v>
      </c>
      <c r="J14" s="3">
        <f t="shared" si="10"/>
        <v>0</v>
      </c>
      <c r="K14" s="3">
        <f t="shared" si="10"/>
        <v>0</v>
      </c>
      <c r="L14" s="3">
        <f t="shared" si="10"/>
        <v>0</v>
      </c>
      <c r="M14" s="3">
        <f t="shared" si="10"/>
        <v>0</v>
      </c>
      <c r="N14" s="3">
        <f t="shared" si="10"/>
        <v>0</v>
      </c>
      <c r="O14" s="3">
        <f t="shared" si="10"/>
        <v>0</v>
      </c>
      <c r="P14" s="3">
        <f t="shared" si="10"/>
        <v>0</v>
      </c>
      <c r="Q14" s="3">
        <f t="shared" si="10"/>
        <v>0</v>
      </c>
      <c r="R14" s="3">
        <f t="shared" si="10"/>
        <v>0</v>
      </c>
      <c r="S14" s="3">
        <f t="shared" si="10"/>
        <v>0</v>
      </c>
      <c r="T14" s="3">
        <f t="shared" si="10"/>
        <v>0</v>
      </c>
      <c r="U14" s="3">
        <f t="shared" si="10"/>
        <v>0</v>
      </c>
      <c r="V14" s="3">
        <f t="shared" si="10"/>
        <v>0</v>
      </c>
      <c r="W14" s="3">
        <f t="shared" si="10"/>
        <v>0</v>
      </c>
      <c r="X14" s="3">
        <f t="shared" si="10"/>
        <v>0</v>
      </c>
      <c r="Y14" s="3">
        <f t="shared" si="10"/>
        <v>0</v>
      </c>
      <c r="Z14" s="3">
        <f t="shared" si="10"/>
        <v>0</v>
      </c>
      <c r="AA14" s="3">
        <f t="shared" si="10"/>
        <v>0</v>
      </c>
      <c r="AB14" s="3">
        <f t="shared" si="10"/>
        <v>0</v>
      </c>
      <c r="AC14" s="3">
        <f t="shared" si="10"/>
        <v>0</v>
      </c>
      <c r="AD14" s="3">
        <f t="shared" si="10"/>
        <v>0</v>
      </c>
      <c r="AE14" s="3">
        <f t="shared" si="10"/>
        <v>0</v>
      </c>
      <c r="AF14" s="3">
        <f t="shared" si="10"/>
        <v>0</v>
      </c>
      <c r="AG14" s="3">
        <f t="shared" si="10"/>
        <v>0</v>
      </c>
      <c r="AH14" s="3">
        <f t="shared" si="10"/>
        <v>0</v>
      </c>
      <c r="AI14" s="3">
        <f t="shared" si="10"/>
        <v>0</v>
      </c>
      <c r="AJ14" s="3">
        <f t="shared" si="10"/>
        <v>0</v>
      </c>
      <c r="AK14" s="3">
        <f t="shared" si="10"/>
        <v>0</v>
      </c>
      <c r="AL14" s="3">
        <f t="shared" si="10"/>
        <v>0</v>
      </c>
      <c r="AM14" s="3">
        <f t="shared" si="10"/>
        <v>0</v>
      </c>
      <c r="AN14" s="3">
        <f t="shared" si="10"/>
        <v>0</v>
      </c>
      <c r="AO14" s="3">
        <f t="shared" si="10"/>
        <v>0</v>
      </c>
      <c r="AP14" s="3">
        <f t="shared" si="10"/>
        <v>0</v>
      </c>
      <c r="AQ14" s="3">
        <f t="shared" si="10"/>
        <v>0</v>
      </c>
      <c r="AR14" s="3">
        <f t="shared" si="10"/>
        <v>0</v>
      </c>
      <c r="AS14" s="3">
        <f t="shared" si="10"/>
        <v>0</v>
      </c>
      <c r="AT14" s="3">
        <f t="shared" si="10"/>
        <v>0</v>
      </c>
      <c r="AU14" s="3">
        <f t="shared" si="10"/>
        <v>0</v>
      </c>
      <c r="AV14" s="3">
        <f t="shared" si="10"/>
        <v>0</v>
      </c>
      <c r="AW14" s="3">
        <f t="shared" si="10"/>
        <v>0</v>
      </c>
      <c r="AX14" s="3">
        <f t="shared" si="10"/>
        <v>0</v>
      </c>
      <c r="AY14" s="3">
        <f t="shared" si="10"/>
        <v>0</v>
      </c>
      <c r="AZ14" s="3">
        <f t="shared" si="10"/>
        <v>0</v>
      </c>
      <c r="BA14" s="3">
        <f t="shared" si="10"/>
        <v>0</v>
      </c>
      <c r="BB14" s="3">
        <f t="shared" si="10"/>
        <v>0</v>
      </c>
      <c r="BC14" s="3">
        <f t="shared" si="10"/>
        <v>0</v>
      </c>
      <c r="BD14" s="3">
        <f t="shared" si="10"/>
        <v>0</v>
      </c>
      <c r="BE14" s="3">
        <f t="shared" si="10"/>
        <v>0</v>
      </c>
      <c r="BF14" s="3">
        <f t="shared" si="10"/>
        <v>0</v>
      </c>
      <c r="BG14" s="3">
        <f t="shared" si="10"/>
        <v>0</v>
      </c>
      <c r="BH14" s="3">
        <f t="shared" si="10"/>
        <v>0</v>
      </c>
      <c r="BI14" s="3">
        <f t="shared" si="10"/>
        <v>0</v>
      </c>
      <c r="BJ14" s="3">
        <f t="shared" si="10"/>
        <v>0</v>
      </c>
      <c r="BK14" s="3">
        <f t="shared" si="10"/>
        <v>0</v>
      </c>
      <c r="BL14" s="3">
        <f t="shared" si="10"/>
        <v>0</v>
      </c>
      <c r="BM14" s="3">
        <f t="shared" si="10"/>
        <v>0</v>
      </c>
      <c r="BN14" s="3">
        <f t="shared" si="10"/>
        <v>0</v>
      </c>
      <c r="BO14" s="3">
        <f t="shared" si="10"/>
        <v>0</v>
      </c>
      <c r="BP14" s="3">
        <f t="shared" si="10"/>
        <v>0</v>
      </c>
      <c r="BQ14" s="3">
        <f t="shared" si="10"/>
        <v>0</v>
      </c>
      <c r="BR14" s="3">
        <f t="shared" si="10"/>
        <v>0</v>
      </c>
      <c r="BS14" s="3">
        <f t="shared" si="10"/>
        <v>0</v>
      </c>
      <c r="BT14" s="3">
        <f t="shared" si="9"/>
        <v>0</v>
      </c>
      <c r="BU14" s="3">
        <f t="shared" si="9"/>
        <v>0</v>
      </c>
      <c r="BV14" s="3">
        <f t="shared" si="9"/>
        <v>0</v>
      </c>
      <c r="BW14" s="3">
        <f t="shared" si="9"/>
        <v>0</v>
      </c>
      <c r="BX14" s="3">
        <f t="shared" si="9"/>
        <v>0</v>
      </c>
      <c r="BY14" s="3">
        <f t="shared" si="9"/>
        <v>0</v>
      </c>
      <c r="BZ14" s="3">
        <f t="shared" si="9"/>
        <v>0</v>
      </c>
      <c r="CA14" s="3">
        <f t="shared" si="9"/>
        <v>0</v>
      </c>
      <c r="CB14" s="3">
        <f t="shared" si="9"/>
        <v>0</v>
      </c>
      <c r="CC14" s="3">
        <f t="shared" si="9"/>
        <v>0</v>
      </c>
      <c r="CD14" s="3">
        <f t="shared" si="9"/>
        <v>0</v>
      </c>
    </row>
    <row r="15" spans="1:82" s="3" customFormat="1" x14ac:dyDescent="0.2">
      <c r="E15" s="3" t="s">
        <v>12</v>
      </c>
      <c r="F15" s="3" t="s">
        <v>8</v>
      </c>
      <c r="G15" s="3">
        <f>O262</f>
        <v>10.647</v>
      </c>
      <c r="H15" s="3">
        <f t="shared" si="10"/>
        <v>10.647</v>
      </c>
      <c r="I15" s="3">
        <f t="shared" si="10"/>
        <v>11.739000000000001</v>
      </c>
      <c r="J15" s="3">
        <f t="shared" si="10"/>
        <v>12.285</v>
      </c>
      <c r="K15" s="3">
        <f t="shared" si="10"/>
        <v>15.288</v>
      </c>
      <c r="L15" s="3">
        <f t="shared" si="10"/>
        <v>15.288</v>
      </c>
      <c r="M15" s="3">
        <f t="shared" si="10"/>
        <v>17.472000000000001</v>
      </c>
      <c r="N15" s="3">
        <f t="shared" si="10"/>
        <v>20.748000000000001</v>
      </c>
      <c r="O15" s="3">
        <f t="shared" si="10"/>
        <v>22.385999999999999</v>
      </c>
      <c r="P15" s="3">
        <f t="shared" si="10"/>
        <v>24.024000000000001</v>
      </c>
      <c r="Q15" s="3">
        <f t="shared" si="10"/>
        <v>25.116</v>
      </c>
      <c r="R15" s="3">
        <f t="shared" si="10"/>
        <v>25.116</v>
      </c>
      <c r="S15" s="3">
        <f t="shared" si="10"/>
        <v>27.573</v>
      </c>
      <c r="T15" s="3">
        <f t="shared" si="10"/>
        <v>28.937999999999999</v>
      </c>
      <c r="U15" s="3">
        <f t="shared" si="10"/>
        <v>30.303000000000001</v>
      </c>
      <c r="V15" s="3">
        <f t="shared" si="10"/>
        <v>31.395</v>
      </c>
      <c r="W15" s="3">
        <f t="shared" si="10"/>
        <v>31.395</v>
      </c>
      <c r="X15" s="3">
        <f t="shared" si="10"/>
        <v>31.395</v>
      </c>
      <c r="Y15" s="3">
        <f t="shared" si="10"/>
        <v>39.038999999999987</v>
      </c>
      <c r="Z15" s="3">
        <f t="shared" si="10"/>
        <v>24.57</v>
      </c>
      <c r="AA15" s="3">
        <f t="shared" si="10"/>
        <v>90.363</v>
      </c>
      <c r="AB15" s="3">
        <f t="shared" si="10"/>
        <v>60.606000000000002</v>
      </c>
      <c r="AC15" s="3">
        <f t="shared" si="10"/>
        <v>60.606000000000002</v>
      </c>
      <c r="AD15" s="3">
        <f t="shared" si="10"/>
        <v>251.97900000000001</v>
      </c>
      <c r="AE15" s="3">
        <f t="shared" si="10"/>
        <v>315.04199999999997</v>
      </c>
      <c r="AF15" s="3">
        <f t="shared" si="10"/>
        <v>0</v>
      </c>
      <c r="AG15" s="3">
        <f t="shared" si="10"/>
        <v>0</v>
      </c>
      <c r="AH15" s="3">
        <f t="shared" si="10"/>
        <v>0</v>
      </c>
      <c r="AI15" s="3">
        <f t="shared" si="10"/>
        <v>0</v>
      </c>
      <c r="AJ15" s="3">
        <f t="shared" si="10"/>
        <v>0</v>
      </c>
      <c r="AK15" s="3">
        <f t="shared" si="10"/>
        <v>0</v>
      </c>
      <c r="AL15" s="3">
        <f t="shared" si="10"/>
        <v>0</v>
      </c>
      <c r="AM15" s="3">
        <f t="shared" si="10"/>
        <v>0</v>
      </c>
      <c r="AN15" s="3">
        <f t="shared" si="10"/>
        <v>0</v>
      </c>
      <c r="AO15" s="3">
        <f t="shared" si="10"/>
        <v>0</v>
      </c>
      <c r="AP15" s="3">
        <f t="shared" si="10"/>
        <v>0</v>
      </c>
      <c r="AQ15" s="3">
        <f t="shared" si="10"/>
        <v>0</v>
      </c>
      <c r="AR15" s="3">
        <f t="shared" si="10"/>
        <v>0</v>
      </c>
      <c r="AS15" s="3">
        <f t="shared" si="10"/>
        <v>0</v>
      </c>
      <c r="AT15" s="3">
        <f t="shared" si="10"/>
        <v>0</v>
      </c>
      <c r="AU15" s="3">
        <f t="shared" si="10"/>
        <v>0</v>
      </c>
      <c r="AV15" s="3">
        <f t="shared" si="10"/>
        <v>0</v>
      </c>
      <c r="AW15" s="3">
        <f t="shared" si="10"/>
        <v>0</v>
      </c>
      <c r="AX15" s="3">
        <f t="shared" si="10"/>
        <v>0</v>
      </c>
      <c r="AY15" s="3">
        <f t="shared" si="10"/>
        <v>0</v>
      </c>
      <c r="AZ15" s="3">
        <f t="shared" si="10"/>
        <v>0</v>
      </c>
      <c r="BA15" s="3">
        <f t="shared" si="10"/>
        <v>0</v>
      </c>
      <c r="BB15" s="3">
        <f t="shared" si="10"/>
        <v>0</v>
      </c>
      <c r="BC15" s="3">
        <f t="shared" si="10"/>
        <v>0</v>
      </c>
      <c r="BD15" s="3">
        <f t="shared" si="10"/>
        <v>0</v>
      </c>
      <c r="BE15" s="3">
        <f t="shared" si="10"/>
        <v>0</v>
      </c>
      <c r="BF15" s="3">
        <f t="shared" si="10"/>
        <v>0</v>
      </c>
      <c r="BG15" s="3">
        <f t="shared" si="10"/>
        <v>0</v>
      </c>
      <c r="BH15" s="3">
        <f t="shared" si="10"/>
        <v>0</v>
      </c>
      <c r="BI15" s="3">
        <f t="shared" si="10"/>
        <v>0</v>
      </c>
      <c r="BJ15" s="3">
        <f t="shared" si="10"/>
        <v>0</v>
      </c>
      <c r="BK15" s="3">
        <f t="shared" si="10"/>
        <v>0</v>
      </c>
      <c r="BL15" s="3">
        <f t="shared" si="10"/>
        <v>0</v>
      </c>
      <c r="BM15" s="3">
        <f t="shared" si="10"/>
        <v>0</v>
      </c>
      <c r="BN15" s="3">
        <f t="shared" si="10"/>
        <v>0</v>
      </c>
      <c r="BO15" s="3">
        <f t="shared" si="10"/>
        <v>0</v>
      </c>
      <c r="BP15" s="3">
        <f t="shared" si="10"/>
        <v>0</v>
      </c>
      <c r="BQ15" s="3">
        <f t="shared" si="10"/>
        <v>0</v>
      </c>
      <c r="BR15" s="3">
        <f t="shared" si="10"/>
        <v>0</v>
      </c>
      <c r="BS15" s="3">
        <f t="shared" si="10"/>
        <v>0</v>
      </c>
      <c r="BT15" s="3">
        <f t="shared" si="9"/>
        <v>0</v>
      </c>
      <c r="BU15" s="3">
        <f t="shared" si="9"/>
        <v>0</v>
      </c>
      <c r="BV15" s="3">
        <f t="shared" si="9"/>
        <v>0</v>
      </c>
      <c r="BW15" s="3">
        <f t="shared" si="9"/>
        <v>0</v>
      </c>
      <c r="BX15" s="3">
        <f t="shared" si="9"/>
        <v>0</v>
      </c>
      <c r="BY15" s="3">
        <f t="shared" si="9"/>
        <v>0</v>
      </c>
      <c r="BZ15" s="3">
        <f t="shared" si="9"/>
        <v>0</v>
      </c>
      <c r="CA15" s="3">
        <f t="shared" si="9"/>
        <v>0</v>
      </c>
      <c r="CB15" s="3">
        <f t="shared" si="9"/>
        <v>0</v>
      </c>
      <c r="CC15" s="3">
        <f t="shared" si="9"/>
        <v>0</v>
      </c>
      <c r="CD15" s="3">
        <f t="shared" si="9"/>
        <v>0</v>
      </c>
    </row>
    <row r="16" spans="1:82" s="3" customFormat="1" x14ac:dyDescent="0.2">
      <c r="E16" s="3" t="s">
        <v>13</v>
      </c>
      <c r="F16" s="3" t="s">
        <v>6</v>
      </c>
      <c r="G16" s="3">
        <f>O263</f>
        <v>0</v>
      </c>
      <c r="H16" s="3">
        <f t="shared" si="10"/>
        <v>0</v>
      </c>
      <c r="I16" s="3">
        <f t="shared" si="10"/>
        <v>0</v>
      </c>
      <c r="J16" s="3">
        <f t="shared" si="10"/>
        <v>0</v>
      </c>
      <c r="K16" s="3">
        <f t="shared" si="10"/>
        <v>0</v>
      </c>
      <c r="L16" s="3">
        <f t="shared" si="10"/>
        <v>0</v>
      </c>
      <c r="M16" s="3">
        <f t="shared" si="10"/>
        <v>0</v>
      </c>
      <c r="N16" s="3">
        <f t="shared" si="10"/>
        <v>0</v>
      </c>
      <c r="O16" s="3">
        <f t="shared" si="10"/>
        <v>0</v>
      </c>
      <c r="P16" s="3">
        <f t="shared" si="10"/>
        <v>0</v>
      </c>
      <c r="Q16" s="3">
        <f t="shared" si="10"/>
        <v>0</v>
      </c>
      <c r="R16" s="3">
        <f t="shared" si="10"/>
        <v>0</v>
      </c>
      <c r="S16" s="3">
        <f t="shared" si="10"/>
        <v>0</v>
      </c>
      <c r="T16" s="3">
        <f t="shared" si="10"/>
        <v>0</v>
      </c>
      <c r="U16" s="3">
        <f t="shared" si="10"/>
        <v>0</v>
      </c>
      <c r="V16" s="3">
        <f t="shared" si="10"/>
        <v>0</v>
      </c>
      <c r="W16" s="3">
        <f t="shared" si="10"/>
        <v>0</v>
      </c>
      <c r="X16" s="3">
        <f t="shared" si="10"/>
        <v>0</v>
      </c>
      <c r="Y16" s="3">
        <f t="shared" si="10"/>
        <v>0</v>
      </c>
      <c r="Z16" s="3">
        <f t="shared" si="10"/>
        <v>0</v>
      </c>
      <c r="AA16" s="3">
        <f t="shared" si="10"/>
        <v>0</v>
      </c>
      <c r="AB16" s="3">
        <f t="shared" si="10"/>
        <v>0</v>
      </c>
      <c r="AC16" s="3">
        <f t="shared" si="10"/>
        <v>0</v>
      </c>
      <c r="AD16" s="3">
        <f t="shared" si="10"/>
        <v>0</v>
      </c>
      <c r="AE16" s="3">
        <f t="shared" si="10"/>
        <v>0</v>
      </c>
      <c r="AF16" s="3">
        <f t="shared" si="10"/>
        <v>0</v>
      </c>
      <c r="AG16" s="3">
        <f t="shared" si="10"/>
        <v>0</v>
      </c>
      <c r="AH16" s="3">
        <f t="shared" si="10"/>
        <v>0</v>
      </c>
      <c r="AI16" s="3">
        <f t="shared" si="10"/>
        <v>0</v>
      </c>
      <c r="AJ16" s="3">
        <f t="shared" si="10"/>
        <v>0</v>
      </c>
      <c r="AK16" s="3">
        <f t="shared" si="10"/>
        <v>0</v>
      </c>
      <c r="AL16" s="3">
        <f t="shared" si="10"/>
        <v>0</v>
      </c>
      <c r="AM16" s="3">
        <f t="shared" si="10"/>
        <v>5.0832101700803697E-2</v>
      </c>
      <c r="AN16" s="3">
        <f t="shared" si="10"/>
        <v>0.45312746983169999</v>
      </c>
      <c r="AO16" s="3">
        <f t="shared" si="10"/>
        <v>0.70756601376169992</v>
      </c>
      <c r="AP16" s="3">
        <f t="shared" si="10"/>
        <v>0.85071841987859997</v>
      </c>
      <c r="AQ16" s="3">
        <f t="shared" si="10"/>
        <v>0.97139420018613554</v>
      </c>
      <c r="AR16" s="3">
        <f t="shared" si="10"/>
        <v>1.0234389272039111</v>
      </c>
      <c r="AS16" s="3">
        <f t="shared" si="10"/>
        <v>1.026985894455491</v>
      </c>
      <c r="AT16" s="3">
        <f t="shared" si="10"/>
        <v>1.007666723821572</v>
      </c>
      <c r="AU16" s="3">
        <f t="shared" si="10"/>
        <v>0.97785679835970785</v>
      </c>
      <c r="AV16" s="3">
        <f t="shared" si="10"/>
        <v>0.9491877487371001</v>
      </c>
      <c r="AW16" s="3">
        <f t="shared" si="10"/>
        <v>0.92627336734230004</v>
      </c>
      <c r="AX16" s="3">
        <f t="shared" si="10"/>
        <v>0.91633352785790001</v>
      </c>
      <c r="AY16" s="3">
        <f t="shared" si="10"/>
        <v>0.94344032205237949</v>
      </c>
      <c r="AZ16" s="3">
        <f t="shared" si="10"/>
        <v>1.0397338688621509</v>
      </c>
      <c r="BA16" s="3">
        <f t="shared" si="10"/>
        <v>1.136650792934633</v>
      </c>
      <c r="BB16" s="3">
        <f t="shared" si="10"/>
        <v>1.22833665187728</v>
      </c>
      <c r="BC16" s="3">
        <f t="shared" si="10"/>
        <v>1.316534275030498</v>
      </c>
      <c r="BD16" s="3">
        <f t="shared" si="10"/>
        <v>1.401635120111715</v>
      </c>
      <c r="BE16" s="3">
        <f t="shared" si="10"/>
        <v>1.4838911077338279</v>
      </c>
      <c r="BF16" s="3">
        <f t="shared" si="10"/>
        <v>1.490609257750438</v>
      </c>
      <c r="BG16" s="3">
        <f t="shared" si="10"/>
        <v>1.4974757272791701</v>
      </c>
      <c r="BH16" s="3">
        <f t="shared" si="10"/>
        <v>1.5044022771282639</v>
      </c>
      <c r="BI16" s="3">
        <f t="shared" si="10"/>
        <v>1.5113096198174081</v>
      </c>
      <c r="BJ16" s="3">
        <f t="shared" si="10"/>
        <v>1.5201099378151259</v>
      </c>
      <c r="BK16" s="3">
        <f t="shared" si="10"/>
        <v>1.524924549204409</v>
      </c>
      <c r="BL16" s="3">
        <f t="shared" si="10"/>
        <v>1.531521416826507</v>
      </c>
      <c r="BM16" s="3">
        <f t="shared" si="10"/>
        <v>1.5378726709652391</v>
      </c>
      <c r="BN16" s="3">
        <f t="shared" si="10"/>
        <v>1.5439374557655909</v>
      </c>
      <c r="BO16" s="3">
        <f t="shared" si="10"/>
        <v>1.5496774758701819</v>
      </c>
      <c r="BP16" s="3">
        <f t="shared" si="10"/>
        <v>1.5550568094808901</v>
      </c>
      <c r="BQ16" s="3">
        <f t="shared" si="10"/>
        <v>1.560741412561931</v>
      </c>
      <c r="BR16" s="3">
        <f t="shared" si="10"/>
        <v>1.566743741738359</v>
      </c>
      <c r="BS16" s="3">
        <f>CA263</f>
        <v>1.573084639991968</v>
      </c>
      <c r="BT16" s="3">
        <f>CB263</f>
        <v>1.578103126152465</v>
      </c>
      <c r="BU16" s="3">
        <f>CC263</f>
        <v>1.5867896347623831</v>
      </c>
      <c r="BV16" s="3">
        <f>CD263</f>
        <v>1.593961382074349</v>
      </c>
      <c r="BW16" s="3">
        <f>CE263</f>
        <v>1.601319336067057</v>
      </c>
      <c r="BX16" s="3">
        <f>CF263</f>
        <v>1.6088700287621811</v>
      </c>
      <c r="BY16" s="3">
        <f>CG263</f>
        <v>1.616622129116458</v>
      </c>
      <c r="BZ16" s="3">
        <f>CH263</f>
        <v>1.624584436933008</v>
      </c>
      <c r="CA16" s="3">
        <f>CI263</f>
        <v>1.632765936984786</v>
      </c>
      <c r="CB16" s="3">
        <f>CJ263</f>
        <v>1.641177603378235</v>
      </c>
      <c r="CC16" s="3">
        <f>CK263</f>
        <v>1.6498305131222859</v>
      </c>
      <c r="CD16" s="3">
        <f>CL263</f>
        <v>1.6591403912763989</v>
      </c>
    </row>
    <row r="17" spans="3:82" s="3" customFormat="1" x14ac:dyDescent="0.2">
      <c r="E17" s="3" t="s">
        <v>13</v>
      </c>
      <c r="F17" s="3" t="s">
        <v>7</v>
      </c>
      <c r="G17" s="3">
        <f>O264</f>
        <v>0</v>
      </c>
      <c r="H17" s="3">
        <f>P264</f>
        <v>0</v>
      </c>
      <c r="I17" s="3">
        <f>Q264</f>
        <v>0</v>
      </c>
      <c r="J17" s="3">
        <f>R264</f>
        <v>0</v>
      </c>
      <c r="K17" s="3">
        <f>S264</f>
        <v>0</v>
      </c>
      <c r="L17" s="3">
        <f>T264</f>
        <v>0</v>
      </c>
      <c r="M17" s="3">
        <f>U264</f>
        <v>0</v>
      </c>
      <c r="N17" s="3">
        <f>V264</f>
        <v>0</v>
      </c>
      <c r="O17" s="3">
        <f>W264</f>
        <v>0</v>
      </c>
      <c r="P17" s="3">
        <f>X264</f>
        <v>0</v>
      </c>
      <c r="Q17" s="3">
        <f>Y264</f>
        <v>0</v>
      </c>
      <c r="R17" s="3">
        <f>Z264</f>
        <v>0</v>
      </c>
      <c r="S17" s="3">
        <f>AA264</f>
        <v>0</v>
      </c>
      <c r="T17" s="3">
        <f>AB264</f>
        <v>0</v>
      </c>
      <c r="U17" s="3">
        <f>AC264</f>
        <v>0</v>
      </c>
      <c r="V17" s="3">
        <f>AD264</f>
        <v>0</v>
      </c>
      <c r="W17" s="3">
        <f>AE264</f>
        <v>0</v>
      </c>
      <c r="X17" s="3">
        <f>AF264</f>
        <v>0</v>
      </c>
      <c r="Y17" s="3">
        <f>AG264</f>
        <v>0</v>
      </c>
      <c r="Z17" s="3">
        <f>AH264</f>
        <v>0</v>
      </c>
      <c r="AA17" s="3">
        <f>AI264</f>
        <v>0</v>
      </c>
      <c r="AB17" s="3">
        <f>AJ264</f>
        <v>0</v>
      </c>
      <c r="AC17" s="3">
        <f>AK264</f>
        <v>0</v>
      </c>
      <c r="AD17" s="3">
        <f>AL264</f>
        <v>0</v>
      </c>
      <c r="AE17" s="3">
        <f>AM264</f>
        <v>0</v>
      </c>
      <c r="AF17" s="3">
        <f>AN264</f>
        <v>0</v>
      </c>
      <c r="AG17" s="3">
        <f>AO264</f>
        <v>0</v>
      </c>
      <c r="AH17" s="3">
        <f>AP264</f>
        <v>0</v>
      </c>
      <c r="AI17" s="3">
        <f>AQ264</f>
        <v>0</v>
      </c>
      <c r="AJ17" s="3">
        <f>AR264</f>
        <v>0</v>
      </c>
      <c r="AK17" s="3">
        <f>AS264</f>
        <v>0</v>
      </c>
      <c r="AL17" s="3">
        <f>AT264</f>
        <v>0</v>
      </c>
      <c r="AM17" s="3">
        <f>AU264</f>
        <v>44.855691481406197</v>
      </c>
      <c r="AN17" s="3">
        <f>AV264</f>
        <v>399.85255986777202</v>
      </c>
      <c r="AO17" s="3">
        <f>AW264</f>
        <v>624.37636363798197</v>
      </c>
      <c r="AP17" s="3">
        <f>AX264</f>
        <v>750.69811601005597</v>
      </c>
      <c r="AQ17" s="3">
        <f>AY264</f>
        <v>860.9984087162743</v>
      </c>
      <c r="AR17" s="3">
        <f>AZ264</f>
        <v>910.29675806732291</v>
      </c>
      <c r="AS17" s="3">
        <f>BA264</f>
        <v>916.92640329948392</v>
      </c>
      <c r="AT17" s="3">
        <f>BB264</f>
        <v>903.60399963969473</v>
      </c>
      <c r="AU17" s="3">
        <f>BC264</f>
        <v>881.26186258683992</v>
      </c>
      <c r="AV17" s="3">
        <f>BD264</f>
        <v>860.12056200564098</v>
      </c>
      <c r="AW17" s="3">
        <f>BE264</f>
        <v>844.16849840197108</v>
      </c>
      <c r="AX17" s="3">
        <f>BF264</f>
        <v>839.68066679069705</v>
      </c>
      <c r="AY17" s="3">
        <f>BG264</f>
        <v>867.81830588031198</v>
      </c>
      <c r="AZ17" s="3">
        <f>BH264</f>
        <v>956.87535247252276</v>
      </c>
      <c r="BA17" s="3">
        <f>BI264</f>
        <v>1046.3235664894551</v>
      </c>
      <c r="BB17" s="3">
        <f>BJ264</f>
        <v>1130.9991120112049</v>
      </c>
      <c r="BC17" s="3">
        <f>BK264</f>
        <v>1212.4493918800299</v>
      </c>
      <c r="BD17" s="3">
        <f>BL264</f>
        <v>1291.037636899156</v>
      </c>
      <c r="BE17" s="3">
        <f>BM264</f>
        <v>1366.9983939253179</v>
      </c>
      <c r="BF17" s="3">
        <f>BN264</f>
        <v>1373.255502460793</v>
      </c>
      <c r="BG17" s="3">
        <f>BO264</f>
        <v>1379.6421679633249</v>
      </c>
      <c r="BH17" s="3">
        <f>BP264</f>
        <v>1386.0788883002419</v>
      </c>
      <c r="BI17" s="3">
        <f>BQ264</f>
        <v>1392.494072179808</v>
      </c>
      <c r="BJ17" s="3">
        <f>BR264</f>
        <v>1400.573402337315</v>
      </c>
      <c r="BK17" s="3">
        <f>BS264</f>
        <v>1405.127647574124</v>
      </c>
      <c r="BL17" s="3">
        <f>BT264</f>
        <v>1411.2449239316761</v>
      </c>
      <c r="BM17" s="3">
        <f>BU264</f>
        <v>1417.134105217194</v>
      </c>
      <c r="BN17" s="3">
        <f>BV264</f>
        <v>1422.7575323925601</v>
      </c>
      <c r="BO17" s="3">
        <f>BW264</f>
        <v>1428.0798219664621</v>
      </c>
      <c r="BP17" s="3">
        <f>BX264</f>
        <v>1433.0676847402949</v>
      </c>
      <c r="BQ17" s="3">
        <f>BY264</f>
        <v>1438.331568730151</v>
      </c>
      <c r="BR17" s="3">
        <f>BZ264</f>
        <v>1443.8825821183891</v>
      </c>
      <c r="BS17" s="3">
        <f>CA264</f>
        <v>1449.739261691853</v>
      </c>
      <c r="BT17" s="3">
        <f>CB264</f>
        <v>1454.4360604990029</v>
      </c>
      <c r="BU17" s="3">
        <f>CC264</f>
        <v>1462.376734541278</v>
      </c>
      <c r="BV17" s="3">
        <f>CD264</f>
        <v>1468.9879520764521</v>
      </c>
      <c r="BW17" s="3">
        <f>CE264</f>
        <v>1475.7708860110149</v>
      </c>
      <c r="BX17" s="3">
        <f>CF264</f>
        <v>1482.731404413609</v>
      </c>
      <c r="BY17" s="3">
        <f>CG264</f>
        <v>1489.877302142932</v>
      </c>
      <c r="BZ17" s="3">
        <f>CH264</f>
        <v>1497.2164733930299</v>
      </c>
      <c r="CA17" s="3">
        <f>CI264</f>
        <v>1504.756964778112</v>
      </c>
      <c r="CB17" s="3">
        <f>CJ264</f>
        <v>1512.508630362687</v>
      </c>
      <c r="CC17" s="3">
        <f>CK264</f>
        <v>1520.481429537954</v>
      </c>
      <c r="CD17" s="3">
        <f>CL264</f>
        <v>1529.0423349603111</v>
      </c>
    </row>
    <row r="18" spans="3:82" s="3" customFormat="1" x14ac:dyDescent="0.2">
      <c r="E18" s="3" t="s">
        <v>13</v>
      </c>
      <c r="F18" s="3" t="s">
        <v>8</v>
      </c>
      <c r="G18" s="3">
        <f>O265</f>
        <v>0</v>
      </c>
      <c r="H18" s="3">
        <f>P265</f>
        <v>0</v>
      </c>
      <c r="I18" s="3">
        <f>Q265</f>
        <v>0</v>
      </c>
      <c r="J18" s="3">
        <f>R265</f>
        <v>0</v>
      </c>
      <c r="K18" s="3">
        <f>S265</f>
        <v>0</v>
      </c>
      <c r="L18" s="3">
        <f>T265</f>
        <v>0</v>
      </c>
      <c r="M18" s="3">
        <f>U265</f>
        <v>0</v>
      </c>
      <c r="N18" s="3">
        <f>V265</f>
        <v>0</v>
      </c>
      <c r="O18" s="3">
        <f>W265</f>
        <v>0</v>
      </c>
      <c r="P18" s="3">
        <f>X265</f>
        <v>0</v>
      </c>
      <c r="Q18" s="3">
        <f>Y265</f>
        <v>0</v>
      </c>
      <c r="R18" s="3">
        <f>Z265</f>
        <v>0</v>
      </c>
      <c r="S18" s="3">
        <f>AA265</f>
        <v>0</v>
      </c>
      <c r="T18" s="3">
        <f>AB265</f>
        <v>0</v>
      </c>
      <c r="U18" s="3">
        <f>AC265</f>
        <v>0</v>
      </c>
      <c r="V18" s="3">
        <f>AD265</f>
        <v>0</v>
      </c>
      <c r="W18" s="3">
        <f>AE265</f>
        <v>0</v>
      </c>
      <c r="X18" s="3">
        <f>AF265</f>
        <v>0</v>
      </c>
      <c r="Y18" s="3">
        <f>AG265</f>
        <v>0</v>
      </c>
      <c r="Z18" s="3">
        <f>AH265</f>
        <v>0</v>
      </c>
      <c r="AA18" s="3">
        <f>AI265</f>
        <v>0</v>
      </c>
      <c r="AB18" s="3">
        <f>AJ265</f>
        <v>0</v>
      </c>
      <c r="AC18" s="3">
        <f>AK265</f>
        <v>0</v>
      </c>
      <c r="AD18" s="3">
        <f>AL265</f>
        <v>0</v>
      </c>
      <c r="AE18" s="3">
        <f>AM265</f>
        <v>0</v>
      </c>
      <c r="AF18" s="3">
        <f>AN265</f>
        <v>0</v>
      </c>
      <c r="AG18" s="3">
        <f>AO265</f>
        <v>0</v>
      </c>
      <c r="AH18" s="3">
        <f>AP265</f>
        <v>0</v>
      </c>
      <c r="AI18" s="3">
        <f>AQ265</f>
        <v>0</v>
      </c>
      <c r="AJ18" s="3">
        <f>AR265</f>
        <v>0</v>
      </c>
      <c r="AK18" s="3">
        <f>AS265</f>
        <v>0</v>
      </c>
      <c r="AL18" s="3">
        <f>AT265</f>
        <v>0</v>
      </c>
      <c r="AM18" s="3">
        <f>AU265</f>
        <v>9.9477876446734004E-2</v>
      </c>
      <c r="AN18" s="3">
        <f>AV265</f>
        <v>0.88676558612240008</v>
      </c>
      <c r="AO18" s="3">
        <f>AW265</f>
        <v>1.3846990806949</v>
      </c>
      <c r="AP18" s="3">
        <f>AX265</f>
        <v>1.6648468001925001</v>
      </c>
      <c r="AQ18" s="3">
        <f>AY265</f>
        <v>1.89622197128741</v>
      </c>
      <c r="AR18" s="3">
        <f>AZ265</f>
        <v>1.9938391951294829</v>
      </c>
      <c r="AS18" s="3">
        <f>BA265</f>
        <v>1.9963872743829281</v>
      </c>
      <c r="AT18" s="3">
        <f>BB265</f>
        <v>1.9539032621378001</v>
      </c>
      <c r="AU18" s="3">
        <f>BC265</f>
        <v>1.8905906792053</v>
      </c>
      <c r="AV18" s="3">
        <f>BD265</f>
        <v>1.8292671234689999</v>
      </c>
      <c r="AW18" s="3">
        <f>BE265</f>
        <v>1.7790658558471</v>
      </c>
      <c r="AX18" s="3">
        <f>BF265</f>
        <v>1.7542366372741001</v>
      </c>
      <c r="AY18" s="3">
        <f>BG265</f>
        <v>1.8019895470109999</v>
      </c>
      <c r="AZ18" s="3">
        <f>BH265</f>
        <v>1.9853070841091001</v>
      </c>
      <c r="BA18" s="3">
        <f>BI265</f>
        <v>2.1700440596717998</v>
      </c>
      <c r="BB18" s="3">
        <f>BJ265</f>
        <v>2.3447405175873999</v>
      </c>
      <c r="BC18" s="3">
        <f>BK265</f>
        <v>2.5127952546887</v>
      </c>
      <c r="BD18" s="3">
        <f>BL265</f>
        <v>2.674952007832601</v>
      </c>
      <c r="BE18" s="3">
        <f>BM265</f>
        <v>2.8316884114367999</v>
      </c>
      <c r="BF18" s="3">
        <f>BN265</f>
        <v>2.8444229769325999</v>
      </c>
      <c r="BG18" s="3">
        <f>BO265</f>
        <v>2.8574494646679001</v>
      </c>
      <c r="BH18" s="3">
        <f>BP265</f>
        <v>2.8705972469313998</v>
      </c>
      <c r="BI18" s="3">
        <f>BQ265</f>
        <v>2.8837131998569001</v>
      </c>
      <c r="BJ18" s="3">
        <f>BR265</f>
        <v>2.9005415547324001</v>
      </c>
      <c r="BK18" s="3">
        <f>BS265</f>
        <v>2.9095799473706712</v>
      </c>
      <c r="BL18" s="3">
        <f>BT265</f>
        <v>2.922118351002541</v>
      </c>
      <c r="BM18" s="3">
        <f>BU265</f>
        <v>2.934190350731376</v>
      </c>
      <c r="BN18" s="3">
        <f>BV265</f>
        <v>2.945718008998099</v>
      </c>
      <c r="BO18" s="3">
        <f>BW265</f>
        <v>2.9566283789101662</v>
      </c>
      <c r="BP18" s="3">
        <f>BX265</f>
        <v>2.9668531588612619</v>
      </c>
      <c r="BQ18" s="3">
        <f>BY265</f>
        <v>2.977667008995081</v>
      </c>
      <c r="BR18" s="3">
        <f>BZ265</f>
        <v>2.9890941610454149</v>
      </c>
      <c r="BS18" s="3">
        <f>CA265</f>
        <v>3.0011752232994331</v>
      </c>
      <c r="BT18" s="3">
        <f>CB265</f>
        <v>3.0106594851063049</v>
      </c>
      <c r="BU18" s="3">
        <f>CC265</f>
        <v>3.0273131045336181</v>
      </c>
      <c r="BV18" s="3">
        <f>CD265</f>
        <v>3.040993299010466</v>
      </c>
      <c r="BW18" s="3">
        <f>CE265</f>
        <v>3.0550286055515352</v>
      </c>
      <c r="BX18" s="3">
        <f>CF265</f>
        <v>3.069431676664589</v>
      </c>
      <c r="BY18" s="3">
        <f>CG265</f>
        <v>3.0842192952237668</v>
      </c>
      <c r="BZ18" s="3">
        <f>CH265</f>
        <v>3.0994085204149329</v>
      </c>
      <c r="CA18" s="3">
        <f>CI265</f>
        <v>3.1150167869665881</v>
      </c>
      <c r="CB18" s="3">
        <f>CJ265</f>
        <v>3.131065357428084</v>
      </c>
      <c r="CC18" s="3">
        <f>CK265</f>
        <v>3.147575677496707</v>
      </c>
      <c r="CD18" s="3">
        <f>CL265</f>
        <v>3.165361159667893</v>
      </c>
    </row>
    <row r="19" spans="3:82" s="4" customFormat="1" x14ac:dyDescent="0.2">
      <c r="C19" s="4" t="s">
        <v>14</v>
      </c>
      <c r="G19" s="4">
        <f>SUM(G20:G46)</f>
        <v>178.32830000000001</v>
      </c>
      <c r="H19" s="4">
        <f t="shared" ref="H19:BS19" si="11">SUM(H20:H46)</f>
        <v>178.32830000000001</v>
      </c>
      <c r="I19" s="4">
        <f t="shared" si="11"/>
        <v>215.74459999999999</v>
      </c>
      <c r="J19" s="4">
        <f t="shared" si="11"/>
        <v>247.8913</v>
      </c>
      <c r="K19" s="4">
        <f t="shared" si="11"/>
        <v>200.69239999999999</v>
      </c>
      <c r="L19" s="4">
        <f t="shared" si="11"/>
        <v>182.5872</v>
      </c>
      <c r="M19" s="4">
        <f t="shared" si="11"/>
        <v>232.91160000000002</v>
      </c>
      <c r="N19" s="4">
        <f t="shared" si="11"/>
        <v>195.71879999999999</v>
      </c>
      <c r="O19" s="4">
        <f t="shared" si="11"/>
        <v>241.89959999999999</v>
      </c>
      <c r="P19" s="4">
        <f t="shared" si="11"/>
        <v>286.52640000000002</v>
      </c>
      <c r="Q19" s="4">
        <f t="shared" si="11"/>
        <v>276.08629999999999</v>
      </c>
      <c r="R19" s="4">
        <f t="shared" si="11"/>
        <v>300.14410000000004</v>
      </c>
      <c r="S19" s="4">
        <f t="shared" si="11"/>
        <v>274.57400000000001</v>
      </c>
      <c r="T19" s="4">
        <f t="shared" si="11"/>
        <v>287.9452</v>
      </c>
      <c r="U19" s="4">
        <f t="shared" si="11"/>
        <v>902.73049999999989</v>
      </c>
      <c r="V19" s="4">
        <f t="shared" si="11"/>
        <v>470.26329999999996</v>
      </c>
      <c r="W19" s="4">
        <f t="shared" si="11"/>
        <v>335.42679999999996</v>
      </c>
      <c r="X19" s="4">
        <f t="shared" si="11"/>
        <v>577.16989999999998</v>
      </c>
      <c r="Y19" s="4">
        <f t="shared" si="11"/>
        <v>760.21640000000002</v>
      </c>
      <c r="Z19" s="4">
        <f t="shared" si="11"/>
        <v>848.33829999999989</v>
      </c>
      <c r="AA19" s="4">
        <f t="shared" si="11"/>
        <v>1224.2185999999999</v>
      </c>
      <c r="AB19" s="4">
        <f t="shared" si="11"/>
        <v>1130.4217000000001</v>
      </c>
      <c r="AC19" s="4">
        <f t="shared" si="11"/>
        <v>1061.1030000000001</v>
      </c>
      <c r="AD19" s="4">
        <f t="shared" si="11"/>
        <v>1073.4893999999999</v>
      </c>
      <c r="AE19" s="4">
        <f t="shared" si="11"/>
        <v>2974.4416999999999</v>
      </c>
      <c r="AF19" s="4">
        <f t="shared" si="11"/>
        <v>3716.5812496118756</v>
      </c>
      <c r="AG19" s="4">
        <f t="shared" si="11"/>
        <v>3652.500544670746</v>
      </c>
      <c r="AH19" s="4">
        <f t="shared" si="11"/>
        <v>3782.2187117432022</v>
      </c>
      <c r="AI19" s="4">
        <f t="shared" si="11"/>
        <v>3914.1520795119081</v>
      </c>
      <c r="AJ19" s="4">
        <f t="shared" si="11"/>
        <v>3972.2666993999837</v>
      </c>
      <c r="AK19" s="4">
        <f t="shared" si="11"/>
        <v>4036.4485132424998</v>
      </c>
      <c r="AL19" s="4">
        <f t="shared" si="11"/>
        <v>4109.4408476114413</v>
      </c>
      <c r="AM19" s="4">
        <f t="shared" si="11"/>
        <v>4271.3407354110195</v>
      </c>
      <c r="AN19" s="4">
        <f t="shared" si="11"/>
        <v>4476.3652524673907</v>
      </c>
      <c r="AO19" s="4">
        <f t="shared" si="11"/>
        <v>4737.4882773864992</v>
      </c>
      <c r="AP19" s="4">
        <f t="shared" si="11"/>
        <v>5070.1723182061087</v>
      </c>
      <c r="AQ19" s="4">
        <f t="shared" si="11"/>
        <v>5478.3746629643383</v>
      </c>
      <c r="AR19" s="4">
        <f t="shared" si="11"/>
        <v>6006.6247713375515</v>
      </c>
      <c r="AS19" s="4">
        <f t="shared" si="11"/>
        <v>6677.192071843082</v>
      </c>
      <c r="AT19" s="4">
        <f t="shared" si="11"/>
        <v>7498.0351121907215</v>
      </c>
      <c r="AU19" s="4">
        <f t="shared" si="11"/>
        <v>8452.4713483445612</v>
      </c>
      <c r="AV19" s="4">
        <f t="shared" si="11"/>
        <v>9496.413544742245</v>
      </c>
      <c r="AW19" s="4">
        <f t="shared" si="11"/>
        <v>10569.054897215337</v>
      </c>
      <c r="AX19" s="4">
        <f t="shared" si="11"/>
        <v>11612.667591410851</v>
      </c>
      <c r="AY19" s="4">
        <f t="shared" si="11"/>
        <v>12589.328413495174</v>
      </c>
      <c r="AZ19" s="4">
        <f t="shared" si="11"/>
        <v>13460.225597174913</v>
      </c>
      <c r="BA19" s="4">
        <f t="shared" si="11"/>
        <v>14223.868848675012</v>
      </c>
      <c r="BB19" s="4">
        <f t="shared" si="11"/>
        <v>14891.570458073264</v>
      </c>
      <c r="BC19" s="4">
        <f t="shared" si="11"/>
        <v>15475.217926760182</v>
      </c>
      <c r="BD19" s="4">
        <f t="shared" si="11"/>
        <v>15989.433285820849</v>
      </c>
      <c r="BE19" s="4">
        <f t="shared" si="11"/>
        <v>16441.880889106458</v>
      </c>
      <c r="BF19" s="4">
        <f t="shared" si="11"/>
        <v>16778.051912582167</v>
      </c>
      <c r="BG19" s="4">
        <f t="shared" si="11"/>
        <v>17112.283809695811</v>
      </c>
      <c r="BH19" s="4">
        <f t="shared" si="11"/>
        <v>17443.000979241493</v>
      </c>
      <c r="BI19" s="4">
        <f t="shared" si="11"/>
        <v>17768.62059666323</v>
      </c>
      <c r="BJ19" s="4">
        <f t="shared" si="11"/>
        <v>18087.507638745155</v>
      </c>
      <c r="BK19" s="4">
        <f t="shared" si="11"/>
        <v>18397.997620535258</v>
      </c>
      <c r="BL19" s="4">
        <f t="shared" si="11"/>
        <v>18698.427289417075</v>
      </c>
      <c r="BM19" s="4">
        <f t="shared" si="11"/>
        <v>18987.144060061568</v>
      </c>
      <c r="BN19" s="4">
        <f t="shared" si="11"/>
        <v>19262.541678287234</v>
      </c>
      <c r="BO19" s="4">
        <f t="shared" si="11"/>
        <v>19523.033647100721</v>
      </c>
      <c r="BP19" s="4">
        <f t="shared" si="11"/>
        <v>19767.048161558807</v>
      </c>
      <c r="BQ19" s="4">
        <f t="shared" si="11"/>
        <v>20017.459802910558</v>
      </c>
      <c r="BR19" s="4">
        <f t="shared" si="11"/>
        <v>20274.38603635427</v>
      </c>
      <c r="BS19" s="4">
        <f t="shared" si="11"/>
        <v>20537.966246860404</v>
      </c>
      <c r="BT19" s="4">
        <f t="shared" ref="BT19:CD19" si="12">SUM(BT20:BT46)</f>
        <v>20808.34731947209</v>
      </c>
      <c r="BU19" s="4">
        <f t="shared" si="12"/>
        <v>21085.619311287999</v>
      </c>
      <c r="BV19" s="4">
        <f t="shared" si="12"/>
        <v>21369.904760248366</v>
      </c>
      <c r="BW19" s="4">
        <f t="shared" si="12"/>
        <v>21661.384562330619</v>
      </c>
      <c r="BX19" s="4">
        <f t="shared" si="12"/>
        <v>21960.184596036874</v>
      </c>
      <c r="BY19" s="4">
        <f t="shared" si="12"/>
        <v>22266.458484661256</v>
      </c>
      <c r="BZ19" s="4">
        <f t="shared" si="12"/>
        <v>22580.352062068421</v>
      </c>
      <c r="CA19" s="4">
        <f t="shared" si="12"/>
        <v>22902.006241661427</v>
      </c>
      <c r="CB19" s="4">
        <f t="shared" si="12"/>
        <v>23231.58928826412</v>
      </c>
      <c r="CC19" s="4">
        <f t="shared" si="12"/>
        <v>23569.265672303885</v>
      </c>
      <c r="CD19" s="4">
        <f t="shared" si="12"/>
        <v>23915.173025859734</v>
      </c>
    </row>
    <row r="20" spans="3:82" s="3" customFormat="1" x14ac:dyDescent="0.2">
      <c r="D20" s="3" t="s">
        <v>15</v>
      </c>
      <c r="F20" s="3" t="s">
        <v>6</v>
      </c>
      <c r="G20" s="3">
        <f>O266</f>
        <v>0</v>
      </c>
      <c r="H20" s="3">
        <f t="shared" ref="H20:BS21" si="13">P266</f>
        <v>0</v>
      </c>
      <c r="I20" s="3">
        <f t="shared" si="13"/>
        <v>0</v>
      </c>
      <c r="J20" s="3">
        <f t="shared" si="13"/>
        <v>0</v>
      </c>
      <c r="K20" s="3">
        <f t="shared" si="13"/>
        <v>0</v>
      </c>
      <c r="L20" s="3">
        <f t="shared" si="13"/>
        <v>0</v>
      </c>
      <c r="M20" s="3">
        <f t="shared" si="13"/>
        <v>0</v>
      </c>
      <c r="N20" s="3">
        <f t="shared" si="13"/>
        <v>0</v>
      </c>
      <c r="O20" s="3">
        <f t="shared" si="13"/>
        <v>0</v>
      </c>
      <c r="P20" s="3">
        <f t="shared" si="13"/>
        <v>0</v>
      </c>
      <c r="Q20" s="3">
        <f t="shared" si="13"/>
        <v>0</v>
      </c>
      <c r="R20" s="3">
        <f t="shared" si="13"/>
        <v>0</v>
      </c>
      <c r="S20" s="3">
        <f t="shared" si="13"/>
        <v>0</v>
      </c>
      <c r="T20" s="3">
        <f t="shared" si="13"/>
        <v>0</v>
      </c>
      <c r="U20" s="3">
        <f t="shared" si="13"/>
        <v>0</v>
      </c>
      <c r="V20" s="3">
        <f t="shared" si="13"/>
        <v>0</v>
      </c>
      <c r="W20" s="3">
        <f t="shared" si="13"/>
        <v>0</v>
      </c>
      <c r="X20" s="3">
        <f t="shared" si="13"/>
        <v>0</v>
      </c>
      <c r="Y20" s="3">
        <f t="shared" si="13"/>
        <v>0</v>
      </c>
      <c r="Z20" s="3">
        <f t="shared" si="13"/>
        <v>0</v>
      </c>
      <c r="AA20" s="3">
        <f t="shared" si="13"/>
        <v>0</v>
      </c>
      <c r="AB20" s="3">
        <f t="shared" si="13"/>
        <v>0</v>
      </c>
      <c r="AC20" s="3">
        <f t="shared" si="13"/>
        <v>0</v>
      </c>
      <c r="AD20" s="3">
        <f t="shared" si="13"/>
        <v>0</v>
      </c>
      <c r="AE20" s="3">
        <f t="shared" si="13"/>
        <v>0</v>
      </c>
      <c r="AF20" s="3">
        <f t="shared" si="13"/>
        <v>0</v>
      </c>
      <c r="AG20" s="3">
        <f t="shared" si="13"/>
        <v>0</v>
      </c>
      <c r="AH20" s="3">
        <f t="shared" si="13"/>
        <v>0</v>
      </c>
      <c r="AI20" s="3">
        <f t="shared" si="13"/>
        <v>0</v>
      </c>
      <c r="AJ20" s="3">
        <f t="shared" si="13"/>
        <v>0</v>
      </c>
      <c r="AK20" s="3">
        <f t="shared" si="13"/>
        <v>0</v>
      </c>
      <c r="AL20" s="3">
        <f t="shared" si="13"/>
        <v>0</v>
      </c>
      <c r="AM20" s="3">
        <f t="shared" si="13"/>
        <v>4.2085303946490507E-3</v>
      </c>
      <c r="AN20" s="3">
        <f t="shared" si="13"/>
        <v>1.0662125557794401E-2</v>
      </c>
      <c r="AO20" s="3">
        <f t="shared" si="13"/>
        <v>2.0475607661181301E-2</v>
      </c>
      <c r="AP20" s="3">
        <f t="shared" si="13"/>
        <v>3.4992785312218E-2</v>
      </c>
      <c r="AQ20" s="3">
        <f t="shared" si="13"/>
        <v>5.6111397778282501E-2</v>
      </c>
      <c r="AR20" s="3">
        <f t="shared" si="13"/>
        <v>8.5947556736127501E-2</v>
      </c>
      <c r="AS20" s="3">
        <f t="shared" si="13"/>
        <v>0.12623293518010001</v>
      </c>
      <c r="AT20" s="3">
        <f t="shared" si="13"/>
        <v>0.17750527764310001</v>
      </c>
      <c r="AU20" s="3">
        <f t="shared" si="13"/>
        <v>0.2382385127236</v>
      </c>
      <c r="AV20" s="3">
        <f t="shared" si="13"/>
        <v>0.30459576643469999</v>
      </c>
      <c r="AW20" s="3">
        <f t="shared" si="13"/>
        <v>0.37128873264840001</v>
      </c>
      <c r="AX20" s="3">
        <f t="shared" si="13"/>
        <v>0.43321664696189999</v>
      </c>
      <c r="AY20" s="3">
        <f t="shared" si="13"/>
        <v>0.48687934728089999</v>
      </c>
      <c r="AZ20" s="3">
        <f t="shared" si="13"/>
        <v>0.53083751583209993</v>
      </c>
      <c r="BA20" s="3">
        <f t="shared" si="13"/>
        <v>0.56530097794619993</v>
      </c>
      <c r="BB20" s="3">
        <f t="shared" si="13"/>
        <v>0.59246326956490003</v>
      </c>
      <c r="BC20" s="3">
        <f t="shared" si="13"/>
        <v>0.61379444464220001</v>
      </c>
      <c r="BD20" s="3">
        <f t="shared" si="13"/>
        <v>0.63074566439940005</v>
      </c>
      <c r="BE20" s="3">
        <f t="shared" si="13"/>
        <v>0.64434561058000006</v>
      </c>
      <c r="BF20" s="3">
        <f t="shared" si="13"/>
        <v>0.65121335071520003</v>
      </c>
      <c r="BG20" s="3">
        <f t="shared" si="13"/>
        <v>0.65802816357670002</v>
      </c>
      <c r="BH20" s="3">
        <f t="shared" si="13"/>
        <v>0.66476452055189994</v>
      </c>
      <c r="BI20" s="3">
        <f t="shared" si="13"/>
        <v>0.67139643300779994</v>
      </c>
      <c r="BJ20" s="3">
        <f t="shared" si="13"/>
        <v>0.67789637385159995</v>
      </c>
      <c r="BK20" s="3">
        <f t="shared" si="13"/>
        <v>0.68423561108120001</v>
      </c>
      <c r="BL20" s="3">
        <f t="shared" si="13"/>
        <v>0.69038470783209993</v>
      </c>
      <c r="BM20" s="3">
        <f t="shared" si="13"/>
        <v>0.69631358055409998</v>
      </c>
      <c r="BN20" s="3">
        <f t="shared" si="13"/>
        <v>0.70199210993869998</v>
      </c>
      <c r="BO20" s="3">
        <f t="shared" si="13"/>
        <v>0.7073894579783</v>
      </c>
      <c r="BP20" s="3">
        <f t="shared" si="13"/>
        <v>0.7124738437382</v>
      </c>
      <c r="BQ20" s="3">
        <f t="shared" si="13"/>
        <v>0.71772470091840002</v>
      </c>
      <c r="BR20" s="3">
        <f t="shared" si="13"/>
        <v>0.72314519896679996</v>
      </c>
      <c r="BS20" s="3">
        <f t="shared" si="13"/>
        <v>0.72873900796250002</v>
      </c>
      <c r="BT20" s="3">
        <f t="shared" ref="BT20:CD20" si="14">CB266</f>
        <v>0.73450999876930001</v>
      </c>
      <c r="BU20" s="3">
        <f t="shared" si="14"/>
        <v>0.74046089980880003</v>
      </c>
      <c r="BV20" s="3">
        <f t="shared" si="14"/>
        <v>0.74659516572079998</v>
      </c>
      <c r="BW20" s="3">
        <f t="shared" si="14"/>
        <v>0.75291752024049996</v>
      </c>
      <c r="BX20" s="3">
        <f t="shared" si="14"/>
        <v>0.75943158771200003</v>
      </c>
      <c r="BY20" s="3">
        <f t="shared" si="14"/>
        <v>0.76614162526840002</v>
      </c>
      <c r="BZ20" s="3">
        <f t="shared" si="14"/>
        <v>0.7730517818739</v>
      </c>
      <c r="CA20" s="3">
        <f t="shared" si="14"/>
        <v>0.78016616031789998</v>
      </c>
      <c r="CB20" s="3">
        <f t="shared" si="14"/>
        <v>0.78748949418809999</v>
      </c>
      <c r="CC20" s="3">
        <f t="shared" si="14"/>
        <v>0.7950264988457999</v>
      </c>
      <c r="CD20" s="3">
        <f t="shared" si="14"/>
        <v>0.80278139174570007</v>
      </c>
    </row>
    <row r="21" spans="3:82" s="3" customFormat="1" x14ac:dyDescent="0.2">
      <c r="D21" s="3" t="s">
        <v>15</v>
      </c>
      <c r="F21" s="3" t="s">
        <v>7</v>
      </c>
      <c r="G21" s="3">
        <f>O267</f>
        <v>0</v>
      </c>
      <c r="H21" s="3">
        <f t="shared" si="13"/>
        <v>0</v>
      </c>
      <c r="I21" s="3">
        <f t="shared" si="13"/>
        <v>0</v>
      </c>
      <c r="J21" s="3">
        <f t="shared" si="13"/>
        <v>0</v>
      </c>
      <c r="K21" s="3">
        <f t="shared" si="13"/>
        <v>0</v>
      </c>
      <c r="L21" s="3">
        <f t="shared" si="13"/>
        <v>0</v>
      </c>
      <c r="M21" s="3">
        <f t="shared" si="13"/>
        <v>0</v>
      </c>
      <c r="N21" s="3">
        <f t="shared" si="13"/>
        <v>0</v>
      </c>
      <c r="O21" s="3">
        <f t="shared" si="13"/>
        <v>0</v>
      </c>
      <c r="P21" s="3">
        <f t="shared" si="13"/>
        <v>0</v>
      </c>
      <c r="Q21" s="3">
        <f t="shared" si="13"/>
        <v>0</v>
      </c>
      <c r="R21" s="3">
        <f t="shared" si="13"/>
        <v>0</v>
      </c>
      <c r="S21" s="3">
        <f t="shared" si="13"/>
        <v>0</v>
      </c>
      <c r="T21" s="3">
        <f t="shared" si="13"/>
        <v>0</v>
      </c>
      <c r="U21" s="3">
        <f t="shared" si="13"/>
        <v>0</v>
      </c>
      <c r="V21" s="3">
        <f t="shared" si="13"/>
        <v>0</v>
      </c>
      <c r="W21" s="3">
        <f t="shared" si="13"/>
        <v>0</v>
      </c>
      <c r="X21" s="3">
        <f t="shared" si="13"/>
        <v>0</v>
      </c>
      <c r="Y21" s="3">
        <f t="shared" si="13"/>
        <v>0</v>
      </c>
      <c r="Z21" s="3">
        <f t="shared" si="13"/>
        <v>0</v>
      </c>
      <c r="AA21" s="3">
        <f t="shared" si="13"/>
        <v>0</v>
      </c>
      <c r="AB21" s="3">
        <f t="shared" si="13"/>
        <v>0</v>
      </c>
      <c r="AC21" s="3">
        <f t="shared" si="13"/>
        <v>0</v>
      </c>
      <c r="AD21" s="3">
        <f t="shared" si="13"/>
        <v>0</v>
      </c>
      <c r="AE21" s="3">
        <f t="shared" si="13"/>
        <v>0</v>
      </c>
      <c r="AF21" s="3">
        <f t="shared" si="13"/>
        <v>0</v>
      </c>
      <c r="AG21" s="3">
        <f t="shared" si="13"/>
        <v>0</v>
      </c>
      <c r="AH21" s="3">
        <f t="shared" si="13"/>
        <v>0</v>
      </c>
      <c r="AI21" s="3">
        <f t="shared" si="13"/>
        <v>0</v>
      </c>
      <c r="AJ21" s="3">
        <f t="shared" si="13"/>
        <v>0</v>
      </c>
      <c r="AK21" s="3">
        <f t="shared" si="13"/>
        <v>0</v>
      </c>
      <c r="AL21" s="3">
        <f t="shared" si="13"/>
        <v>0</v>
      </c>
      <c r="AM21" s="3">
        <f t="shared" si="13"/>
        <v>3.8449947723895002</v>
      </c>
      <c r="AN21" s="3">
        <f t="shared" si="13"/>
        <v>9.7411241426234003</v>
      </c>
      <c r="AO21" s="3">
        <f t="shared" si="13"/>
        <v>18.706911210345901</v>
      </c>
      <c r="AP21" s="3">
        <f t="shared" si="13"/>
        <v>31.970085512011298</v>
      </c>
      <c r="AQ21" s="3">
        <f t="shared" si="13"/>
        <v>51.264458349470701</v>
      </c>
      <c r="AR21" s="3">
        <f t="shared" si="13"/>
        <v>78.523350281666296</v>
      </c>
      <c r="AS21" s="3">
        <f t="shared" si="13"/>
        <v>115.328851251336</v>
      </c>
      <c r="AT21" s="3">
        <f t="shared" si="13"/>
        <v>162.17225506496101</v>
      </c>
      <c r="AU21" s="3">
        <f t="shared" si="13"/>
        <v>217.659313372052</v>
      </c>
      <c r="AV21" s="3">
        <f t="shared" si="13"/>
        <v>278.28458388306802</v>
      </c>
      <c r="AW21" s="3">
        <f t="shared" si="13"/>
        <v>339.21656782984599</v>
      </c>
      <c r="AX21" s="3">
        <f t="shared" si="13"/>
        <v>395.79510819244001</v>
      </c>
      <c r="AY21" s="3">
        <f t="shared" si="13"/>
        <v>444.82238917890101</v>
      </c>
      <c r="AZ21" s="3">
        <f t="shared" si="13"/>
        <v>484.983422231681</v>
      </c>
      <c r="BA21" s="3">
        <f t="shared" si="13"/>
        <v>516.46990783154899</v>
      </c>
      <c r="BB21" s="3">
        <f t="shared" si="13"/>
        <v>541.28590284315908</v>
      </c>
      <c r="BC21" s="3">
        <f t="shared" si="13"/>
        <v>560.7744769936171</v>
      </c>
      <c r="BD21" s="3">
        <f t="shared" si="13"/>
        <v>576.26143924428891</v>
      </c>
      <c r="BE21" s="3">
        <f t="shared" si="13"/>
        <v>588.686613132856</v>
      </c>
      <c r="BF21" s="3">
        <f t="shared" si="13"/>
        <v>594.96111336019294</v>
      </c>
      <c r="BG21" s="3">
        <f t="shared" si="13"/>
        <v>601.18725820649399</v>
      </c>
      <c r="BH21" s="3">
        <f t="shared" si="13"/>
        <v>607.34172423767393</v>
      </c>
      <c r="BI21" s="3">
        <f t="shared" si="13"/>
        <v>613.40076773562703</v>
      </c>
      <c r="BJ21" s="3">
        <f t="shared" si="13"/>
        <v>619.33923941621401</v>
      </c>
      <c r="BK21" s="3">
        <f t="shared" si="13"/>
        <v>625.13088916634092</v>
      </c>
      <c r="BL21" s="3">
        <f t="shared" si="13"/>
        <v>630.74882289733205</v>
      </c>
      <c r="BM21" s="3">
        <f t="shared" si="13"/>
        <v>636.16555569580999</v>
      </c>
      <c r="BN21" s="3">
        <f t="shared" si="13"/>
        <v>641.35356997910901</v>
      </c>
      <c r="BO21" s="3">
        <f t="shared" si="13"/>
        <v>646.28469154670302</v>
      </c>
      <c r="BP21" s="3">
        <f t="shared" si="13"/>
        <v>650.92988472204502</v>
      </c>
      <c r="BQ21" s="3">
        <f t="shared" si="13"/>
        <v>655.72716940704606</v>
      </c>
      <c r="BR21" s="3">
        <f t="shared" si="13"/>
        <v>660.67944127051908</v>
      </c>
      <c r="BS21" s="3">
        <f t="shared" ref="BS21:CD24" si="15">CA267</f>
        <v>665.79005336772207</v>
      </c>
      <c r="BT21" s="3">
        <f t="shared" si="15"/>
        <v>671.06254219453297</v>
      </c>
      <c r="BU21" s="3">
        <f t="shared" si="15"/>
        <v>676.49940049009206</v>
      </c>
      <c r="BV21" s="3">
        <f t="shared" si="15"/>
        <v>682.10378447986898</v>
      </c>
      <c r="BW21" s="3">
        <f t="shared" si="15"/>
        <v>687.88000985970598</v>
      </c>
      <c r="BX21" s="3">
        <f t="shared" si="15"/>
        <v>693.83138790044597</v>
      </c>
      <c r="BY21" s="3">
        <f t="shared" si="15"/>
        <v>699.96180800145805</v>
      </c>
      <c r="BZ21" s="3">
        <f t="shared" si="15"/>
        <v>706.27506073641803</v>
      </c>
      <c r="CA21" s="3">
        <f t="shared" si="15"/>
        <v>712.77489449334496</v>
      </c>
      <c r="CB21" s="3">
        <f t="shared" si="15"/>
        <v>719.46563396935608</v>
      </c>
      <c r="CC21" s="3">
        <f t="shared" si="15"/>
        <v>726.35158720977699</v>
      </c>
      <c r="CD21" s="3">
        <f t="shared" si="15"/>
        <v>733.43660736277104</v>
      </c>
    </row>
    <row r="22" spans="3:82" s="3" customFormat="1" x14ac:dyDescent="0.2">
      <c r="D22" s="3" t="s">
        <v>15</v>
      </c>
      <c r="F22" s="3" t="s">
        <v>8</v>
      </c>
      <c r="G22" s="3">
        <f>O268</f>
        <v>0</v>
      </c>
      <c r="H22" s="3">
        <f t="shared" ref="H22:BS25" si="16">P268</f>
        <v>0</v>
      </c>
      <c r="I22" s="3">
        <f t="shared" si="16"/>
        <v>0</v>
      </c>
      <c r="J22" s="3">
        <f t="shared" si="16"/>
        <v>0</v>
      </c>
      <c r="K22" s="3">
        <f t="shared" si="16"/>
        <v>0</v>
      </c>
      <c r="L22" s="3">
        <f t="shared" si="16"/>
        <v>0</v>
      </c>
      <c r="M22" s="3">
        <f t="shared" si="16"/>
        <v>0</v>
      </c>
      <c r="N22" s="3">
        <f t="shared" si="16"/>
        <v>0</v>
      </c>
      <c r="O22" s="3">
        <f t="shared" si="16"/>
        <v>0</v>
      </c>
      <c r="P22" s="3">
        <f t="shared" si="16"/>
        <v>0</v>
      </c>
      <c r="Q22" s="3">
        <f t="shared" si="16"/>
        <v>0</v>
      </c>
      <c r="R22" s="3">
        <f t="shared" si="16"/>
        <v>0</v>
      </c>
      <c r="S22" s="3">
        <f t="shared" si="16"/>
        <v>0</v>
      </c>
      <c r="T22" s="3">
        <f t="shared" si="16"/>
        <v>0</v>
      </c>
      <c r="U22" s="3">
        <f t="shared" si="16"/>
        <v>0</v>
      </c>
      <c r="V22" s="3">
        <f t="shared" si="16"/>
        <v>0</v>
      </c>
      <c r="W22" s="3">
        <f t="shared" si="16"/>
        <v>0</v>
      </c>
      <c r="X22" s="3">
        <f t="shared" si="16"/>
        <v>0</v>
      </c>
      <c r="Y22" s="3">
        <f t="shared" si="16"/>
        <v>0</v>
      </c>
      <c r="Z22" s="3">
        <f t="shared" si="16"/>
        <v>0</v>
      </c>
      <c r="AA22" s="3">
        <f t="shared" si="16"/>
        <v>0</v>
      </c>
      <c r="AB22" s="3">
        <f t="shared" si="16"/>
        <v>0</v>
      </c>
      <c r="AC22" s="3">
        <f t="shared" si="16"/>
        <v>0</v>
      </c>
      <c r="AD22" s="3">
        <f t="shared" si="16"/>
        <v>0</v>
      </c>
      <c r="AE22" s="3">
        <f t="shared" si="16"/>
        <v>0</v>
      </c>
      <c r="AF22" s="3">
        <f t="shared" si="16"/>
        <v>0</v>
      </c>
      <c r="AG22" s="3">
        <f t="shared" si="16"/>
        <v>0</v>
      </c>
      <c r="AH22" s="3">
        <f t="shared" si="16"/>
        <v>0</v>
      </c>
      <c r="AI22" s="3">
        <f t="shared" si="16"/>
        <v>0</v>
      </c>
      <c r="AJ22" s="3">
        <f t="shared" si="16"/>
        <v>0</v>
      </c>
      <c r="AK22" s="3">
        <f t="shared" si="16"/>
        <v>0</v>
      </c>
      <c r="AL22" s="3">
        <f t="shared" si="16"/>
        <v>0</v>
      </c>
      <c r="AM22" s="3">
        <f t="shared" si="16"/>
        <v>3.4384740620608298E-2</v>
      </c>
      <c r="AN22" s="3">
        <f t="shared" si="16"/>
        <v>8.7112219086085407E-2</v>
      </c>
      <c r="AO22" s="3">
        <f t="shared" si="16"/>
        <v>0.167290809964</v>
      </c>
      <c r="AP22" s="3">
        <f t="shared" si="16"/>
        <v>0.28589976398479999</v>
      </c>
      <c r="AQ22" s="3">
        <f t="shared" si="16"/>
        <v>0.45844408321680002</v>
      </c>
      <c r="AR22" s="3">
        <f t="shared" si="16"/>
        <v>0.70221292665560009</v>
      </c>
      <c r="AS22" s="3">
        <f t="shared" si="16"/>
        <v>1.0313544935939001</v>
      </c>
      <c r="AT22" s="3">
        <f t="shared" si="16"/>
        <v>1.4502622906821001</v>
      </c>
      <c r="AU22" s="3">
        <f t="shared" si="16"/>
        <v>1.9464679348070999</v>
      </c>
      <c r="AV22" s="3">
        <f t="shared" si="16"/>
        <v>2.4886232106852</v>
      </c>
      <c r="AW22" s="3">
        <f t="shared" si="16"/>
        <v>3.0335213412508</v>
      </c>
      <c r="AX22" s="3">
        <f t="shared" si="16"/>
        <v>3.5394878120066</v>
      </c>
      <c r="AY22" s="3">
        <f t="shared" si="16"/>
        <v>3.9779254276199998</v>
      </c>
      <c r="AZ22" s="3">
        <f t="shared" si="16"/>
        <v>4.3370746037104002</v>
      </c>
      <c r="BA22" s="3">
        <f t="shared" si="16"/>
        <v>4.6186496654453002</v>
      </c>
      <c r="BB22" s="3">
        <f t="shared" si="16"/>
        <v>4.8405723473288003</v>
      </c>
      <c r="BC22" s="3">
        <f t="shared" si="16"/>
        <v>5.0148533559901001</v>
      </c>
      <c r="BD22" s="3">
        <f t="shared" si="16"/>
        <v>5.1533490397330004</v>
      </c>
      <c r="BE22" s="3">
        <f t="shared" si="16"/>
        <v>5.2644639843857002</v>
      </c>
      <c r="BF22" s="3">
        <f t="shared" si="16"/>
        <v>5.3205751303335003</v>
      </c>
      <c r="BG22" s="3">
        <f t="shared" si="16"/>
        <v>5.3762538472835999</v>
      </c>
      <c r="BH22" s="3">
        <f t="shared" si="16"/>
        <v>5.43129156012</v>
      </c>
      <c r="BI22" s="3">
        <f t="shared" si="16"/>
        <v>5.4854759352410998</v>
      </c>
      <c r="BJ22" s="3">
        <f t="shared" si="16"/>
        <v>5.5385820694510999</v>
      </c>
      <c r="BK22" s="3">
        <f t="shared" si="16"/>
        <v>5.5903752151412993</v>
      </c>
      <c r="BL22" s="3">
        <f t="shared" si="16"/>
        <v>5.6406148658036006</v>
      </c>
      <c r="BM22" s="3">
        <f t="shared" si="16"/>
        <v>5.6890552313470986</v>
      </c>
      <c r="BN22" s="3">
        <f t="shared" si="16"/>
        <v>5.7354502295270002</v>
      </c>
      <c r="BO22" s="3">
        <f t="shared" si="16"/>
        <v>5.7795479061448001</v>
      </c>
      <c r="BP22" s="3">
        <f t="shared" si="16"/>
        <v>5.8210886030565998</v>
      </c>
      <c r="BQ22" s="3">
        <f t="shared" si="16"/>
        <v>5.8639894128996</v>
      </c>
      <c r="BR22" s="3">
        <f t="shared" si="16"/>
        <v>5.9082762308507997</v>
      </c>
      <c r="BS22" s="3">
        <f t="shared" si="16"/>
        <v>5.9539790423699994</v>
      </c>
      <c r="BT22" s="3">
        <f t="shared" si="15"/>
        <v>6.0011294733760998</v>
      </c>
      <c r="BU22" s="3">
        <f t="shared" si="15"/>
        <v>6.0497498157561997</v>
      </c>
      <c r="BV22" s="3">
        <f t="shared" si="15"/>
        <v>6.0998682947749003</v>
      </c>
      <c r="BW22" s="3">
        <f t="shared" si="15"/>
        <v>6.1515235045239001</v>
      </c>
      <c r="BX22" s="3">
        <f t="shared" si="15"/>
        <v>6.2047450567964999</v>
      </c>
      <c r="BY22" s="3">
        <f t="shared" si="15"/>
        <v>6.259567733431</v>
      </c>
      <c r="BZ22" s="3">
        <f t="shared" si="15"/>
        <v>6.3160254324954996</v>
      </c>
      <c r="CA22" s="3">
        <f t="shared" si="15"/>
        <v>6.3741516748026994</v>
      </c>
      <c r="CB22" s="3">
        <f t="shared" si="15"/>
        <v>6.4339851349402997</v>
      </c>
      <c r="CC22" s="3">
        <f t="shared" si="15"/>
        <v>6.4955643385836002</v>
      </c>
      <c r="CD22" s="3">
        <f t="shared" si="15"/>
        <v>6.5589237433875001</v>
      </c>
    </row>
    <row r="23" spans="3:82" s="3" customFormat="1" x14ac:dyDescent="0.2">
      <c r="D23" s="3" t="s">
        <v>17</v>
      </c>
      <c r="F23" s="3" t="s">
        <v>6</v>
      </c>
      <c r="G23" s="3">
        <f>O269</f>
        <v>0</v>
      </c>
      <c r="H23" s="3">
        <f t="shared" si="16"/>
        <v>0</v>
      </c>
      <c r="I23" s="3">
        <f t="shared" si="16"/>
        <v>0</v>
      </c>
      <c r="J23" s="3">
        <f t="shared" si="16"/>
        <v>0</v>
      </c>
      <c r="K23" s="3">
        <f t="shared" si="16"/>
        <v>0</v>
      </c>
      <c r="L23" s="3">
        <f t="shared" si="16"/>
        <v>0</v>
      </c>
      <c r="M23" s="3">
        <f t="shared" si="16"/>
        <v>0</v>
      </c>
      <c r="N23" s="3">
        <f t="shared" si="16"/>
        <v>0</v>
      </c>
      <c r="O23" s="3">
        <f t="shared" si="16"/>
        <v>0</v>
      </c>
      <c r="P23" s="3">
        <f t="shared" si="16"/>
        <v>0</v>
      </c>
      <c r="Q23" s="3">
        <f t="shared" si="16"/>
        <v>0</v>
      </c>
      <c r="R23" s="3">
        <f t="shared" si="16"/>
        <v>0</v>
      </c>
      <c r="S23" s="3">
        <f t="shared" si="16"/>
        <v>0</v>
      </c>
      <c r="T23" s="3">
        <f t="shared" si="16"/>
        <v>0</v>
      </c>
      <c r="U23" s="3">
        <f t="shared" si="16"/>
        <v>0</v>
      </c>
      <c r="V23" s="3">
        <f t="shared" si="16"/>
        <v>0</v>
      </c>
      <c r="W23" s="3">
        <f t="shared" si="16"/>
        <v>0</v>
      </c>
      <c r="X23" s="3">
        <f t="shared" si="16"/>
        <v>0</v>
      </c>
      <c r="Y23" s="3">
        <f t="shared" si="16"/>
        <v>0</v>
      </c>
      <c r="Z23" s="3">
        <f t="shared" si="16"/>
        <v>0</v>
      </c>
      <c r="AA23" s="3">
        <f t="shared" si="16"/>
        <v>0</v>
      </c>
      <c r="AB23" s="3">
        <f t="shared" si="16"/>
        <v>0</v>
      </c>
      <c r="AC23" s="3">
        <f t="shared" si="16"/>
        <v>0</v>
      </c>
      <c r="AD23" s="3">
        <f t="shared" si="16"/>
        <v>0</v>
      </c>
      <c r="AE23" s="3">
        <f t="shared" si="16"/>
        <v>0</v>
      </c>
      <c r="AF23" s="3">
        <f t="shared" si="16"/>
        <v>2.0530815363860571</v>
      </c>
      <c r="AG23" s="3">
        <f t="shared" si="16"/>
        <v>1.7731667372451809</v>
      </c>
      <c r="AH23" s="3">
        <f t="shared" si="16"/>
        <v>1.768813229018976</v>
      </c>
      <c r="AI23" s="3">
        <f t="shared" si="16"/>
        <v>1.7672423767600931</v>
      </c>
      <c r="AJ23" s="3">
        <f t="shared" si="16"/>
        <v>1.763953917310169</v>
      </c>
      <c r="AK23" s="3">
        <f t="shared" si="16"/>
        <v>1.7591882032896971</v>
      </c>
      <c r="AL23" s="3">
        <f t="shared" si="16"/>
        <v>1.752702993992191</v>
      </c>
      <c r="AM23" s="3">
        <f t="shared" si="16"/>
        <v>1.752972929304389</v>
      </c>
      <c r="AN23" s="3">
        <f t="shared" si="16"/>
        <v>1.745571795429413</v>
      </c>
      <c r="AO23" s="3">
        <f t="shared" si="16"/>
        <v>1.737651847466366</v>
      </c>
      <c r="AP23" s="3">
        <f t="shared" si="16"/>
        <v>1.710740636928497</v>
      </c>
      <c r="AQ23" s="3">
        <f t="shared" si="16"/>
        <v>1.676498278752619</v>
      </c>
      <c r="AR23" s="3">
        <f t="shared" si="16"/>
        <v>1.62909872162012</v>
      </c>
      <c r="AS23" s="3">
        <f t="shared" si="16"/>
        <v>1.560801124953449</v>
      </c>
      <c r="AT23" s="3">
        <f t="shared" si="16"/>
        <v>1.467406732366934</v>
      </c>
      <c r="AU23" s="3">
        <f t="shared" si="16"/>
        <v>1.3506739931478571</v>
      </c>
      <c r="AV23" s="3">
        <f t="shared" si="16"/>
        <v>1.219027761191495</v>
      </c>
      <c r="AW23" s="3">
        <f t="shared" si="16"/>
        <v>1.085171459634747</v>
      </c>
      <c r="AX23" s="3">
        <f t="shared" si="16"/>
        <v>0.96152281750877766</v>
      </c>
      <c r="AY23" s="3">
        <f t="shared" si="16"/>
        <v>0.85628971806768195</v>
      </c>
      <c r="AZ23" s="3">
        <f t="shared" si="16"/>
        <v>0.77267430218402844</v>
      </c>
      <c r="BA23" s="3">
        <f t="shared" si="16"/>
        <v>0.70910542385732045</v>
      </c>
      <c r="BB23" s="3">
        <f t="shared" si="16"/>
        <v>0.66540372013318694</v>
      </c>
      <c r="BC23" s="3">
        <f t="shared" si="16"/>
        <v>0.63587197647464333</v>
      </c>
      <c r="BD23" s="3">
        <f t="shared" si="16"/>
        <v>0.61606108991105424</v>
      </c>
      <c r="BE23" s="3">
        <f t="shared" si="16"/>
        <v>0.60280870713906742</v>
      </c>
      <c r="BF23" s="3">
        <f t="shared" si="16"/>
        <v>0.60407408077858871</v>
      </c>
      <c r="BG23" s="3">
        <f t="shared" si="16"/>
        <v>0.60519421687368757</v>
      </c>
      <c r="BH23" s="3">
        <f t="shared" si="16"/>
        <v>0.6061476889388836</v>
      </c>
      <c r="BI23" s="3">
        <f t="shared" si="16"/>
        <v>0.6069424648469548</v>
      </c>
      <c r="BJ23" s="3">
        <f t="shared" si="16"/>
        <v>0.60754375222999157</v>
      </c>
      <c r="BK23" s="3">
        <f t="shared" si="16"/>
        <v>0.60789298554057902</v>
      </c>
      <c r="BL23" s="3">
        <f t="shared" si="16"/>
        <v>0.60793693470550836</v>
      </c>
      <c r="BM23" s="3">
        <f t="shared" si="16"/>
        <v>0.6076273471141842</v>
      </c>
      <c r="BN23" s="3">
        <f t="shared" si="16"/>
        <v>0.60695577348070484</v>
      </c>
      <c r="BO23" s="3">
        <f t="shared" si="16"/>
        <v>0.60590348026792262</v>
      </c>
      <c r="BP23" s="3">
        <f t="shared" si="16"/>
        <v>0.60442039582211748</v>
      </c>
      <c r="BQ23" s="3">
        <f t="shared" si="16"/>
        <v>0.60316511668817285</v>
      </c>
      <c r="BR23" s="3">
        <f t="shared" si="16"/>
        <v>0.60214377400729446</v>
      </c>
      <c r="BS23" s="3">
        <f t="shared" si="16"/>
        <v>0.60138780391310309</v>
      </c>
      <c r="BT23" s="3">
        <f t="shared" si="15"/>
        <v>0.60093424884527469</v>
      </c>
      <c r="BU23" s="3">
        <f t="shared" si="15"/>
        <v>0.60073820479075013</v>
      </c>
      <c r="BV23" s="3">
        <f t="shared" si="15"/>
        <v>0.60079411359572332</v>
      </c>
      <c r="BW23" s="3">
        <f t="shared" si="15"/>
        <v>0.60117083740843624</v>
      </c>
      <c r="BX23" s="3">
        <f t="shared" si="15"/>
        <v>0.60185741200821241</v>
      </c>
      <c r="BY23" s="3">
        <f t="shared" si="15"/>
        <v>0.60287543751198436</v>
      </c>
      <c r="BZ23" s="3">
        <f t="shared" si="15"/>
        <v>0.6042306430355856</v>
      </c>
      <c r="CA23" s="3">
        <f t="shared" si="15"/>
        <v>0.605916653571685</v>
      </c>
      <c r="CB23" s="3">
        <f t="shared" si="15"/>
        <v>0.60795873546677226</v>
      </c>
      <c r="CC23" s="3">
        <f t="shared" si="15"/>
        <v>0.61037130795950589</v>
      </c>
      <c r="CD23" s="3">
        <f t="shared" si="15"/>
        <v>0.61312645513896646</v>
      </c>
    </row>
    <row r="24" spans="3:82" s="3" customFormat="1" x14ac:dyDescent="0.2">
      <c r="D24" s="3" t="s">
        <v>17</v>
      </c>
      <c r="F24" s="3" t="s">
        <v>7</v>
      </c>
      <c r="G24" s="3">
        <f>O270</f>
        <v>0</v>
      </c>
      <c r="H24" s="3">
        <f t="shared" si="16"/>
        <v>0</v>
      </c>
      <c r="I24" s="3">
        <f t="shared" si="16"/>
        <v>0</v>
      </c>
      <c r="J24" s="3">
        <f t="shared" si="16"/>
        <v>0</v>
      </c>
      <c r="K24" s="3">
        <f t="shared" si="16"/>
        <v>0</v>
      </c>
      <c r="L24" s="3">
        <f t="shared" si="16"/>
        <v>0</v>
      </c>
      <c r="M24" s="3">
        <f t="shared" si="16"/>
        <v>0</v>
      </c>
      <c r="N24" s="3">
        <f t="shared" si="16"/>
        <v>0</v>
      </c>
      <c r="O24" s="3">
        <f t="shared" si="16"/>
        <v>0</v>
      </c>
      <c r="P24" s="3">
        <f t="shared" si="16"/>
        <v>0</v>
      </c>
      <c r="Q24" s="3">
        <f t="shared" si="16"/>
        <v>0</v>
      </c>
      <c r="R24" s="3">
        <f t="shared" si="16"/>
        <v>0</v>
      </c>
      <c r="S24" s="3">
        <f t="shared" si="16"/>
        <v>0</v>
      </c>
      <c r="T24" s="3">
        <f t="shared" si="16"/>
        <v>0</v>
      </c>
      <c r="U24" s="3">
        <f t="shared" si="16"/>
        <v>0</v>
      </c>
      <c r="V24" s="3">
        <f t="shared" si="16"/>
        <v>0</v>
      </c>
      <c r="W24" s="3">
        <f t="shared" si="16"/>
        <v>0</v>
      </c>
      <c r="X24" s="3">
        <f t="shared" si="16"/>
        <v>0</v>
      </c>
      <c r="Y24" s="3">
        <f t="shared" si="16"/>
        <v>0</v>
      </c>
      <c r="Z24" s="3">
        <f t="shared" si="16"/>
        <v>0</v>
      </c>
      <c r="AA24" s="3">
        <f t="shared" si="16"/>
        <v>0</v>
      </c>
      <c r="AB24" s="3">
        <f t="shared" si="16"/>
        <v>0</v>
      </c>
      <c r="AC24" s="3">
        <f t="shared" si="16"/>
        <v>0</v>
      </c>
      <c r="AD24" s="3">
        <f t="shared" si="16"/>
        <v>0</v>
      </c>
      <c r="AE24" s="3">
        <f t="shared" si="16"/>
        <v>0</v>
      </c>
      <c r="AF24" s="3">
        <f t="shared" si="16"/>
        <v>386.62702530482119</v>
      </c>
      <c r="AG24" s="3">
        <f t="shared" si="16"/>
        <v>336.08441656743202</v>
      </c>
      <c r="AH24" s="3">
        <f t="shared" si="16"/>
        <v>334.97758720706042</v>
      </c>
      <c r="AI24" s="3">
        <f t="shared" si="16"/>
        <v>334.81089403121922</v>
      </c>
      <c r="AJ24" s="3">
        <f t="shared" si="16"/>
        <v>334.33148047500072</v>
      </c>
      <c r="AK24" s="3">
        <f t="shared" si="16"/>
        <v>333.58329402450158</v>
      </c>
      <c r="AL24" s="3">
        <f t="shared" si="16"/>
        <v>332.52206793886211</v>
      </c>
      <c r="AM24" s="3">
        <f t="shared" si="16"/>
        <v>334.56872383568901</v>
      </c>
      <c r="AN24" s="3">
        <f t="shared" si="16"/>
        <v>336.1091191382896</v>
      </c>
      <c r="AO24" s="3">
        <f t="shared" si="16"/>
        <v>338.93180334826161</v>
      </c>
      <c r="AP24" s="3">
        <f t="shared" si="16"/>
        <v>340.06991048546331</v>
      </c>
      <c r="AQ24" s="3">
        <f t="shared" si="16"/>
        <v>342.49352115815111</v>
      </c>
      <c r="AR24" s="3">
        <f t="shared" si="16"/>
        <v>345.97824688716139</v>
      </c>
      <c r="AS24" s="3">
        <f t="shared" si="16"/>
        <v>349.76346134310307</v>
      </c>
      <c r="AT24" s="3">
        <f t="shared" si="16"/>
        <v>353.24584984959063</v>
      </c>
      <c r="AU24" s="3">
        <f t="shared" si="16"/>
        <v>356.06798398494408</v>
      </c>
      <c r="AV24" s="3">
        <f t="shared" si="16"/>
        <v>358.14877935961181</v>
      </c>
      <c r="AW24" s="3">
        <f t="shared" si="16"/>
        <v>359.5974508212019</v>
      </c>
      <c r="AX24" s="3">
        <f t="shared" si="16"/>
        <v>360.54754439406048</v>
      </c>
      <c r="AY24" s="3">
        <f t="shared" si="16"/>
        <v>361.01775780160011</v>
      </c>
      <c r="AZ24" s="3">
        <f t="shared" si="16"/>
        <v>361.08065496994658</v>
      </c>
      <c r="BA24" s="3">
        <f t="shared" si="16"/>
        <v>360.52952454310969</v>
      </c>
      <c r="BB24" s="3">
        <f t="shared" si="16"/>
        <v>361.09061851409689</v>
      </c>
      <c r="BC24" s="3">
        <f t="shared" si="16"/>
        <v>362.0509271576903</v>
      </c>
      <c r="BD24" s="3">
        <f t="shared" si="16"/>
        <v>362.9643565999915</v>
      </c>
      <c r="BE24" s="3">
        <f t="shared" si="16"/>
        <v>363.65617412029269</v>
      </c>
      <c r="BF24" s="3">
        <f t="shared" si="16"/>
        <v>364.35338925911537</v>
      </c>
      <c r="BG24" s="3">
        <f t="shared" si="16"/>
        <v>364.96176917502243</v>
      </c>
      <c r="BH24" s="3">
        <f t="shared" si="16"/>
        <v>365.46841941915108</v>
      </c>
      <c r="BI24" s="3">
        <f t="shared" si="16"/>
        <v>365.87855980244541</v>
      </c>
      <c r="BJ24" s="3">
        <f t="shared" si="16"/>
        <v>366.17108557822041</v>
      </c>
      <c r="BK24" s="3">
        <f t="shared" si="16"/>
        <v>366.31026065899039</v>
      </c>
      <c r="BL24" s="3">
        <f t="shared" si="16"/>
        <v>366.26364437032441</v>
      </c>
      <c r="BM24" s="3">
        <f t="shared" si="16"/>
        <v>366.00187019502459</v>
      </c>
      <c r="BN24" s="3">
        <f t="shared" si="16"/>
        <v>365.52009335652951</v>
      </c>
      <c r="BO24" s="3">
        <f t="shared" si="16"/>
        <v>364.80714192724651</v>
      </c>
      <c r="BP24" s="3">
        <f t="shared" si="16"/>
        <v>363.83254901952978</v>
      </c>
      <c r="BQ24" s="3">
        <f t="shared" si="16"/>
        <v>362.99630653557477</v>
      </c>
      <c r="BR24" s="3">
        <f t="shared" si="16"/>
        <v>362.30215369899469</v>
      </c>
      <c r="BS24" s="3">
        <f t="shared" si="16"/>
        <v>361.76941319182822</v>
      </c>
      <c r="BT24" s="3">
        <f t="shared" si="15"/>
        <v>361.42085912789969</v>
      </c>
      <c r="BU24" s="3">
        <f t="shared" si="15"/>
        <v>361.22879518230559</v>
      </c>
      <c r="BV24" s="3">
        <f t="shared" si="15"/>
        <v>361.18975583700251</v>
      </c>
      <c r="BW24" s="3">
        <f t="shared" si="15"/>
        <v>361.34610792197242</v>
      </c>
      <c r="BX24" s="3">
        <f t="shared" si="15"/>
        <v>361.69105341704579</v>
      </c>
      <c r="BY24" s="3">
        <f t="shared" si="15"/>
        <v>362.23784838776203</v>
      </c>
      <c r="BZ24" s="3">
        <f t="shared" si="15"/>
        <v>362.98997267161081</v>
      </c>
      <c r="CA24" s="3">
        <f t="shared" si="15"/>
        <v>363.94344976738512</v>
      </c>
      <c r="CB24" s="3">
        <f t="shared" si="15"/>
        <v>365.11378866796809</v>
      </c>
      <c r="CC24" s="3">
        <f t="shared" si="15"/>
        <v>366.50981609267728</v>
      </c>
      <c r="CD24" s="3">
        <f t="shared" si="15"/>
        <v>368.11428363584292</v>
      </c>
    </row>
    <row r="25" spans="3:82" s="3" customFormat="1" x14ac:dyDescent="0.2">
      <c r="D25" s="3" t="s">
        <v>17</v>
      </c>
      <c r="F25" s="3" t="s">
        <v>8</v>
      </c>
      <c r="G25" s="3">
        <f>O271</f>
        <v>0</v>
      </c>
      <c r="H25" s="3">
        <f t="shared" si="16"/>
        <v>0</v>
      </c>
      <c r="I25" s="3">
        <f t="shared" si="16"/>
        <v>0</v>
      </c>
      <c r="J25" s="3">
        <f t="shared" si="16"/>
        <v>0</v>
      </c>
      <c r="K25" s="3">
        <f t="shared" si="16"/>
        <v>0</v>
      </c>
      <c r="L25" s="3">
        <f t="shared" si="16"/>
        <v>0</v>
      </c>
      <c r="M25" s="3">
        <f t="shared" si="16"/>
        <v>0</v>
      </c>
      <c r="N25" s="3">
        <f t="shared" si="16"/>
        <v>0</v>
      </c>
      <c r="O25" s="3">
        <f t="shared" si="16"/>
        <v>0</v>
      </c>
      <c r="P25" s="3">
        <f t="shared" si="16"/>
        <v>0</v>
      </c>
      <c r="Q25" s="3">
        <f t="shared" si="16"/>
        <v>0</v>
      </c>
      <c r="R25" s="3">
        <f t="shared" si="16"/>
        <v>0</v>
      </c>
      <c r="S25" s="3">
        <f t="shared" si="16"/>
        <v>0</v>
      </c>
      <c r="T25" s="3">
        <f t="shared" si="16"/>
        <v>0</v>
      </c>
      <c r="U25" s="3">
        <f t="shared" si="16"/>
        <v>0</v>
      </c>
      <c r="V25" s="3">
        <f t="shared" si="16"/>
        <v>0</v>
      </c>
      <c r="W25" s="3">
        <f t="shared" si="16"/>
        <v>0</v>
      </c>
      <c r="X25" s="3">
        <f t="shared" si="16"/>
        <v>0</v>
      </c>
      <c r="Y25" s="3">
        <f t="shared" si="16"/>
        <v>0</v>
      </c>
      <c r="Z25" s="3">
        <f t="shared" si="16"/>
        <v>0</v>
      </c>
      <c r="AA25" s="3">
        <f t="shared" si="16"/>
        <v>0</v>
      </c>
      <c r="AB25" s="3">
        <f t="shared" si="16"/>
        <v>0</v>
      </c>
      <c r="AC25" s="3">
        <f t="shared" si="16"/>
        <v>0</v>
      </c>
      <c r="AD25" s="3">
        <f t="shared" si="16"/>
        <v>0</v>
      </c>
      <c r="AE25" s="3">
        <f t="shared" si="16"/>
        <v>0</v>
      </c>
      <c r="AF25" s="3">
        <f t="shared" si="16"/>
        <v>2.9789657431088989</v>
      </c>
      <c r="AG25" s="3">
        <f t="shared" si="16"/>
        <v>2.5843593272275349</v>
      </c>
      <c r="AH25" s="3">
        <f t="shared" si="16"/>
        <v>2.576515725380915</v>
      </c>
      <c r="AI25" s="3">
        <f t="shared" si="16"/>
        <v>2.574923374877554</v>
      </c>
      <c r="AJ25" s="3">
        <f t="shared" si="16"/>
        <v>2.5708959135662011</v>
      </c>
      <c r="AK25" s="3">
        <f t="shared" si="16"/>
        <v>2.564775092943</v>
      </c>
      <c r="AL25" s="3">
        <f t="shared" si="16"/>
        <v>2.5562166150671</v>
      </c>
      <c r="AM25" s="3">
        <f t="shared" si="16"/>
        <v>2.5652385838249998</v>
      </c>
      <c r="AN25" s="3">
        <f t="shared" si="16"/>
        <v>2.5671186092916001</v>
      </c>
      <c r="AO25" s="3">
        <f t="shared" si="16"/>
        <v>2.5740912734918</v>
      </c>
      <c r="AP25" s="3">
        <f t="shared" si="16"/>
        <v>2.5615309047335999</v>
      </c>
      <c r="AQ25" s="3">
        <f t="shared" si="16"/>
        <v>2.5496033223242001</v>
      </c>
      <c r="AR25" s="3">
        <f t="shared" si="16"/>
        <v>2.5335654524355999</v>
      </c>
      <c r="AS25" s="3">
        <f t="shared" si="16"/>
        <v>2.5051411272984998</v>
      </c>
      <c r="AT25" s="3">
        <f t="shared" si="16"/>
        <v>2.4590326777563001</v>
      </c>
      <c r="AU25" s="3">
        <f t="shared" si="16"/>
        <v>2.3948731248483002</v>
      </c>
      <c r="AV25" s="3">
        <f t="shared" si="16"/>
        <v>2.3178182837233998</v>
      </c>
      <c r="AW25" s="3">
        <f t="shared" si="16"/>
        <v>2.2366232717651</v>
      </c>
      <c r="AX25" s="3">
        <f t="shared" si="16"/>
        <v>2.1599594615198998</v>
      </c>
      <c r="AY25" s="3">
        <f t="shared" si="16"/>
        <v>2.0932629632108002</v>
      </c>
      <c r="AZ25" s="3">
        <f t="shared" si="16"/>
        <v>2.0389324812303999</v>
      </c>
      <c r="BA25" s="3">
        <f t="shared" si="16"/>
        <v>1.9950668813049</v>
      </c>
      <c r="BB25" s="3">
        <f t="shared" si="16"/>
        <v>1.9688920859514001</v>
      </c>
      <c r="BC25" s="3">
        <f t="shared" si="16"/>
        <v>1.9536637575906</v>
      </c>
      <c r="BD25" s="3">
        <f t="shared" si="16"/>
        <v>1.9445822762274001</v>
      </c>
      <c r="BE25" s="3">
        <f t="shared" si="16"/>
        <v>1.9388410130641001</v>
      </c>
      <c r="BF25" s="3">
        <f t="shared" si="16"/>
        <v>1.9426106177589</v>
      </c>
      <c r="BG25" s="3">
        <f t="shared" si="16"/>
        <v>1.9459075599735001</v>
      </c>
      <c r="BH25" s="3">
        <f t="shared" si="16"/>
        <v>1.9486630677196</v>
      </c>
      <c r="BI25" s="3">
        <f t="shared" si="16"/>
        <v>1.9509046434202999</v>
      </c>
      <c r="BJ25" s="3">
        <f t="shared" si="16"/>
        <v>1.9525198581742</v>
      </c>
      <c r="BK25" s="3">
        <f t="shared" si="16"/>
        <v>1.9533185052019</v>
      </c>
      <c r="BL25" s="3">
        <f t="shared" si="16"/>
        <v>1.9531278865587001</v>
      </c>
      <c r="BM25" s="3">
        <f t="shared" si="16"/>
        <v>1.9517916376868001</v>
      </c>
      <c r="BN25" s="3">
        <f t="shared" si="16"/>
        <v>1.9492837286399001</v>
      </c>
      <c r="BO25" s="3">
        <f t="shared" si="16"/>
        <v>1.9455444935171999</v>
      </c>
      <c r="BP25" s="3">
        <f t="shared" si="16"/>
        <v>1.9404117034849</v>
      </c>
      <c r="BQ25" s="3">
        <f t="shared" si="16"/>
        <v>1.9360158013021</v>
      </c>
      <c r="BR25" s="3">
        <f t="shared" si="16"/>
        <v>1.9323766906530999</v>
      </c>
      <c r="BS25" s="3">
        <f t="shared" ref="BS25:CD28" si="17">CA271</f>
        <v>1.9295971071478999</v>
      </c>
      <c r="BT25" s="3">
        <f t="shared" si="17"/>
        <v>1.927798132882</v>
      </c>
      <c r="BU25" s="3">
        <f t="shared" si="17"/>
        <v>1.9268325850913</v>
      </c>
      <c r="BV25" s="3">
        <f t="shared" si="17"/>
        <v>1.9266820763496999</v>
      </c>
      <c r="BW25" s="3">
        <f t="shared" si="17"/>
        <v>1.9275718334567999</v>
      </c>
      <c r="BX25" s="3">
        <f t="shared" si="17"/>
        <v>1.9294657580554</v>
      </c>
      <c r="BY25" s="3">
        <f t="shared" si="17"/>
        <v>1.9324343466647</v>
      </c>
      <c r="BZ25" s="3">
        <f t="shared" si="17"/>
        <v>1.9364961333971999</v>
      </c>
      <c r="CA25" s="3">
        <f t="shared" si="17"/>
        <v>1.9416300209223001</v>
      </c>
      <c r="CB25" s="3">
        <f t="shared" si="17"/>
        <v>1.9479184846605</v>
      </c>
      <c r="CC25" s="3">
        <f t="shared" si="17"/>
        <v>1.9554084830645999</v>
      </c>
      <c r="CD25" s="3">
        <f t="shared" si="17"/>
        <v>1.964008378675</v>
      </c>
    </row>
    <row r="26" spans="3:82" s="3" customFormat="1" x14ac:dyDescent="0.2">
      <c r="D26" s="3" t="s">
        <v>18</v>
      </c>
      <c r="F26" s="3" t="s">
        <v>6</v>
      </c>
      <c r="G26" s="3">
        <f>O272</f>
        <v>0</v>
      </c>
      <c r="H26" s="3">
        <f t="shared" ref="H26:BS29" si="18">P272</f>
        <v>0</v>
      </c>
      <c r="I26" s="3">
        <f t="shared" si="18"/>
        <v>0</v>
      </c>
      <c r="J26" s="3">
        <f t="shared" si="18"/>
        <v>0</v>
      </c>
      <c r="K26" s="3">
        <f t="shared" si="18"/>
        <v>0</v>
      </c>
      <c r="L26" s="3">
        <f t="shared" si="18"/>
        <v>0</v>
      </c>
      <c r="M26" s="3">
        <f t="shared" si="18"/>
        <v>0</v>
      </c>
      <c r="N26" s="3">
        <f t="shared" si="18"/>
        <v>0</v>
      </c>
      <c r="O26" s="3">
        <f t="shared" si="18"/>
        <v>0</v>
      </c>
      <c r="P26" s="3">
        <f t="shared" si="18"/>
        <v>0</v>
      </c>
      <c r="Q26" s="3">
        <f t="shared" si="18"/>
        <v>0</v>
      </c>
      <c r="R26" s="3">
        <f t="shared" si="18"/>
        <v>0</v>
      </c>
      <c r="S26" s="3">
        <f t="shared" si="18"/>
        <v>0</v>
      </c>
      <c r="T26" s="3">
        <f t="shared" si="18"/>
        <v>0</v>
      </c>
      <c r="U26" s="3">
        <f t="shared" si="18"/>
        <v>0</v>
      </c>
      <c r="V26" s="3">
        <f t="shared" si="18"/>
        <v>0</v>
      </c>
      <c r="W26" s="3">
        <f t="shared" si="18"/>
        <v>0</v>
      </c>
      <c r="X26" s="3">
        <f t="shared" si="18"/>
        <v>0</v>
      </c>
      <c r="Y26" s="3">
        <f t="shared" si="18"/>
        <v>0</v>
      </c>
      <c r="Z26" s="3">
        <f t="shared" si="18"/>
        <v>0</v>
      </c>
      <c r="AA26" s="3">
        <f t="shared" si="18"/>
        <v>0</v>
      </c>
      <c r="AB26" s="3">
        <f t="shared" si="18"/>
        <v>0</v>
      </c>
      <c r="AC26" s="3">
        <f t="shared" si="18"/>
        <v>0</v>
      </c>
      <c r="AD26" s="3">
        <f t="shared" si="18"/>
        <v>0</v>
      </c>
      <c r="AE26" s="3">
        <f t="shared" si="18"/>
        <v>0</v>
      </c>
      <c r="AF26" s="3">
        <f t="shared" si="18"/>
        <v>0</v>
      </c>
      <c r="AG26" s="3">
        <f t="shared" si="18"/>
        <v>0</v>
      </c>
      <c r="AH26" s="3">
        <f t="shared" si="18"/>
        <v>0</v>
      </c>
      <c r="AI26" s="3">
        <f t="shared" si="18"/>
        <v>0</v>
      </c>
      <c r="AJ26" s="3">
        <f t="shared" si="18"/>
        <v>0</v>
      </c>
      <c r="AK26" s="3">
        <f t="shared" si="18"/>
        <v>0</v>
      </c>
      <c r="AL26" s="3">
        <f t="shared" si="18"/>
        <v>0</v>
      </c>
      <c r="AM26" s="3">
        <f t="shared" si="18"/>
        <v>0</v>
      </c>
      <c r="AN26" s="3">
        <f t="shared" si="18"/>
        <v>0</v>
      </c>
      <c r="AO26" s="3">
        <f t="shared" si="18"/>
        <v>0</v>
      </c>
      <c r="AP26" s="3">
        <f t="shared" si="18"/>
        <v>0</v>
      </c>
      <c r="AQ26" s="3">
        <f t="shared" si="18"/>
        <v>0</v>
      </c>
      <c r="AR26" s="3">
        <f t="shared" si="18"/>
        <v>0</v>
      </c>
      <c r="AS26" s="3">
        <f t="shared" si="18"/>
        <v>0</v>
      </c>
      <c r="AT26" s="3">
        <f t="shared" si="18"/>
        <v>0</v>
      </c>
      <c r="AU26" s="3">
        <f t="shared" si="18"/>
        <v>0</v>
      </c>
      <c r="AV26" s="3">
        <f t="shared" si="18"/>
        <v>0</v>
      </c>
      <c r="AW26" s="3">
        <f t="shared" si="18"/>
        <v>0</v>
      </c>
      <c r="AX26" s="3">
        <f t="shared" si="18"/>
        <v>0</v>
      </c>
      <c r="AY26" s="3">
        <f t="shared" si="18"/>
        <v>0</v>
      </c>
      <c r="AZ26" s="3">
        <f t="shared" si="18"/>
        <v>0</v>
      </c>
      <c r="BA26" s="3">
        <f t="shared" si="18"/>
        <v>0</v>
      </c>
      <c r="BB26" s="3">
        <f t="shared" si="18"/>
        <v>0</v>
      </c>
      <c r="BC26" s="3">
        <f t="shared" si="18"/>
        <v>0</v>
      </c>
      <c r="BD26" s="3">
        <f t="shared" si="18"/>
        <v>0</v>
      </c>
      <c r="BE26" s="3">
        <f t="shared" si="18"/>
        <v>0</v>
      </c>
      <c r="BF26" s="3">
        <f t="shared" si="18"/>
        <v>0</v>
      </c>
      <c r="BG26" s="3">
        <f t="shared" si="18"/>
        <v>0</v>
      </c>
      <c r="BH26" s="3">
        <f t="shared" si="18"/>
        <v>0</v>
      </c>
      <c r="BI26" s="3">
        <f t="shared" si="18"/>
        <v>0</v>
      </c>
      <c r="BJ26" s="3">
        <f t="shared" si="18"/>
        <v>0</v>
      </c>
      <c r="BK26" s="3">
        <f t="shared" si="18"/>
        <v>0</v>
      </c>
      <c r="BL26" s="3">
        <f t="shared" si="18"/>
        <v>0</v>
      </c>
      <c r="BM26" s="3">
        <f t="shared" si="18"/>
        <v>0</v>
      </c>
      <c r="BN26" s="3">
        <f t="shared" si="18"/>
        <v>0</v>
      </c>
      <c r="BO26" s="3">
        <f t="shared" si="18"/>
        <v>0</v>
      </c>
      <c r="BP26" s="3">
        <f t="shared" si="18"/>
        <v>0</v>
      </c>
      <c r="BQ26" s="3">
        <f t="shared" si="18"/>
        <v>0</v>
      </c>
      <c r="BR26" s="3">
        <f t="shared" si="18"/>
        <v>0</v>
      </c>
      <c r="BS26" s="3">
        <f t="shared" si="18"/>
        <v>0</v>
      </c>
      <c r="BT26" s="3">
        <f t="shared" si="17"/>
        <v>0</v>
      </c>
      <c r="BU26" s="3">
        <f t="shared" si="17"/>
        <v>0</v>
      </c>
      <c r="BV26" s="3">
        <f t="shared" si="17"/>
        <v>0</v>
      </c>
      <c r="BW26" s="3">
        <f t="shared" si="17"/>
        <v>0</v>
      </c>
      <c r="BX26" s="3">
        <f t="shared" si="17"/>
        <v>0</v>
      </c>
      <c r="BY26" s="3">
        <f t="shared" si="17"/>
        <v>0</v>
      </c>
      <c r="BZ26" s="3">
        <f t="shared" si="17"/>
        <v>0</v>
      </c>
      <c r="CA26" s="3">
        <f t="shared" si="17"/>
        <v>0</v>
      </c>
      <c r="CB26" s="3">
        <f t="shared" si="17"/>
        <v>0</v>
      </c>
      <c r="CC26" s="3">
        <f t="shared" si="17"/>
        <v>0</v>
      </c>
      <c r="CD26" s="3">
        <f t="shared" si="17"/>
        <v>0</v>
      </c>
    </row>
    <row r="27" spans="3:82" s="3" customFormat="1" x14ac:dyDescent="0.2">
      <c r="D27" s="3" t="s">
        <v>18</v>
      </c>
      <c r="F27" s="3" t="s">
        <v>7</v>
      </c>
      <c r="G27" s="3">
        <f>O273</f>
        <v>0</v>
      </c>
      <c r="H27" s="3">
        <f t="shared" si="18"/>
        <v>0</v>
      </c>
      <c r="I27" s="3">
        <f t="shared" si="18"/>
        <v>0</v>
      </c>
      <c r="J27" s="3">
        <f t="shared" si="18"/>
        <v>0</v>
      </c>
      <c r="K27" s="3">
        <f t="shared" si="18"/>
        <v>0</v>
      </c>
      <c r="L27" s="3">
        <f t="shared" si="18"/>
        <v>0</v>
      </c>
      <c r="M27" s="3">
        <f t="shared" si="18"/>
        <v>0</v>
      </c>
      <c r="N27" s="3">
        <f t="shared" si="18"/>
        <v>0</v>
      </c>
      <c r="O27" s="3">
        <f t="shared" si="18"/>
        <v>0</v>
      </c>
      <c r="P27" s="3">
        <f t="shared" si="18"/>
        <v>0</v>
      </c>
      <c r="Q27" s="3">
        <f t="shared" si="18"/>
        <v>0</v>
      </c>
      <c r="R27" s="3">
        <f t="shared" si="18"/>
        <v>0</v>
      </c>
      <c r="S27" s="3">
        <f t="shared" si="18"/>
        <v>0</v>
      </c>
      <c r="T27" s="3">
        <f t="shared" si="18"/>
        <v>0</v>
      </c>
      <c r="U27" s="3">
        <f t="shared" si="18"/>
        <v>0</v>
      </c>
      <c r="V27" s="3">
        <f t="shared" si="18"/>
        <v>0</v>
      </c>
      <c r="W27" s="3">
        <f t="shared" si="18"/>
        <v>0</v>
      </c>
      <c r="X27" s="3">
        <f t="shared" si="18"/>
        <v>0</v>
      </c>
      <c r="Y27" s="3">
        <f t="shared" si="18"/>
        <v>0</v>
      </c>
      <c r="Z27" s="3">
        <f t="shared" si="18"/>
        <v>0</v>
      </c>
      <c r="AA27" s="3">
        <f t="shared" si="18"/>
        <v>0</v>
      </c>
      <c r="AB27" s="3">
        <f t="shared" si="18"/>
        <v>0</v>
      </c>
      <c r="AC27" s="3">
        <f t="shared" si="18"/>
        <v>0</v>
      </c>
      <c r="AD27" s="3">
        <f t="shared" si="18"/>
        <v>0</v>
      </c>
      <c r="AE27" s="3">
        <f t="shared" si="18"/>
        <v>0</v>
      </c>
      <c r="AF27" s="3">
        <f t="shared" si="18"/>
        <v>0</v>
      </c>
      <c r="AG27" s="3">
        <f t="shared" si="18"/>
        <v>0</v>
      </c>
      <c r="AH27" s="3">
        <f t="shared" si="18"/>
        <v>0</v>
      </c>
      <c r="AI27" s="3">
        <f t="shared" si="18"/>
        <v>0</v>
      </c>
      <c r="AJ27" s="3">
        <f t="shared" si="18"/>
        <v>0</v>
      </c>
      <c r="AK27" s="3">
        <f t="shared" si="18"/>
        <v>0</v>
      </c>
      <c r="AL27" s="3">
        <f t="shared" si="18"/>
        <v>0</v>
      </c>
      <c r="AM27" s="3">
        <f t="shared" si="18"/>
        <v>0</v>
      </c>
      <c r="AN27" s="3">
        <f t="shared" si="18"/>
        <v>0</v>
      </c>
      <c r="AO27" s="3">
        <f t="shared" si="18"/>
        <v>0</v>
      </c>
      <c r="AP27" s="3">
        <f t="shared" si="18"/>
        <v>0</v>
      </c>
      <c r="AQ27" s="3">
        <f t="shared" si="18"/>
        <v>0</v>
      </c>
      <c r="AR27" s="3">
        <f t="shared" si="18"/>
        <v>0</v>
      </c>
      <c r="AS27" s="3">
        <f t="shared" si="18"/>
        <v>0</v>
      </c>
      <c r="AT27" s="3">
        <f t="shared" si="18"/>
        <v>0</v>
      </c>
      <c r="AU27" s="3">
        <f t="shared" si="18"/>
        <v>0</v>
      </c>
      <c r="AV27" s="3">
        <f t="shared" si="18"/>
        <v>0</v>
      </c>
      <c r="AW27" s="3">
        <f t="shared" si="18"/>
        <v>0</v>
      </c>
      <c r="AX27" s="3">
        <f t="shared" si="18"/>
        <v>0</v>
      </c>
      <c r="AY27" s="3">
        <f t="shared" si="18"/>
        <v>0</v>
      </c>
      <c r="AZ27" s="3">
        <f t="shared" si="18"/>
        <v>0</v>
      </c>
      <c r="BA27" s="3">
        <f t="shared" si="18"/>
        <v>0</v>
      </c>
      <c r="BB27" s="3">
        <f t="shared" si="18"/>
        <v>0</v>
      </c>
      <c r="BC27" s="3">
        <f t="shared" si="18"/>
        <v>0</v>
      </c>
      <c r="BD27" s="3">
        <f t="shared" si="18"/>
        <v>0</v>
      </c>
      <c r="BE27" s="3">
        <f t="shared" si="18"/>
        <v>0</v>
      </c>
      <c r="BF27" s="3">
        <f t="shared" si="18"/>
        <v>0</v>
      </c>
      <c r="BG27" s="3">
        <f t="shared" si="18"/>
        <v>0</v>
      </c>
      <c r="BH27" s="3">
        <f t="shared" si="18"/>
        <v>0</v>
      </c>
      <c r="BI27" s="3">
        <f t="shared" si="18"/>
        <v>0</v>
      </c>
      <c r="BJ27" s="3">
        <f t="shared" si="18"/>
        <v>0</v>
      </c>
      <c r="BK27" s="3">
        <f t="shared" si="18"/>
        <v>0</v>
      </c>
      <c r="BL27" s="3">
        <f t="shared" si="18"/>
        <v>0</v>
      </c>
      <c r="BM27" s="3">
        <f t="shared" si="18"/>
        <v>0</v>
      </c>
      <c r="BN27" s="3">
        <f t="shared" si="18"/>
        <v>0</v>
      </c>
      <c r="BO27" s="3">
        <f t="shared" si="18"/>
        <v>0</v>
      </c>
      <c r="BP27" s="3">
        <f t="shared" si="18"/>
        <v>0</v>
      </c>
      <c r="BQ27" s="3">
        <f t="shared" si="18"/>
        <v>0</v>
      </c>
      <c r="BR27" s="3">
        <f t="shared" si="18"/>
        <v>0</v>
      </c>
      <c r="BS27" s="3">
        <f t="shared" si="18"/>
        <v>0</v>
      </c>
      <c r="BT27" s="3">
        <f t="shared" si="17"/>
        <v>0</v>
      </c>
      <c r="BU27" s="3">
        <f t="shared" si="17"/>
        <v>0</v>
      </c>
      <c r="BV27" s="3">
        <f t="shared" si="17"/>
        <v>0</v>
      </c>
      <c r="BW27" s="3">
        <f t="shared" si="17"/>
        <v>0</v>
      </c>
      <c r="BX27" s="3">
        <f t="shared" si="17"/>
        <v>0</v>
      </c>
      <c r="BY27" s="3">
        <f t="shared" si="17"/>
        <v>0</v>
      </c>
      <c r="BZ27" s="3">
        <f t="shared" si="17"/>
        <v>0</v>
      </c>
      <c r="CA27" s="3">
        <f t="shared" si="17"/>
        <v>0</v>
      </c>
      <c r="CB27" s="3">
        <f t="shared" si="17"/>
        <v>0</v>
      </c>
      <c r="CC27" s="3">
        <f t="shared" si="17"/>
        <v>0</v>
      </c>
      <c r="CD27" s="3">
        <f t="shared" si="17"/>
        <v>0</v>
      </c>
    </row>
    <row r="28" spans="3:82" s="3" customFormat="1" x14ac:dyDescent="0.2">
      <c r="D28" s="3" t="s">
        <v>18</v>
      </c>
      <c r="F28" s="3" t="s">
        <v>8</v>
      </c>
      <c r="G28" s="3">
        <f>O274</f>
        <v>0</v>
      </c>
      <c r="H28" s="3">
        <f t="shared" si="18"/>
        <v>0</v>
      </c>
      <c r="I28" s="3">
        <f t="shared" si="18"/>
        <v>0</v>
      </c>
      <c r="J28" s="3">
        <f t="shared" si="18"/>
        <v>0</v>
      </c>
      <c r="K28" s="3">
        <f t="shared" si="18"/>
        <v>0</v>
      </c>
      <c r="L28" s="3">
        <f t="shared" si="18"/>
        <v>0</v>
      </c>
      <c r="M28" s="3">
        <f t="shared" si="18"/>
        <v>0</v>
      </c>
      <c r="N28" s="3">
        <f t="shared" si="18"/>
        <v>0</v>
      </c>
      <c r="O28" s="3">
        <f t="shared" si="18"/>
        <v>0</v>
      </c>
      <c r="P28" s="3">
        <f t="shared" si="18"/>
        <v>0</v>
      </c>
      <c r="Q28" s="3">
        <f t="shared" si="18"/>
        <v>0</v>
      </c>
      <c r="R28" s="3">
        <f t="shared" si="18"/>
        <v>0</v>
      </c>
      <c r="S28" s="3">
        <f t="shared" si="18"/>
        <v>0</v>
      </c>
      <c r="T28" s="3">
        <f t="shared" si="18"/>
        <v>0</v>
      </c>
      <c r="U28" s="3">
        <f t="shared" si="18"/>
        <v>0</v>
      </c>
      <c r="V28" s="3">
        <f t="shared" si="18"/>
        <v>0</v>
      </c>
      <c r="W28" s="3">
        <f t="shared" si="18"/>
        <v>0</v>
      </c>
      <c r="X28" s="3">
        <f t="shared" si="18"/>
        <v>0</v>
      </c>
      <c r="Y28" s="3">
        <f t="shared" si="18"/>
        <v>0</v>
      </c>
      <c r="Z28" s="3">
        <f t="shared" si="18"/>
        <v>0</v>
      </c>
      <c r="AA28" s="3">
        <f t="shared" si="18"/>
        <v>0</v>
      </c>
      <c r="AB28" s="3">
        <f t="shared" si="18"/>
        <v>0</v>
      </c>
      <c r="AC28" s="3">
        <f t="shared" si="18"/>
        <v>0</v>
      </c>
      <c r="AD28" s="3">
        <f t="shared" si="18"/>
        <v>0</v>
      </c>
      <c r="AE28" s="3">
        <f t="shared" si="18"/>
        <v>0</v>
      </c>
      <c r="AF28" s="3">
        <f t="shared" si="18"/>
        <v>0</v>
      </c>
      <c r="AG28" s="3">
        <f t="shared" si="18"/>
        <v>0</v>
      </c>
      <c r="AH28" s="3">
        <f t="shared" si="18"/>
        <v>0</v>
      </c>
      <c r="AI28" s="3">
        <f t="shared" si="18"/>
        <v>0</v>
      </c>
      <c r="AJ28" s="3">
        <f t="shared" si="18"/>
        <v>0</v>
      </c>
      <c r="AK28" s="3">
        <f t="shared" si="18"/>
        <v>0</v>
      </c>
      <c r="AL28" s="3">
        <f t="shared" si="18"/>
        <v>0</v>
      </c>
      <c r="AM28" s="3">
        <f t="shared" si="18"/>
        <v>0</v>
      </c>
      <c r="AN28" s="3">
        <f t="shared" si="18"/>
        <v>0</v>
      </c>
      <c r="AO28" s="3">
        <f t="shared" si="18"/>
        <v>0</v>
      </c>
      <c r="AP28" s="3">
        <f t="shared" si="18"/>
        <v>0</v>
      </c>
      <c r="AQ28" s="3">
        <f t="shared" si="18"/>
        <v>0</v>
      </c>
      <c r="AR28" s="3">
        <f t="shared" si="18"/>
        <v>0</v>
      </c>
      <c r="AS28" s="3">
        <f t="shared" si="18"/>
        <v>0</v>
      </c>
      <c r="AT28" s="3">
        <f t="shared" si="18"/>
        <v>0</v>
      </c>
      <c r="AU28" s="3">
        <f t="shared" si="18"/>
        <v>0</v>
      </c>
      <c r="AV28" s="3">
        <f t="shared" si="18"/>
        <v>0</v>
      </c>
      <c r="AW28" s="3">
        <f t="shared" si="18"/>
        <v>0</v>
      </c>
      <c r="AX28" s="3">
        <f t="shared" si="18"/>
        <v>0</v>
      </c>
      <c r="AY28" s="3">
        <f t="shared" si="18"/>
        <v>0</v>
      </c>
      <c r="AZ28" s="3">
        <f t="shared" si="18"/>
        <v>0</v>
      </c>
      <c r="BA28" s="3">
        <f t="shared" si="18"/>
        <v>0</v>
      </c>
      <c r="BB28" s="3">
        <f t="shared" si="18"/>
        <v>0</v>
      </c>
      <c r="BC28" s="3">
        <f t="shared" si="18"/>
        <v>0</v>
      </c>
      <c r="BD28" s="3">
        <f t="shared" si="18"/>
        <v>0</v>
      </c>
      <c r="BE28" s="3">
        <f t="shared" si="18"/>
        <v>0</v>
      </c>
      <c r="BF28" s="3">
        <f t="shared" si="18"/>
        <v>0</v>
      </c>
      <c r="BG28" s="3">
        <f t="shared" si="18"/>
        <v>0</v>
      </c>
      <c r="BH28" s="3">
        <f t="shared" si="18"/>
        <v>0</v>
      </c>
      <c r="BI28" s="3">
        <f t="shared" si="18"/>
        <v>0</v>
      </c>
      <c r="BJ28" s="3">
        <f t="shared" si="18"/>
        <v>0</v>
      </c>
      <c r="BK28" s="3">
        <f t="shared" si="18"/>
        <v>0</v>
      </c>
      <c r="BL28" s="3">
        <f t="shared" si="18"/>
        <v>0</v>
      </c>
      <c r="BM28" s="3">
        <f t="shared" si="18"/>
        <v>0</v>
      </c>
      <c r="BN28" s="3">
        <f t="shared" si="18"/>
        <v>0</v>
      </c>
      <c r="BO28" s="3">
        <f t="shared" si="18"/>
        <v>0</v>
      </c>
      <c r="BP28" s="3">
        <f t="shared" si="18"/>
        <v>0</v>
      </c>
      <c r="BQ28" s="3">
        <f t="shared" si="18"/>
        <v>0</v>
      </c>
      <c r="BR28" s="3">
        <f t="shared" si="18"/>
        <v>0</v>
      </c>
      <c r="BS28" s="3">
        <f t="shared" si="18"/>
        <v>0</v>
      </c>
      <c r="BT28" s="3">
        <f t="shared" si="17"/>
        <v>0</v>
      </c>
      <c r="BU28" s="3">
        <f t="shared" si="17"/>
        <v>0</v>
      </c>
      <c r="BV28" s="3">
        <f t="shared" si="17"/>
        <v>0</v>
      </c>
      <c r="BW28" s="3">
        <f t="shared" si="17"/>
        <v>0</v>
      </c>
      <c r="BX28" s="3">
        <f t="shared" si="17"/>
        <v>0</v>
      </c>
      <c r="BY28" s="3">
        <f t="shared" si="17"/>
        <v>0</v>
      </c>
      <c r="BZ28" s="3">
        <f t="shared" si="17"/>
        <v>0</v>
      </c>
      <c r="CA28" s="3">
        <f t="shared" si="17"/>
        <v>0</v>
      </c>
      <c r="CB28" s="3">
        <f t="shared" si="17"/>
        <v>0</v>
      </c>
      <c r="CC28" s="3">
        <f t="shared" si="17"/>
        <v>0</v>
      </c>
      <c r="CD28" s="3">
        <f t="shared" si="17"/>
        <v>0</v>
      </c>
    </row>
    <row r="29" spans="3:82" s="3" customFormat="1" x14ac:dyDescent="0.2">
      <c r="D29" s="3" t="s">
        <v>19</v>
      </c>
      <c r="F29" s="3" t="s">
        <v>6</v>
      </c>
      <c r="G29" s="3">
        <f>O275</f>
        <v>11.6343</v>
      </c>
      <c r="H29" s="3">
        <f t="shared" si="18"/>
        <v>11.6343</v>
      </c>
      <c r="I29" s="3">
        <f t="shared" si="18"/>
        <v>12.945600000000001</v>
      </c>
      <c r="J29" s="3">
        <f t="shared" si="18"/>
        <v>13.587300000000001</v>
      </c>
      <c r="K29" s="3">
        <f t="shared" si="18"/>
        <v>13.0014</v>
      </c>
      <c r="L29" s="3">
        <f t="shared" si="18"/>
        <v>13.6152</v>
      </c>
      <c r="M29" s="3">
        <f t="shared" si="18"/>
        <v>36.660600000000002</v>
      </c>
      <c r="N29" s="3">
        <f t="shared" si="18"/>
        <v>22.375800000000002</v>
      </c>
      <c r="O29" s="3">
        <f t="shared" si="18"/>
        <v>24.663599999999999</v>
      </c>
      <c r="P29" s="3">
        <f t="shared" si="18"/>
        <v>26.9514</v>
      </c>
      <c r="Q29" s="3">
        <f t="shared" si="18"/>
        <v>28.932300000000001</v>
      </c>
      <c r="R29" s="3">
        <f t="shared" si="18"/>
        <v>29.267099999999999</v>
      </c>
      <c r="S29" s="3">
        <f t="shared" si="18"/>
        <v>32.921999999999997</v>
      </c>
      <c r="T29" s="3">
        <f t="shared" si="18"/>
        <v>43.747199999999999</v>
      </c>
      <c r="U29" s="3">
        <f t="shared" si="18"/>
        <v>38.083500000000001</v>
      </c>
      <c r="V29" s="3">
        <f t="shared" si="18"/>
        <v>39.534300000000002</v>
      </c>
      <c r="W29" s="3">
        <f t="shared" si="18"/>
        <v>39.394799999999996</v>
      </c>
      <c r="X29" s="3">
        <f t="shared" si="18"/>
        <v>39.645899999999997</v>
      </c>
      <c r="Y29" s="3">
        <f t="shared" si="18"/>
        <v>78.566399999999987</v>
      </c>
      <c r="Z29" s="3">
        <f t="shared" si="18"/>
        <v>80.826299999999989</v>
      </c>
      <c r="AA29" s="3">
        <f t="shared" si="18"/>
        <v>87.159599999999998</v>
      </c>
      <c r="AB29" s="3">
        <f t="shared" si="18"/>
        <v>81.551699999999997</v>
      </c>
      <c r="AC29" s="3">
        <f t="shared" si="18"/>
        <v>57.473999999999997</v>
      </c>
      <c r="AD29" s="3">
        <f t="shared" si="18"/>
        <v>62.942399999999992</v>
      </c>
      <c r="AE29" s="3">
        <f t="shared" si="18"/>
        <v>1587.0356999999999</v>
      </c>
      <c r="AF29" s="3">
        <f t="shared" si="18"/>
        <v>395.85013302909499</v>
      </c>
      <c r="AG29" s="3">
        <f t="shared" si="18"/>
        <v>395.86936404971692</v>
      </c>
      <c r="AH29" s="3">
        <f t="shared" si="18"/>
        <v>397.70747334773012</v>
      </c>
      <c r="AI29" s="3">
        <f t="shared" si="18"/>
        <v>399.9900298589634</v>
      </c>
      <c r="AJ29" s="3">
        <f t="shared" si="18"/>
        <v>424.16303780345589</v>
      </c>
      <c r="AK29" s="3">
        <f t="shared" si="18"/>
        <v>451.9106485161301</v>
      </c>
      <c r="AL29" s="3">
        <f t="shared" si="18"/>
        <v>484.84887053400308</v>
      </c>
      <c r="AM29" s="3">
        <f t="shared" si="18"/>
        <v>524.10627300736451</v>
      </c>
      <c r="AN29" s="3">
        <f t="shared" si="18"/>
        <v>568.18454590336501</v>
      </c>
      <c r="AO29" s="3">
        <f t="shared" si="18"/>
        <v>615.21172766113466</v>
      </c>
      <c r="AP29" s="3">
        <f t="shared" si="18"/>
        <v>658.98071619871746</v>
      </c>
      <c r="AQ29" s="3">
        <f t="shared" si="18"/>
        <v>685.73214057190603</v>
      </c>
      <c r="AR29" s="3">
        <f t="shared" si="18"/>
        <v>701.20062381092464</v>
      </c>
      <c r="AS29" s="3">
        <f t="shared" si="18"/>
        <v>700.98422814505045</v>
      </c>
      <c r="AT29" s="3">
        <f t="shared" si="18"/>
        <v>681.8546366284321</v>
      </c>
      <c r="AU29" s="3">
        <f t="shared" si="18"/>
        <v>643.52912602630158</v>
      </c>
      <c r="AV29" s="3">
        <f t="shared" si="18"/>
        <v>589.78084939781809</v>
      </c>
      <c r="AW29" s="3">
        <f t="shared" si="18"/>
        <v>527.84419499883745</v>
      </c>
      <c r="AX29" s="3">
        <f t="shared" si="18"/>
        <v>466.08142137557547</v>
      </c>
      <c r="AY29" s="3">
        <f t="shared" si="18"/>
        <v>411.36713912781522</v>
      </c>
      <c r="AZ29" s="3">
        <f t="shared" si="18"/>
        <v>365.89919842068008</v>
      </c>
      <c r="BA29" s="3">
        <f t="shared" si="18"/>
        <v>331.35468597907243</v>
      </c>
      <c r="BB29" s="3">
        <f t="shared" si="18"/>
        <v>307.22838143403771</v>
      </c>
      <c r="BC29" s="3">
        <f t="shared" si="18"/>
        <v>291.87982137973091</v>
      </c>
      <c r="BD29" s="3">
        <f t="shared" si="18"/>
        <v>283.31850767728099</v>
      </c>
      <c r="BE29" s="3">
        <f t="shared" si="18"/>
        <v>279.64165247238742</v>
      </c>
      <c r="BF29" s="3">
        <f t="shared" si="18"/>
        <v>290.54378398036789</v>
      </c>
      <c r="BG29" s="3">
        <f t="shared" si="18"/>
        <v>301.3192592423743</v>
      </c>
      <c r="BH29" s="3">
        <f t="shared" si="18"/>
        <v>311.9221871163183</v>
      </c>
      <c r="BI29" s="3">
        <f t="shared" si="18"/>
        <v>322.30587556979623</v>
      </c>
      <c r="BJ29" s="3">
        <f t="shared" si="18"/>
        <v>332.42314200625839</v>
      </c>
      <c r="BK29" s="3">
        <f t="shared" si="18"/>
        <v>342.22665731621299</v>
      </c>
      <c r="BL29" s="3">
        <f t="shared" si="18"/>
        <v>351.66930575211882</v>
      </c>
      <c r="BM29" s="3">
        <f t="shared" si="18"/>
        <v>360.70454992605931</v>
      </c>
      <c r="BN29" s="3">
        <f t="shared" si="18"/>
        <v>369.286808858538</v>
      </c>
      <c r="BO29" s="3">
        <f t="shared" si="18"/>
        <v>377.37182328867141</v>
      </c>
      <c r="BP29" s="3">
        <f t="shared" si="18"/>
        <v>384.91702472055852</v>
      </c>
      <c r="BQ29" s="3">
        <f t="shared" si="18"/>
        <v>392.61319436809009</v>
      </c>
      <c r="BR29" s="3">
        <f t="shared" si="18"/>
        <v>400.46335212450629</v>
      </c>
      <c r="BS29" s="3">
        <f t="shared" ref="BS29:CD32" si="19">CA275</f>
        <v>408.47058287069251</v>
      </c>
      <c r="BT29" s="3">
        <f t="shared" si="19"/>
        <v>416.63803411239138</v>
      </c>
      <c r="BU29" s="3">
        <f t="shared" si="19"/>
        <v>424.96890133934318</v>
      </c>
      <c r="BV29" s="3">
        <f t="shared" si="19"/>
        <v>433.46645127384431</v>
      </c>
      <c r="BW29" s="3">
        <f t="shared" si="19"/>
        <v>442.13402951277192</v>
      </c>
      <c r="BX29" s="3">
        <f t="shared" si="19"/>
        <v>450.97503387037727</v>
      </c>
      <c r="BY29" s="3">
        <f t="shared" si="19"/>
        <v>459.99293609009408</v>
      </c>
      <c r="BZ29" s="3">
        <f t="shared" si="19"/>
        <v>469.19127442448041</v>
      </c>
      <c r="CA29" s="3">
        <f t="shared" si="19"/>
        <v>478.5736557069925</v>
      </c>
      <c r="CB29" s="3">
        <f t="shared" si="19"/>
        <v>488.14376469994352</v>
      </c>
      <c r="CC29" s="3">
        <f t="shared" si="19"/>
        <v>497.90535783617491</v>
      </c>
      <c r="CD29" s="3">
        <f t="shared" si="19"/>
        <v>507.86225898415222</v>
      </c>
    </row>
    <row r="30" spans="3:82" s="3" customFormat="1" x14ac:dyDescent="0.2">
      <c r="D30" s="3" t="s">
        <v>19</v>
      </c>
      <c r="F30" s="3" t="s">
        <v>7</v>
      </c>
      <c r="G30" s="3">
        <f>O276</f>
        <v>151.40600000000001</v>
      </c>
      <c r="H30" s="3">
        <f t="shared" ref="H30:BS33" si="20">P276</f>
        <v>151.40600000000001</v>
      </c>
      <c r="I30" s="3">
        <f t="shared" si="20"/>
        <v>185.87299999999999</v>
      </c>
      <c r="J30" s="3">
        <f t="shared" si="20"/>
        <v>216.286</v>
      </c>
      <c r="K30" s="3">
        <f t="shared" si="20"/>
        <v>170.49199999999999</v>
      </c>
      <c r="L30" s="3">
        <f t="shared" si="20"/>
        <v>150.95400000000001</v>
      </c>
      <c r="M30" s="3">
        <f t="shared" si="20"/>
        <v>148.203</v>
      </c>
      <c r="N30" s="3">
        <f t="shared" si="20"/>
        <v>144.13200000000001</v>
      </c>
      <c r="O30" s="3">
        <f t="shared" si="20"/>
        <v>185.02199999999999</v>
      </c>
      <c r="P30" s="3">
        <f t="shared" si="20"/>
        <v>224.358</v>
      </c>
      <c r="Q30" s="3">
        <f t="shared" si="20"/>
        <v>209.20699999999999</v>
      </c>
      <c r="R30" s="3">
        <f t="shared" si="20"/>
        <v>232.65700000000001</v>
      </c>
      <c r="S30" s="3">
        <f t="shared" si="20"/>
        <v>198.518</v>
      </c>
      <c r="T30" s="3">
        <f t="shared" si="20"/>
        <v>186.86799999999999</v>
      </c>
      <c r="U30" s="3">
        <f t="shared" si="20"/>
        <v>814.41499999999996</v>
      </c>
      <c r="V30" s="3">
        <f t="shared" si="20"/>
        <v>378.85899999999998</v>
      </c>
      <c r="W30" s="3">
        <f t="shared" si="20"/>
        <v>244.435</v>
      </c>
      <c r="X30" s="3">
        <f t="shared" si="20"/>
        <v>485.38099999999997</v>
      </c>
      <c r="Y30" s="3">
        <f t="shared" si="20"/>
        <v>578.72900000000004</v>
      </c>
      <c r="Z30" s="3">
        <f t="shared" si="20"/>
        <v>661.58799999999997</v>
      </c>
      <c r="AA30" s="3">
        <f t="shared" si="20"/>
        <v>1022.672</v>
      </c>
      <c r="AB30" s="3">
        <f t="shared" si="20"/>
        <v>941.85400000000004</v>
      </c>
      <c r="AC30" s="3">
        <f t="shared" si="20"/>
        <v>928.00800000000004</v>
      </c>
      <c r="AD30" s="3">
        <f t="shared" si="20"/>
        <v>927.82799999999997</v>
      </c>
      <c r="AE30" s="3">
        <f t="shared" si="20"/>
        <v>1005.206</v>
      </c>
      <c r="AF30" s="3">
        <f t="shared" si="20"/>
        <v>59.905842623902601</v>
      </c>
      <c r="AG30" s="3">
        <f t="shared" si="20"/>
        <v>93.362450773578999</v>
      </c>
      <c r="AH30" s="3">
        <f t="shared" si="20"/>
        <v>134.2891420660132</v>
      </c>
      <c r="AI30" s="3">
        <f t="shared" si="20"/>
        <v>182.95796778913231</v>
      </c>
      <c r="AJ30" s="3">
        <f t="shared" si="20"/>
        <v>194.01067860642459</v>
      </c>
      <c r="AK30" s="3">
        <f t="shared" si="20"/>
        <v>206.6977766792169</v>
      </c>
      <c r="AL30" s="3">
        <f t="shared" si="20"/>
        <v>221.75815202720281</v>
      </c>
      <c r="AM30" s="3">
        <f t="shared" si="20"/>
        <v>257.10678286363321</v>
      </c>
      <c r="AN30" s="3">
        <f t="shared" si="20"/>
        <v>307.3563841517859</v>
      </c>
      <c r="AO30" s="3">
        <f t="shared" si="20"/>
        <v>379.78730747467841</v>
      </c>
      <c r="AP30" s="3">
        <f t="shared" si="20"/>
        <v>482.94694301780919</v>
      </c>
      <c r="AQ30" s="3">
        <f t="shared" si="20"/>
        <v>622.01841914244471</v>
      </c>
      <c r="AR30" s="3">
        <f t="shared" si="20"/>
        <v>819.2649997960699</v>
      </c>
      <c r="AS30" s="3">
        <f t="shared" si="20"/>
        <v>1091.5519784188359</v>
      </c>
      <c r="AT30" s="3">
        <f t="shared" si="20"/>
        <v>1451.631404328446</v>
      </c>
      <c r="AU30" s="3">
        <f t="shared" si="20"/>
        <v>1901.916915198969</v>
      </c>
      <c r="AV30" s="3">
        <f t="shared" si="20"/>
        <v>2430.4042717533471</v>
      </c>
      <c r="AW30" s="3">
        <f t="shared" si="20"/>
        <v>3012.8635044261268</v>
      </c>
      <c r="AX30" s="3">
        <f t="shared" si="20"/>
        <v>3621.1566379891301</v>
      </c>
      <c r="AY30" s="3">
        <f t="shared" si="20"/>
        <v>4232.5534805954976</v>
      </c>
      <c r="AZ30" s="3">
        <f t="shared" si="20"/>
        <v>4811.2631470406332</v>
      </c>
      <c r="BA30" s="3">
        <f t="shared" si="20"/>
        <v>5346.5710822298524</v>
      </c>
      <c r="BB30" s="3">
        <f t="shared" si="20"/>
        <v>5835.3936113139043</v>
      </c>
      <c r="BC30" s="3">
        <f t="shared" si="20"/>
        <v>6278.2751283172893</v>
      </c>
      <c r="BD30" s="3">
        <f t="shared" si="20"/>
        <v>6676.9095108623087</v>
      </c>
      <c r="BE30" s="3">
        <f t="shared" si="20"/>
        <v>7032.7074198638566</v>
      </c>
      <c r="BF30" s="3">
        <f t="shared" si="20"/>
        <v>7305.9684854893003</v>
      </c>
      <c r="BG30" s="3">
        <f t="shared" si="20"/>
        <v>7576.0559018771601</v>
      </c>
      <c r="BH30" s="3">
        <f t="shared" si="20"/>
        <v>7841.8183286000358</v>
      </c>
      <c r="BI30" s="3">
        <f t="shared" si="20"/>
        <v>8102.0855681047806</v>
      </c>
      <c r="BJ30" s="3">
        <f t="shared" si="20"/>
        <v>8355.6732580986536</v>
      </c>
      <c r="BK30" s="3">
        <f t="shared" si="20"/>
        <v>8601.3923018982932</v>
      </c>
      <c r="BL30" s="3">
        <f t="shared" si="20"/>
        <v>8838.0591281806628</v>
      </c>
      <c r="BM30" s="3">
        <f t="shared" si="20"/>
        <v>9064.5048213992286</v>
      </c>
      <c r="BN30" s="3">
        <f t="shared" si="20"/>
        <v>9279.5860825727941</v>
      </c>
      <c r="BO30" s="3">
        <f t="shared" si="20"/>
        <v>9482.1922453796487</v>
      </c>
      <c r="BP30" s="3">
        <f t="shared" si="20"/>
        <v>9671.2536266827465</v>
      </c>
      <c r="BQ30" s="3">
        <f t="shared" si="20"/>
        <v>9864.1129631411259</v>
      </c>
      <c r="BR30" s="3">
        <f t="shared" si="20"/>
        <v>10060.846351700049</v>
      </c>
      <c r="BS30" s="3">
        <f t="shared" si="20"/>
        <v>10261.532607368021</v>
      </c>
      <c r="BT30" s="3">
        <f t="shared" si="19"/>
        <v>10466.25236309872</v>
      </c>
      <c r="BU30" s="3">
        <f t="shared" si="19"/>
        <v>10675.083964241479</v>
      </c>
      <c r="BV30" s="3">
        <f t="shared" si="19"/>
        <v>10888.10923141083</v>
      </c>
      <c r="BW30" s="3">
        <f t="shared" si="19"/>
        <v>11105.415150274661</v>
      </c>
      <c r="BX30" s="3">
        <f t="shared" si="19"/>
        <v>11327.086616721441</v>
      </c>
      <c r="BY30" s="3">
        <f t="shared" si="19"/>
        <v>11553.211781130791</v>
      </c>
      <c r="BZ30" s="3">
        <f t="shared" si="19"/>
        <v>11783.87979442297</v>
      </c>
      <c r="CA30" s="3">
        <f t="shared" si="19"/>
        <v>12019.181021333699</v>
      </c>
      <c r="CB30" s="3">
        <f t="shared" si="19"/>
        <v>12259.209143371771</v>
      </c>
      <c r="CC30" s="3">
        <f t="shared" si="19"/>
        <v>12504.05918802345</v>
      </c>
      <c r="CD30" s="3">
        <f t="shared" si="19"/>
        <v>12753.82607847241</v>
      </c>
    </row>
    <row r="31" spans="3:82" s="3" customFormat="1" x14ac:dyDescent="0.2">
      <c r="D31" s="3" t="s">
        <v>19</v>
      </c>
      <c r="F31" s="3" t="s">
        <v>8</v>
      </c>
      <c r="G31" s="3">
        <f>O277</f>
        <v>15.288</v>
      </c>
      <c r="H31" s="3">
        <f t="shared" si="20"/>
        <v>15.288</v>
      </c>
      <c r="I31" s="3">
        <f t="shared" si="20"/>
        <v>16.925999999999998</v>
      </c>
      <c r="J31" s="3">
        <f t="shared" si="20"/>
        <v>18.018000000000001</v>
      </c>
      <c r="K31" s="3">
        <f t="shared" si="20"/>
        <v>17.199000000000002</v>
      </c>
      <c r="L31" s="3">
        <f t="shared" si="20"/>
        <v>18.018000000000001</v>
      </c>
      <c r="M31" s="3">
        <f t="shared" si="20"/>
        <v>48.047999999999988</v>
      </c>
      <c r="N31" s="3">
        <f t="shared" si="20"/>
        <v>29.210999999999999</v>
      </c>
      <c r="O31" s="3">
        <f t="shared" si="20"/>
        <v>32.213999999999999</v>
      </c>
      <c r="P31" s="3">
        <f t="shared" si="20"/>
        <v>35.216999999999999</v>
      </c>
      <c r="Q31" s="3">
        <f t="shared" si="20"/>
        <v>37.947000000000003</v>
      </c>
      <c r="R31" s="3">
        <f t="shared" si="20"/>
        <v>38.220000000000013</v>
      </c>
      <c r="S31" s="3">
        <f t="shared" si="20"/>
        <v>43.134</v>
      </c>
      <c r="T31" s="3">
        <f t="shared" si="20"/>
        <v>57.33</v>
      </c>
      <c r="U31" s="3">
        <f t="shared" si="20"/>
        <v>50.231999999999999</v>
      </c>
      <c r="V31" s="3">
        <f t="shared" si="20"/>
        <v>51.87</v>
      </c>
      <c r="W31" s="3">
        <f t="shared" si="20"/>
        <v>51.597000000000001</v>
      </c>
      <c r="X31" s="3">
        <f t="shared" si="20"/>
        <v>52.143000000000001</v>
      </c>
      <c r="Y31" s="3">
        <f t="shared" si="20"/>
        <v>102.92100000000001</v>
      </c>
      <c r="Z31" s="3">
        <f t="shared" si="20"/>
        <v>105.92400000000001</v>
      </c>
      <c r="AA31" s="3">
        <f t="shared" si="20"/>
        <v>114.387</v>
      </c>
      <c r="AB31" s="3">
        <f t="shared" si="20"/>
        <v>107.01600000000001</v>
      </c>
      <c r="AC31" s="3">
        <f t="shared" si="20"/>
        <v>75.621000000000009</v>
      </c>
      <c r="AD31" s="3">
        <f t="shared" si="20"/>
        <v>82.718999999999994</v>
      </c>
      <c r="AE31" s="3">
        <f t="shared" si="20"/>
        <v>382.2</v>
      </c>
      <c r="AF31" s="3">
        <f t="shared" si="20"/>
        <v>104.2377725251811</v>
      </c>
      <c r="AG31" s="3">
        <f t="shared" si="20"/>
        <v>104.42777474788249</v>
      </c>
      <c r="AH31" s="3">
        <f t="shared" si="20"/>
        <v>105.13656884580161</v>
      </c>
      <c r="AI31" s="3">
        <f t="shared" si="20"/>
        <v>106.00472756528841</v>
      </c>
      <c r="AJ31" s="3">
        <f t="shared" si="20"/>
        <v>112.4107503642358</v>
      </c>
      <c r="AK31" s="3">
        <f t="shared" si="20"/>
        <v>119.7640662204106</v>
      </c>
      <c r="AL31" s="3">
        <f t="shared" si="20"/>
        <v>128.49292892589239</v>
      </c>
      <c r="AM31" s="3">
        <f t="shared" si="20"/>
        <v>139.04221192910271</v>
      </c>
      <c r="AN31" s="3">
        <f t="shared" si="20"/>
        <v>150.97539642709211</v>
      </c>
      <c r="AO31" s="3">
        <f t="shared" si="20"/>
        <v>163.8645560012142</v>
      </c>
      <c r="AP31" s="3">
        <f t="shared" si="20"/>
        <v>176.16006898667391</v>
      </c>
      <c r="AQ31" s="3">
        <f t="shared" si="20"/>
        <v>184.31173409463909</v>
      </c>
      <c r="AR31" s="3">
        <f t="shared" si="20"/>
        <v>190.00373848330781</v>
      </c>
      <c r="AS31" s="3">
        <f t="shared" si="20"/>
        <v>192.22760071307169</v>
      </c>
      <c r="AT31" s="3">
        <f t="shared" si="20"/>
        <v>190.24690527793601</v>
      </c>
      <c r="AU31" s="3">
        <f t="shared" si="20"/>
        <v>184.00797353986249</v>
      </c>
      <c r="AV31" s="3">
        <f t="shared" si="20"/>
        <v>174.39569102207349</v>
      </c>
      <c r="AW31" s="3">
        <f t="shared" si="20"/>
        <v>163.09656976291649</v>
      </c>
      <c r="AX31" s="3">
        <f t="shared" si="20"/>
        <v>152.058988081667</v>
      </c>
      <c r="AY31" s="3">
        <f t="shared" si="20"/>
        <v>142.88808780354071</v>
      </c>
      <c r="AZ31" s="3">
        <f t="shared" si="20"/>
        <v>135.8582557039567</v>
      </c>
      <c r="BA31" s="3">
        <f t="shared" si="20"/>
        <v>131.317820194105</v>
      </c>
      <c r="BB31" s="3">
        <f t="shared" si="20"/>
        <v>129.10913782079919</v>
      </c>
      <c r="BC31" s="3">
        <f t="shared" si="20"/>
        <v>128.8083217833827</v>
      </c>
      <c r="BD31" s="3">
        <f t="shared" si="20"/>
        <v>129.9096887998324</v>
      </c>
      <c r="BE31" s="3">
        <f t="shared" si="20"/>
        <v>131.92809851596391</v>
      </c>
      <c r="BF31" s="3">
        <f t="shared" si="20"/>
        <v>137.0631484307014</v>
      </c>
      <c r="BG31" s="3">
        <f t="shared" si="20"/>
        <v>142.13855043769769</v>
      </c>
      <c r="BH31" s="3">
        <f t="shared" si="20"/>
        <v>147.13267938083391</v>
      </c>
      <c r="BI31" s="3">
        <f t="shared" si="20"/>
        <v>152.02354390741351</v>
      </c>
      <c r="BJ31" s="3">
        <f t="shared" si="20"/>
        <v>156.78890466154539</v>
      </c>
      <c r="BK31" s="3">
        <f t="shared" si="20"/>
        <v>161.40644365004951</v>
      </c>
      <c r="BL31" s="3">
        <f t="shared" si="20"/>
        <v>165.85394498479059</v>
      </c>
      <c r="BM31" s="3">
        <f t="shared" si="20"/>
        <v>170.10946663628181</v>
      </c>
      <c r="BN31" s="3">
        <f t="shared" si="20"/>
        <v>174.151531961769</v>
      </c>
      <c r="BO31" s="3">
        <f t="shared" si="20"/>
        <v>177.9592823683015</v>
      </c>
      <c r="BP31" s="3">
        <f t="shared" si="20"/>
        <v>181.5126429835378</v>
      </c>
      <c r="BQ31" s="3">
        <f t="shared" si="20"/>
        <v>185.13723809774609</v>
      </c>
      <c r="BR31" s="3">
        <f t="shared" si="20"/>
        <v>188.834493779421</v>
      </c>
      <c r="BS31" s="3">
        <f t="shared" si="20"/>
        <v>192.60587658048499</v>
      </c>
      <c r="BT31" s="3">
        <f t="shared" si="19"/>
        <v>196.45288480051011</v>
      </c>
      <c r="BU31" s="3">
        <f t="shared" si="19"/>
        <v>200.37700769977599</v>
      </c>
      <c r="BV31" s="3">
        <f t="shared" si="19"/>
        <v>204.37978340864819</v>
      </c>
      <c r="BW31" s="3">
        <f t="shared" si="19"/>
        <v>208.46281610890989</v>
      </c>
      <c r="BX31" s="3">
        <f t="shared" si="19"/>
        <v>212.6277037684454</v>
      </c>
      <c r="BY31" s="3">
        <f t="shared" si="19"/>
        <v>216.87609188128971</v>
      </c>
      <c r="BZ31" s="3">
        <f t="shared" si="19"/>
        <v>221.2096512261746</v>
      </c>
      <c r="CA31" s="3">
        <f t="shared" si="19"/>
        <v>225.63008030498361</v>
      </c>
      <c r="CB31" s="3">
        <f t="shared" si="19"/>
        <v>230.1391266854518</v>
      </c>
      <c r="CC31" s="3">
        <f t="shared" si="19"/>
        <v>234.73856760978379</v>
      </c>
      <c r="CD31" s="3">
        <f t="shared" si="19"/>
        <v>239.43019581514059</v>
      </c>
    </row>
    <row r="32" spans="3:82" s="3" customFormat="1" x14ac:dyDescent="0.2">
      <c r="D32" s="3" t="s">
        <v>20</v>
      </c>
      <c r="F32" s="3" t="s">
        <v>6</v>
      </c>
      <c r="G32" s="3">
        <f>O278</f>
        <v>0</v>
      </c>
      <c r="H32" s="3">
        <f t="shared" si="20"/>
        <v>0</v>
      </c>
      <c r="I32" s="3">
        <f t="shared" si="20"/>
        <v>0</v>
      </c>
      <c r="J32" s="3">
        <f t="shared" si="20"/>
        <v>0</v>
      </c>
      <c r="K32" s="3">
        <f t="shared" si="20"/>
        <v>0</v>
      </c>
      <c r="L32" s="3">
        <f t="shared" si="20"/>
        <v>0</v>
      </c>
      <c r="M32" s="3">
        <f t="shared" si="20"/>
        <v>0</v>
      </c>
      <c r="N32" s="3">
        <f t="shared" si="20"/>
        <v>0</v>
      </c>
      <c r="O32" s="3">
        <f t="shared" si="20"/>
        <v>0</v>
      </c>
      <c r="P32" s="3">
        <f t="shared" si="20"/>
        <v>0</v>
      </c>
      <c r="Q32" s="3">
        <f t="shared" si="20"/>
        <v>0</v>
      </c>
      <c r="R32" s="3">
        <f t="shared" si="20"/>
        <v>0</v>
      </c>
      <c r="S32" s="3">
        <f t="shared" si="20"/>
        <v>0</v>
      </c>
      <c r="T32" s="3">
        <f t="shared" si="20"/>
        <v>0</v>
      </c>
      <c r="U32" s="3">
        <f t="shared" si="20"/>
        <v>0</v>
      </c>
      <c r="V32" s="3">
        <f t="shared" si="20"/>
        <v>0</v>
      </c>
      <c r="W32" s="3">
        <f t="shared" si="20"/>
        <v>0</v>
      </c>
      <c r="X32" s="3">
        <f t="shared" si="20"/>
        <v>0</v>
      </c>
      <c r="Y32" s="3">
        <f t="shared" si="20"/>
        <v>0</v>
      </c>
      <c r="Z32" s="3">
        <f t="shared" si="20"/>
        <v>0</v>
      </c>
      <c r="AA32" s="3">
        <f t="shared" si="20"/>
        <v>0</v>
      </c>
      <c r="AB32" s="3">
        <f t="shared" si="20"/>
        <v>0</v>
      </c>
      <c r="AC32" s="3">
        <f t="shared" si="20"/>
        <v>0</v>
      </c>
      <c r="AD32" s="3">
        <f t="shared" si="20"/>
        <v>0</v>
      </c>
      <c r="AE32" s="3">
        <f t="shared" si="20"/>
        <v>0</v>
      </c>
      <c r="AF32" s="3">
        <f t="shared" si="20"/>
        <v>18.7405742169258</v>
      </c>
      <c r="AG32" s="3">
        <f t="shared" si="20"/>
        <v>17.436799668493599</v>
      </c>
      <c r="AH32" s="3">
        <f t="shared" si="20"/>
        <v>16.959780773560301</v>
      </c>
      <c r="AI32" s="3">
        <f t="shared" si="20"/>
        <v>16.351641896969898</v>
      </c>
      <c r="AJ32" s="3">
        <f t="shared" si="20"/>
        <v>16.52066729177</v>
      </c>
      <c r="AK32" s="3">
        <f t="shared" si="20"/>
        <v>16.691439886286801</v>
      </c>
      <c r="AL32" s="3">
        <f t="shared" si="20"/>
        <v>16.863977741160401</v>
      </c>
      <c r="AM32" s="3">
        <f t="shared" si="20"/>
        <v>17.014525472637001</v>
      </c>
      <c r="AN32" s="3">
        <f t="shared" si="20"/>
        <v>17.0856838402492</v>
      </c>
      <c r="AO32" s="3">
        <f t="shared" si="20"/>
        <v>17.095562854166602</v>
      </c>
      <c r="AP32" s="3">
        <f t="shared" si="20"/>
        <v>16.894377079247899</v>
      </c>
      <c r="AQ32" s="3">
        <f t="shared" si="20"/>
        <v>16.4962157334941</v>
      </c>
      <c r="AR32" s="3">
        <f t="shared" si="20"/>
        <v>15.8381335187949</v>
      </c>
      <c r="AS32" s="3">
        <f t="shared" si="20"/>
        <v>14.8357067411046</v>
      </c>
      <c r="AT32" s="3">
        <f t="shared" si="20"/>
        <v>13.4505819199847</v>
      </c>
      <c r="AU32" s="3">
        <f t="shared" si="20"/>
        <v>11.723270055189801</v>
      </c>
      <c r="AV32" s="3">
        <f t="shared" si="20"/>
        <v>9.7825843702027004</v>
      </c>
      <c r="AW32" s="3">
        <f t="shared" si="20"/>
        <v>7.8133525183805013</v>
      </c>
      <c r="AX32" s="3">
        <f t="shared" si="20"/>
        <v>5.9947333028146996</v>
      </c>
      <c r="AY32" s="3">
        <f t="shared" si="20"/>
        <v>4.4471809825445998</v>
      </c>
      <c r="AZ32" s="3">
        <f t="shared" si="20"/>
        <v>3.2157086786617</v>
      </c>
      <c r="BA32" s="3">
        <f t="shared" si="20"/>
        <v>2.2857076699115999</v>
      </c>
      <c r="BB32" s="3">
        <f t="shared" si="20"/>
        <v>1.6147120025227999</v>
      </c>
      <c r="BC32" s="3">
        <f t="shared" si="20"/>
        <v>1.1427802766766999</v>
      </c>
      <c r="BD32" s="3">
        <f t="shared" si="20"/>
        <v>0.81652598087600003</v>
      </c>
      <c r="BE32" s="3">
        <f t="shared" si="20"/>
        <v>0.59396201800219994</v>
      </c>
      <c r="BF32" s="3">
        <f t="shared" si="20"/>
        <v>0.60131139529169997</v>
      </c>
      <c r="BG32" s="3">
        <f t="shared" si="20"/>
        <v>0.60867033354840006</v>
      </c>
      <c r="BH32" s="3">
        <f t="shared" si="20"/>
        <v>0.61600781496020007</v>
      </c>
      <c r="BI32" s="3">
        <f t="shared" si="20"/>
        <v>0.62329139262960009</v>
      </c>
      <c r="BJ32" s="3">
        <f t="shared" si="20"/>
        <v>0.63048720594100005</v>
      </c>
      <c r="BK32" s="3">
        <f t="shared" si="20"/>
        <v>0.63756001328860001</v>
      </c>
      <c r="BL32" s="3">
        <f t="shared" si="20"/>
        <v>0.64447324334370004</v>
      </c>
      <c r="BM32" s="3">
        <f t="shared" si="20"/>
        <v>0.65118906598780002</v>
      </c>
      <c r="BN32" s="3">
        <f t="shared" si="20"/>
        <v>0.65766848395419997</v>
      </c>
      <c r="BO32" s="3">
        <f t="shared" si="20"/>
        <v>0.66387144610750004</v>
      </c>
      <c r="BP32" s="3">
        <f t="shared" si="20"/>
        <v>0.66975698314600007</v>
      </c>
      <c r="BQ32" s="3">
        <f t="shared" si="20"/>
        <v>0.6758634839041</v>
      </c>
      <c r="BR32" s="3">
        <f t="shared" si="20"/>
        <v>0.68219598513220003</v>
      </c>
      <c r="BS32" s="3">
        <f t="shared" si="20"/>
        <v>0.68875973909720001</v>
      </c>
      <c r="BT32" s="3">
        <f t="shared" si="19"/>
        <v>0.69556022078749991</v>
      </c>
      <c r="BU32" s="3">
        <f t="shared" si="19"/>
        <v>0.7026031354633</v>
      </c>
      <c r="BV32" s="3">
        <f t="shared" si="19"/>
        <v>0.70989442656409996</v>
      </c>
      <c r="BW32" s="3">
        <f t="shared" si="19"/>
        <v>0.71744028399259996</v>
      </c>
      <c r="BX32" s="3">
        <f t="shared" si="19"/>
        <v>0.72524715278789997</v>
      </c>
      <c r="BY32" s="3">
        <f t="shared" si="19"/>
        <v>0.73332174220470003</v>
      </c>
      <c r="BZ32" s="3">
        <f t="shared" si="19"/>
        <v>0.74167103521970001</v>
      </c>
      <c r="CA32" s="3">
        <f t="shared" si="19"/>
        <v>0.75030229847880003</v>
      </c>
      <c r="CB32" s="3">
        <f t="shared" si="19"/>
        <v>0.75922309271069999</v>
      </c>
      <c r="CC32" s="3">
        <f t="shared" si="19"/>
        <v>0.76844128362140007</v>
      </c>
      <c r="CD32" s="3">
        <f t="shared" si="19"/>
        <v>0.77796505329529997</v>
      </c>
    </row>
    <row r="33" spans="3:82" s="3" customFormat="1" x14ac:dyDescent="0.2">
      <c r="D33" s="3" t="s">
        <v>20</v>
      </c>
      <c r="F33" s="3" t="s">
        <v>7</v>
      </c>
      <c r="G33" s="3">
        <f>O279</f>
        <v>0</v>
      </c>
      <c r="H33" s="3">
        <f t="shared" si="20"/>
        <v>0</v>
      </c>
      <c r="I33" s="3">
        <f t="shared" si="20"/>
        <v>0</v>
      </c>
      <c r="J33" s="3">
        <f t="shared" si="20"/>
        <v>0</v>
      </c>
      <c r="K33" s="3">
        <f t="shared" si="20"/>
        <v>0</v>
      </c>
      <c r="L33" s="3">
        <f t="shared" si="20"/>
        <v>0</v>
      </c>
      <c r="M33" s="3">
        <f t="shared" si="20"/>
        <v>0</v>
      </c>
      <c r="N33" s="3">
        <f t="shared" si="20"/>
        <v>0</v>
      </c>
      <c r="O33" s="3">
        <f t="shared" si="20"/>
        <v>0</v>
      </c>
      <c r="P33" s="3">
        <f t="shared" si="20"/>
        <v>0</v>
      </c>
      <c r="Q33" s="3">
        <f t="shared" si="20"/>
        <v>0</v>
      </c>
      <c r="R33" s="3">
        <f t="shared" si="20"/>
        <v>0</v>
      </c>
      <c r="S33" s="3">
        <f t="shared" si="20"/>
        <v>0</v>
      </c>
      <c r="T33" s="3">
        <f t="shared" si="20"/>
        <v>0</v>
      </c>
      <c r="U33" s="3">
        <f t="shared" si="20"/>
        <v>0</v>
      </c>
      <c r="V33" s="3">
        <f t="shared" si="20"/>
        <v>0</v>
      </c>
      <c r="W33" s="3">
        <f t="shared" si="20"/>
        <v>0</v>
      </c>
      <c r="X33" s="3">
        <f t="shared" si="20"/>
        <v>0</v>
      </c>
      <c r="Y33" s="3">
        <f t="shared" si="20"/>
        <v>0</v>
      </c>
      <c r="Z33" s="3">
        <f t="shared" si="20"/>
        <v>0</v>
      </c>
      <c r="AA33" s="3">
        <f t="shared" si="20"/>
        <v>0</v>
      </c>
      <c r="AB33" s="3">
        <f t="shared" si="20"/>
        <v>0</v>
      </c>
      <c r="AC33" s="3">
        <f t="shared" si="20"/>
        <v>0</v>
      </c>
      <c r="AD33" s="3">
        <f t="shared" si="20"/>
        <v>0</v>
      </c>
      <c r="AE33" s="3">
        <f t="shared" si="20"/>
        <v>0</v>
      </c>
      <c r="AF33" s="3">
        <f t="shared" si="20"/>
        <v>2.9499505478476999</v>
      </c>
      <c r="AG33" s="3">
        <f t="shared" si="20"/>
        <v>4.2762113561352999</v>
      </c>
      <c r="AH33" s="3">
        <f t="shared" si="20"/>
        <v>5.9555550296564999</v>
      </c>
      <c r="AI33" s="3">
        <f t="shared" si="20"/>
        <v>7.7809613014375003</v>
      </c>
      <c r="AJ33" s="3">
        <f t="shared" si="20"/>
        <v>7.8613923715519007</v>
      </c>
      <c r="AK33" s="3">
        <f t="shared" si="20"/>
        <v>7.9426548501245993</v>
      </c>
      <c r="AL33" s="3">
        <f t="shared" si="20"/>
        <v>8.0247573313471996</v>
      </c>
      <c r="AM33" s="3">
        <f t="shared" si="20"/>
        <v>9.0976328478182005</v>
      </c>
      <c r="AN33" s="3">
        <f t="shared" si="20"/>
        <v>10.6673147508894</v>
      </c>
      <c r="AO33" s="3">
        <f t="shared" si="20"/>
        <v>13.007920985204301</v>
      </c>
      <c r="AP33" s="3">
        <f t="shared" si="20"/>
        <v>16.368611187237299</v>
      </c>
      <c r="AQ33" s="3">
        <f t="shared" si="20"/>
        <v>21.207773651699402</v>
      </c>
      <c r="AR33" s="3">
        <f t="shared" si="20"/>
        <v>27.999441131190501</v>
      </c>
      <c r="AS33" s="3">
        <f t="shared" si="20"/>
        <v>37.115950040493701</v>
      </c>
      <c r="AT33" s="3">
        <f t="shared" si="20"/>
        <v>48.667408210788999</v>
      </c>
      <c r="AU33" s="3">
        <f t="shared" si="20"/>
        <v>62.310228547687387</v>
      </c>
      <c r="AV33" s="3">
        <f t="shared" si="20"/>
        <v>77.192818335254302</v>
      </c>
      <c r="AW33" s="3">
        <f t="shared" si="20"/>
        <v>92.144768221081094</v>
      </c>
      <c r="AX33" s="3">
        <f t="shared" si="20"/>
        <v>106.037619116561</v>
      </c>
      <c r="AY33" s="3">
        <f t="shared" si="20"/>
        <v>118.09595529593901</v>
      </c>
      <c r="AZ33" s="3">
        <f t="shared" si="20"/>
        <v>127.997907465807</v>
      </c>
      <c r="BA33" s="3">
        <f t="shared" si="20"/>
        <v>135.786470134935</v>
      </c>
      <c r="BB33" s="3">
        <f t="shared" si="20"/>
        <v>142.08466205918501</v>
      </c>
      <c r="BC33" s="3">
        <f t="shared" si="20"/>
        <v>147.20592530394799</v>
      </c>
      <c r="BD33" s="3">
        <f t="shared" si="20"/>
        <v>151.369407777845</v>
      </c>
      <c r="BE33" s="3">
        <f t="shared" si="20"/>
        <v>154.79016230880299</v>
      </c>
      <c r="BF33" s="3">
        <f t="shared" si="20"/>
        <v>156.70545532257401</v>
      </c>
      <c r="BG33" s="3">
        <f t="shared" si="20"/>
        <v>158.623239983286</v>
      </c>
      <c r="BH33" s="3">
        <f t="shared" si="20"/>
        <v>160.53543285799401</v>
      </c>
      <c r="BI33" s="3">
        <f t="shared" si="20"/>
        <v>162.43357808522799</v>
      </c>
      <c r="BJ33" s="3">
        <f t="shared" si="20"/>
        <v>164.30885137991299</v>
      </c>
      <c r="BK33" s="3">
        <f t="shared" si="20"/>
        <v>166.15206856237501</v>
      </c>
      <c r="BL33" s="3">
        <f t="shared" si="20"/>
        <v>167.953698918974</v>
      </c>
      <c r="BM33" s="3">
        <f t="shared" si="20"/>
        <v>169.70388368770901</v>
      </c>
      <c r="BN33" s="3">
        <f t="shared" si="20"/>
        <v>171.39245994055099</v>
      </c>
      <c r="BO33" s="3">
        <f t="shared" si="20"/>
        <v>173.00899010479301</v>
      </c>
      <c r="BP33" s="3">
        <f t="shared" si="20"/>
        <v>174.542797327893</v>
      </c>
      <c r="BQ33" s="3">
        <f t="shared" si="20"/>
        <v>176.13418905806699</v>
      </c>
      <c r="BR33" s="3">
        <f t="shared" si="20"/>
        <v>177.784477903501</v>
      </c>
      <c r="BS33" s="3">
        <f t="shared" ref="BS33:CD36" si="21">CA279</f>
        <v>179.49503263730901</v>
      </c>
      <c r="BT33" s="3">
        <f t="shared" si="21"/>
        <v>181.26728007524201</v>
      </c>
      <c r="BU33" s="3">
        <f t="shared" si="21"/>
        <v>183.102707043181</v>
      </c>
      <c r="BV33" s="3">
        <f t="shared" si="21"/>
        <v>185.00286243817999</v>
      </c>
      <c r="BW33" s="3">
        <f t="shared" si="21"/>
        <v>186.969359387038</v>
      </c>
      <c r="BX33" s="3">
        <f t="shared" si="21"/>
        <v>189.00387750657001</v>
      </c>
      <c r="BY33" s="3">
        <f t="shared" si="21"/>
        <v>191.10816526997701</v>
      </c>
      <c r="BZ33" s="3">
        <f t="shared" si="21"/>
        <v>193.28404248393801</v>
      </c>
      <c r="CA33" s="3">
        <f t="shared" si="21"/>
        <v>195.53340288129201</v>
      </c>
      <c r="CB33" s="3">
        <f t="shared" si="21"/>
        <v>197.85821683442899</v>
      </c>
      <c r="CC33" s="3">
        <f t="shared" si="21"/>
        <v>200.260534194782</v>
      </c>
      <c r="CD33" s="3">
        <f t="shared" si="21"/>
        <v>202.74248726407299</v>
      </c>
    </row>
    <row r="34" spans="3:82" s="3" customFormat="1" x14ac:dyDescent="0.2">
      <c r="D34" s="3" t="s">
        <v>20</v>
      </c>
      <c r="F34" s="3" t="s">
        <v>8</v>
      </c>
      <c r="G34" s="3">
        <f>O280</f>
        <v>0</v>
      </c>
      <c r="H34" s="3">
        <f t="shared" ref="H34:BS37" si="22">P280</f>
        <v>0</v>
      </c>
      <c r="I34" s="3">
        <f t="shared" si="22"/>
        <v>0</v>
      </c>
      <c r="J34" s="3">
        <f t="shared" si="22"/>
        <v>0</v>
      </c>
      <c r="K34" s="3">
        <f t="shared" si="22"/>
        <v>0</v>
      </c>
      <c r="L34" s="3">
        <f t="shared" si="22"/>
        <v>0</v>
      </c>
      <c r="M34" s="3">
        <f t="shared" si="22"/>
        <v>0</v>
      </c>
      <c r="N34" s="3">
        <f t="shared" si="22"/>
        <v>0</v>
      </c>
      <c r="O34" s="3">
        <f t="shared" si="22"/>
        <v>0</v>
      </c>
      <c r="P34" s="3">
        <f t="shared" si="22"/>
        <v>0</v>
      </c>
      <c r="Q34" s="3">
        <f t="shared" si="22"/>
        <v>0</v>
      </c>
      <c r="R34" s="3">
        <f t="shared" si="22"/>
        <v>0</v>
      </c>
      <c r="S34" s="3">
        <f t="shared" si="22"/>
        <v>0</v>
      </c>
      <c r="T34" s="3">
        <f t="shared" si="22"/>
        <v>0</v>
      </c>
      <c r="U34" s="3">
        <f t="shared" si="22"/>
        <v>0</v>
      </c>
      <c r="V34" s="3">
        <f t="shared" si="22"/>
        <v>0</v>
      </c>
      <c r="W34" s="3">
        <f t="shared" si="22"/>
        <v>0</v>
      </c>
      <c r="X34" s="3">
        <f t="shared" si="22"/>
        <v>0</v>
      </c>
      <c r="Y34" s="3">
        <f t="shared" si="22"/>
        <v>0</v>
      </c>
      <c r="Z34" s="3">
        <f t="shared" si="22"/>
        <v>0</v>
      </c>
      <c r="AA34" s="3">
        <f t="shared" si="22"/>
        <v>0</v>
      </c>
      <c r="AB34" s="3">
        <f t="shared" si="22"/>
        <v>0</v>
      </c>
      <c r="AC34" s="3">
        <f t="shared" si="22"/>
        <v>0</v>
      </c>
      <c r="AD34" s="3">
        <f t="shared" si="22"/>
        <v>0</v>
      </c>
      <c r="AE34" s="3">
        <f t="shared" si="22"/>
        <v>0</v>
      </c>
      <c r="AF34" s="3">
        <f t="shared" si="22"/>
        <v>4.9422559738224994</v>
      </c>
      <c r="AG34" s="3">
        <f t="shared" si="22"/>
        <v>4.6104009579885998</v>
      </c>
      <c r="AH34" s="3">
        <f t="shared" si="22"/>
        <v>4.4983209378403997</v>
      </c>
      <c r="AI34" s="3">
        <f t="shared" si="22"/>
        <v>4.3529655812961003</v>
      </c>
      <c r="AJ34" s="3">
        <f t="shared" si="22"/>
        <v>4.3979617798777006</v>
      </c>
      <c r="AK34" s="3">
        <f t="shared" si="22"/>
        <v>4.4434230999606994</v>
      </c>
      <c r="AL34" s="3">
        <f t="shared" si="22"/>
        <v>4.4893543494624986</v>
      </c>
      <c r="AM34" s="3">
        <f t="shared" si="22"/>
        <v>4.5384383467860001</v>
      </c>
      <c r="AN34" s="3">
        <f t="shared" si="22"/>
        <v>4.571197031364</v>
      </c>
      <c r="AO34" s="3">
        <f t="shared" si="22"/>
        <v>4.5948397985440996</v>
      </c>
      <c r="AP34" s="3">
        <f t="shared" si="22"/>
        <v>4.5723748227414998</v>
      </c>
      <c r="AQ34" s="3">
        <f t="shared" si="22"/>
        <v>4.5116159597746002</v>
      </c>
      <c r="AR34" s="3">
        <f t="shared" si="22"/>
        <v>4.4003402139528998</v>
      </c>
      <c r="AS34" s="3">
        <f t="shared" si="22"/>
        <v>4.2197839523451997</v>
      </c>
      <c r="AT34" s="3">
        <f t="shared" si="22"/>
        <v>3.9608917680507001</v>
      </c>
      <c r="AU34" s="3">
        <f t="shared" si="22"/>
        <v>3.6311838982092999</v>
      </c>
      <c r="AV34" s="3">
        <f t="shared" si="22"/>
        <v>3.2567396863517999</v>
      </c>
      <c r="AW34" s="3">
        <f t="shared" si="22"/>
        <v>2.8754423381429</v>
      </c>
      <c r="AX34" s="3">
        <f t="shared" si="22"/>
        <v>2.5240675902410001</v>
      </c>
      <c r="AY34" s="3">
        <f t="shared" si="22"/>
        <v>2.2271905879972</v>
      </c>
      <c r="AZ34" s="3">
        <f t="shared" si="22"/>
        <v>1.9937061699504</v>
      </c>
      <c r="BA34" s="3">
        <f t="shared" si="22"/>
        <v>1.8201746481848999</v>
      </c>
      <c r="BB34" s="3">
        <f t="shared" si="22"/>
        <v>1.7010773826287999</v>
      </c>
      <c r="BC34" s="3">
        <f t="shared" si="22"/>
        <v>1.6235335758628</v>
      </c>
      <c r="BD34" s="3">
        <f t="shared" si="22"/>
        <v>1.5755311137301</v>
      </c>
      <c r="BE34" s="3">
        <f t="shared" si="22"/>
        <v>1.548006882905</v>
      </c>
      <c r="BF34" s="3">
        <f t="shared" si="22"/>
        <v>1.5671611154731999</v>
      </c>
      <c r="BG34" s="3">
        <f t="shared" si="22"/>
        <v>1.5863402662048001</v>
      </c>
      <c r="BH34" s="3">
        <f t="shared" si="22"/>
        <v>1.6054634952739</v>
      </c>
      <c r="BI34" s="3">
        <f t="shared" si="22"/>
        <v>1.6244462383158</v>
      </c>
      <c r="BJ34" s="3">
        <f t="shared" si="22"/>
        <v>1.6432002464791999</v>
      </c>
      <c r="BK34" s="3">
        <f t="shared" si="22"/>
        <v>1.6616336717210001</v>
      </c>
      <c r="BL34" s="3">
        <f t="shared" si="22"/>
        <v>1.6796512004249999</v>
      </c>
      <c r="BM34" s="3">
        <f t="shared" si="22"/>
        <v>1.6971542382663001</v>
      </c>
      <c r="BN34" s="3">
        <f t="shared" si="22"/>
        <v>1.714041149054</v>
      </c>
      <c r="BO34" s="3">
        <f t="shared" si="22"/>
        <v>1.7302075499628</v>
      </c>
      <c r="BP34" s="3">
        <f t="shared" si="22"/>
        <v>1.7455466652078</v>
      </c>
      <c r="BQ34" s="3">
        <f t="shared" si="22"/>
        <v>1.7614616646815</v>
      </c>
      <c r="BR34" s="3">
        <f t="shared" si="22"/>
        <v>1.7779656753591999</v>
      </c>
      <c r="BS34" s="3">
        <f t="shared" si="22"/>
        <v>1.7950723859022</v>
      </c>
      <c r="BT34" s="3">
        <f t="shared" si="21"/>
        <v>1.8127960654383</v>
      </c>
      <c r="BU34" s="3">
        <f t="shared" si="21"/>
        <v>1.8311515832378999</v>
      </c>
      <c r="BV34" s="3">
        <f t="shared" si="21"/>
        <v>1.8501544293243</v>
      </c>
      <c r="BW34" s="3">
        <f t="shared" si="21"/>
        <v>1.8698207360628001</v>
      </c>
      <c r="BX34" s="3">
        <f t="shared" si="21"/>
        <v>1.8901673007633999</v>
      </c>
      <c r="BY34" s="3">
        <f t="shared" si="21"/>
        <v>1.9112116093472999</v>
      </c>
      <c r="BZ34" s="3">
        <f t="shared" si="21"/>
        <v>1.9329718611185001</v>
      </c>
      <c r="CA34" s="3">
        <f t="shared" si="21"/>
        <v>1.9554669946934</v>
      </c>
      <c r="CB34" s="3">
        <f t="shared" si="21"/>
        <v>1.9787167151358001</v>
      </c>
      <c r="CC34" s="3">
        <f t="shared" si="21"/>
        <v>2.0027415223543001</v>
      </c>
      <c r="CD34" s="3">
        <f t="shared" si="21"/>
        <v>2.0275627408155001</v>
      </c>
    </row>
    <row r="35" spans="3:82" s="3" customFormat="1" x14ac:dyDescent="0.2">
      <c r="D35" s="3" t="s">
        <v>21</v>
      </c>
      <c r="F35" s="3" t="s">
        <v>6</v>
      </c>
      <c r="G35" s="3">
        <f>O281</f>
        <v>0</v>
      </c>
      <c r="H35" s="3">
        <f t="shared" si="22"/>
        <v>0</v>
      </c>
      <c r="I35" s="3">
        <f t="shared" si="22"/>
        <v>0</v>
      </c>
      <c r="J35" s="3">
        <f t="shared" si="22"/>
        <v>0</v>
      </c>
      <c r="K35" s="3">
        <f t="shared" si="22"/>
        <v>0</v>
      </c>
      <c r="L35" s="3">
        <f t="shared" si="22"/>
        <v>0</v>
      </c>
      <c r="M35" s="3">
        <f t="shared" si="22"/>
        <v>0</v>
      </c>
      <c r="N35" s="3">
        <f t="shared" si="22"/>
        <v>0</v>
      </c>
      <c r="O35" s="3">
        <f t="shared" si="22"/>
        <v>0</v>
      </c>
      <c r="P35" s="3">
        <f t="shared" si="22"/>
        <v>0</v>
      </c>
      <c r="Q35" s="3">
        <f t="shared" si="22"/>
        <v>0</v>
      </c>
      <c r="R35" s="3">
        <f t="shared" si="22"/>
        <v>0</v>
      </c>
      <c r="S35" s="3">
        <f t="shared" si="22"/>
        <v>0</v>
      </c>
      <c r="T35" s="3">
        <f t="shared" si="22"/>
        <v>0</v>
      </c>
      <c r="U35" s="3">
        <f t="shared" si="22"/>
        <v>0</v>
      </c>
      <c r="V35" s="3">
        <f t="shared" si="22"/>
        <v>0</v>
      </c>
      <c r="W35" s="3">
        <f t="shared" si="22"/>
        <v>0</v>
      </c>
      <c r="X35" s="3">
        <f t="shared" si="22"/>
        <v>0</v>
      </c>
      <c r="Y35" s="3">
        <f t="shared" si="22"/>
        <v>0</v>
      </c>
      <c r="Z35" s="3">
        <f t="shared" si="22"/>
        <v>0</v>
      </c>
      <c r="AA35" s="3">
        <f t="shared" si="22"/>
        <v>0</v>
      </c>
      <c r="AB35" s="3">
        <f t="shared" si="22"/>
        <v>0</v>
      </c>
      <c r="AC35" s="3">
        <f t="shared" si="22"/>
        <v>0</v>
      </c>
      <c r="AD35" s="3">
        <f t="shared" si="22"/>
        <v>0</v>
      </c>
      <c r="AE35" s="3">
        <f t="shared" si="22"/>
        <v>0</v>
      </c>
      <c r="AF35" s="3">
        <f t="shared" si="22"/>
        <v>1598.13174618676</v>
      </c>
      <c r="AG35" s="3">
        <f t="shared" si="22"/>
        <v>1406.6581046773599</v>
      </c>
      <c r="AH35" s="3">
        <f t="shared" si="22"/>
        <v>1362.77365697287</v>
      </c>
      <c r="AI35" s="3">
        <f t="shared" si="22"/>
        <v>1304.44797906534</v>
      </c>
      <c r="AJ35" s="3">
        <f t="shared" si="22"/>
        <v>1308.4432255555801</v>
      </c>
      <c r="AK35" s="3">
        <f t="shared" si="22"/>
        <v>1312.4507086353899</v>
      </c>
      <c r="AL35" s="3">
        <f t="shared" si="22"/>
        <v>1316.4704657828099</v>
      </c>
      <c r="AM35" s="3">
        <f t="shared" si="22"/>
        <v>1311.1189690183</v>
      </c>
      <c r="AN35" s="3">
        <f t="shared" si="22"/>
        <v>1299.58243825872</v>
      </c>
      <c r="AO35" s="3">
        <f t="shared" si="22"/>
        <v>1279.58474058465</v>
      </c>
      <c r="AP35" s="3">
        <f t="shared" si="22"/>
        <v>1246.53109707762</v>
      </c>
      <c r="AQ35" s="3">
        <f t="shared" si="22"/>
        <v>1196.9192045787499</v>
      </c>
      <c r="AR35" s="3">
        <f t="shared" si="22"/>
        <v>1126.5066611201701</v>
      </c>
      <c r="AS35" s="3">
        <f t="shared" si="22"/>
        <v>1032.0726663703001</v>
      </c>
      <c r="AT35" s="3">
        <f t="shared" si="22"/>
        <v>913.789442575198</v>
      </c>
      <c r="AU35" s="3">
        <f t="shared" si="22"/>
        <v>776.95278746284305</v>
      </c>
      <c r="AV35" s="3">
        <f t="shared" si="22"/>
        <v>631.91661769246298</v>
      </c>
      <c r="AW35" s="3">
        <f t="shared" si="22"/>
        <v>491.40707740120001</v>
      </c>
      <c r="AX35" s="3">
        <f t="shared" si="22"/>
        <v>366.44097208559901</v>
      </c>
      <c r="AY35" s="3">
        <f t="shared" si="22"/>
        <v>263.367603171903</v>
      </c>
      <c r="AZ35" s="3">
        <f t="shared" si="22"/>
        <v>183.45888855276101</v>
      </c>
      <c r="BA35" s="3">
        <f t="shared" si="22"/>
        <v>124.414111981403</v>
      </c>
      <c r="BB35" s="3">
        <f t="shared" si="22"/>
        <v>82.333371162288699</v>
      </c>
      <c r="BC35" s="3">
        <f t="shared" si="22"/>
        <v>53.083077142751698</v>
      </c>
      <c r="BD35" s="3">
        <f t="shared" si="22"/>
        <v>33.1131713806218</v>
      </c>
      <c r="BE35" s="3">
        <f t="shared" si="22"/>
        <v>19.631369493507599</v>
      </c>
      <c r="BF35" s="3">
        <f t="shared" si="22"/>
        <v>19.706790811726101</v>
      </c>
      <c r="BG35" s="3">
        <f t="shared" si="22"/>
        <v>19.786393677934701</v>
      </c>
      <c r="BH35" s="3">
        <f t="shared" si="22"/>
        <v>19.869446045084501</v>
      </c>
      <c r="BI35" s="3">
        <f t="shared" si="22"/>
        <v>19.9552052809644</v>
      </c>
      <c r="BJ35" s="3">
        <f t="shared" si="22"/>
        <v>20.042916901023101</v>
      </c>
      <c r="BK35" s="3">
        <f t="shared" si="22"/>
        <v>20.1318135818725</v>
      </c>
      <c r="BL35" s="3">
        <f t="shared" si="22"/>
        <v>20.2211144629727</v>
      </c>
      <c r="BM35" s="3">
        <f t="shared" si="22"/>
        <v>20.310024745000099</v>
      </c>
      <c r="BN35" s="3">
        <f t="shared" si="22"/>
        <v>20.397735594091401</v>
      </c>
      <c r="BO35" s="3">
        <f t="shared" si="22"/>
        <v>20.483424361538699</v>
      </c>
      <c r="BP35" s="3">
        <f t="shared" si="22"/>
        <v>20.566255128533101</v>
      </c>
      <c r="BQ35" s="3">
        <f t="shared" si="22"/>
        <v>20.653685467442799</v>
      </c>
      <c r="BR35" s="3">
        <f t="shared" si="22"/>
        <v>20.745770237125701</v>
      </c>
      <c r="BS35" s="3">
        <f t="shared" si="22"/>
        <v>20.842567413707599</v>
      </c>
      <c r="BT35" s="3">
        <f t="shared" si="21"/>
        <v>20.944138151275698</v>
      </c>
      <c r="BU35" s="3">
        <f t="shared" si="21"/>
        <v>21.050546846112699</v>
      </c>
      <c r="BV35" s="3">
        <f t="shared" si="21"/>
        <v>21.161861204564101</v>
      </c>
      <c r="BW35" s="3">
        <f t="shared" si="21"/>
        <v>21.278152314641499</v>
      </c>
      <c r="BX35" s="3">
        <f t="shared" si="21"/>
        <v>21.399494721465999</v>
      </c>
      <c r="BY35" s="3">
        <f t="shared" si="21"/>
        <v>21.525966506662002</v>
      </c>
      <c r="BZ35" s="3">
        <f t="shared" si="21"/>
        <v>21.657649371822998</v>
      </c>
      <c r="CA35" s="3">
        <f t="shared" si="21"/>
        <v>21.794628726170899</v>
      </c>
      <c r="CB35" s="3">
        <f t="shared" si="21"/>
        <v>21.936993778541002</v>
      </c>
      <c r="CC35" s="3">
        <f t="shared" si="21"/>
        <v>22.084837633831601</v>
      </c>
      <c r="CD35" s="3">
        <f t="shared" si="21"/>
        <v>22.2382573940627</v>
      </c>
    </row>
    <row r="36" spans="3:82" s="3" customFormat="1" x14ac:dyDescent="0.2">
      <c r="D36" s="3" t="s">
        <v>21</v>
      </c>
      <c r="F36" s="3" t="s">
        <v>7</v>
      </c>
      <c r="G36" s="3">
        <f>O282</f>
        <v>0</v>
      </c>
      <c r="H36" s="3">
        <f t="shared" si="22"/>
        <v>0</v>
      </c>
      <c r="I36" s="3">
        <f t="shared" si="22"/>
        <v>0</v>
      </c>
      <c r="J36" s="3">
        <f t="shared" si="22"/>
        <v>0</v>
      </c>
      <c r="K36" s="3">
        <f t="shared" si="22"/>
        <v>0</v>
      </c>
      <c r="L36" s="3">
        <f t="shared" si="22"/>
        <v>0</v>
      </c>
      <c r="M36" s="3">
        <f t="shared" si="22"/>
        <v>0</v>
      </c>
      <c r="N36" s="3">
        <f t="shared" si="22"/>
        <v>0</v>
      </c>
      <c r="O36" s="3">
        <f t="shared" si="22"/>
        <v>0</v>
      </c>
      <c r="P36" s="3">
        <f t="shared" si="22"/>
        <v>0</v>
      </c>
      <c r="Q36" s="3">
        <f t="shared" si="22"/>
        <v>0</v>
      </c>
      <c r="R36" s="3">
        <f t="shared" si="22"/>
        <v>0</v>
      </c>
      <c r="S36" s="3">
        <f t="shared" si="22"/>
        <v>0</v>
      </c>
      <c r="T36" s="3">
        <f t="shared" si="22"/>
        <v>0</v>
      </c>
      <c r="U36" s="3">
        <f t="shared" si="22"/>
        <v>0</v>
      </c>
      <c r="V36" s="3">
        <f t="shared" si="22"/>
        <v>0</v>
      </c>
      <c r="W36" s="3">
        <f t="shared" si="22"/>
        <v>0</v>
      </c>
      <c r="X36" s="3">
        <f t="shared" si="22"/>
        <v>0</v>
      </c>
      <c r="Y36" s="3">
        <f t="shared" si="22"/>
        <v>0</v>
      </c>
      <c r="Z36" s="3">
        <f t="shared" si="22"/>
        <v>0</v>
      </c>
      <c r="AA36" s="3">
        <f t="shared" si="22"/>
        <v>0</v>
      </c>
      <c r="AB36" s="3">
        <f t="shared" si="22"/>
        <v>0</v>
      </c>
      <c r="AC36" s="3">
        <f t="shared" si="22"/>
        <v>0</v>
      </c>
      <c r="AD36" s="3">
        <f t="shared" si="22"/>
        <v>0</v>
      </c>
      <c r="AE36" s="3">
        <f t="shared" si="22"/>
        <v>0</v>
      </c>
      <c r="AF36" s="3">
        <f t="shared" si="22"/>
        <v>251.561641902031</v>
      </c>
      <c r="AG36" s="3">
        <f t="shared" si="22"/>
        <v>344.96968915059</v>
      </c>
      <c r="AH36" s="3">
        <f t="shared" si="22"/>
        <v>478.54825574873598</v>
      </c>
      <c r="AI36" s="3">
        <f t="shared" si="22"/>
        <v>620.72416389737498</v>
      </c>
      <c r="AJ36" s="3">
        <f t="shared" si="22"/>
        <v>622.62530988174706</v>
      </c>
      <c r="AK36" s="3">
        <f t="shared" si="22"/>
        <v>624.53227867158296</v>
      </c>
      <c r="AL36" s="3">
        <f t="shared" si="22"/>
        <v>626.44508810089906</v>
      </c>
      <c r="AM36" s="3">
        <f t="shared" si="22"/>
        <v>682.39973241490509</v>
      </c>
      <c r="AN36" s="3">
        <f t="shared" si="22"/>
        <v>764.75159600984296</v>
      </c>
      <c r="AO36" s="3">
        <f t="shared" si="22"/>
        <v>885.55227380095903</v>
      </c>
      <c r="AP36" s="3">
        <f t="shared" si="22"/>
        <v>1059.4894458000799</v>
      </c>
      <c r="AQ36" s="3">
        <f t="shared" si="22"/>
        <v>1305.3621268072</v>
      </c>
      <c r="AR36" s="3">
        <f t="shared" si="22"/>
        <v>1641.8601003490801</v>
      </c>
      <c r="AS36" s="3">
        <f t="shared" si="22"/>
        <v>2081.6641916048602</v>
      </c>
      <c r="AT36" s="3">
        <f t="shared" si="22"/>
        <v>2623.1625623179698</v>
      </c>
      <c r="AU36" s="3">
        <f t="shared" si="22"/>
        <v>3243.11625810747</v>
      </c>
      <c r="AV36" s="3">
        <f t="shared" si="22"/>
        <v>3896.9395804528499</v>
      </c>
      <c r="AW36" s="3">
        <f t="shared" si="22"/>
        <v>4530.0896401525597</v>
      </c>
      <c r="AX36" s="3">
        <f t="shared" si="22"/>
        <v>5095.3728193198795</v>
      </c>
      <c r="AY36" s="3">
        <f t="shared" si="22"/>
        <v>5565.4892027493697</v>
      </c>
      <c r="AZ36" s="3">
        <f t="shared" si="22"/>
        <v>5934.7744593806301</v>
      </c>
      <c r="BA36" s="3">
        <f t="shared" si="22"/>
        <v>6212.8250533095006</v>
      </c>
      <c r="BB36" s="3">
        <f t="shared" si="22"/>
        <v>6418.0434689674303</v>
      </c>
      <c r="BC36" s="3">
        <f t="shared" si="22"/>
        <v>6567.6927185142104</v>
      </c>
      <c r="BD36" s="3">
        <f t="shared" si="22"/>
        <v>6679.0233859772097</v>
      </c>
      <c r="BE36" s="3">
        <f t="shared" si="22"/>
        <v>6763.0705732697306</v>
      </c>
      <c r="BF36" s="3">
        <f t="shared" si="22"/>
        <v>6789.0534624415704</v>
      </c>
      <c r="BG36" s="3">
        <f t="shared" si="22"/>
        <v>6816.47690848192</v>
      </c>
      <c r="BH36" s="3">
        <f t="shared" si="22"/>
        <v>6845.0887188039906</v>
      </c>
      <c r="BI36" s="3">
        <f t="shared" si="22"/>
        <v>6874.6330541983298</v>
      </c>
      <c r="BJ36" s="3">
        <f t="shared" si="22"/>
        <v>6904.8499922855408</v>
      </c>
      <c r="BK36" s="3">
        <f t="shared" si="22"/>
        <v>6935.47518766541</v>
      </c>
      <c r="BL36" s="3">
        <f t="shared" si="22"/>
        <v>6966.2396313450299</v>
      </c>
      <c r="BM36" s="3">
        <f t="shared" si="22"/>
        <v>6996.8695123749094</v>
      </c>
      <c r="BN36" s="3">
        <f t="shared" si="22"/>
        <v>7027.0861848613804</v>
      </c>
      <c r="BO36" s="3">
        <f t="shared" si="22"/>
        <v>7056.6062436516804</v>
      </c>
      <c r="BP36" s="3">
        <f t="shared" si="22"/>
        <v>7085.1417120002707</v>
      </c>
      <c r="BQ36" s="3">
        <f t="shared" si="22"/>
        <v>7115.2617478177699</v>
      </c>
      <c r="BR36" s="3">
        <f t="shared" si="22"/>
        <v>7146.9852501589703</v>
      </c>
      <c r="BS36" s="3">
        <f t="shared" si="22"/>
        <v>7180.3321919875998</v>
      </c>
      <c r="BT36" s="3">
        <f t="shared" si="21"/>
        <v>7215.3236410854506</v>
      </c>
      <c r="BU36" s="3">
        <f t="shared" si="21"/>
        <v>7251.9817821809902</v>
      </c>
      <c r="BV36" s="3">
        <f t="shared" si="21"/>
        <v>7290.3299403303099</v>
      </c>
      <c r="BW36" s="3">
        <f t="shared" si="21"/>
        <v>7330.3926055844186</v>
      </c>
      <c r="BX36" s="3">
        <f t="shared" si="21"/>
        <v>7372.1954589796214</v>
      </c>
      <c r="BY36" s="3">
        <f t="shared" si="21"/>
        <v>7415.7653998892902</v>
      </c>
      <c r="BZ36" s="3">
        <f t="shared" si="21"/>
        <v>7461.1305747778197</v>
      </c>
      <c r="CA36" s="3">
        <f t="shared" si="21"/>
        <v>7508.3204073996394</v>
      </c>
      <c r="CB36" s="3">
        <f t="shared" si="21"/>
        <v>7557.3656304883698</v>
      </c>
      <c r="CC36" s="3">
        <f t="shared" si="21"/>
        <v>7608.2983189839797</v>
      </c>
      <c r="CD36" s="3">
        <f t="shared" si="21"/>
        <v>7661.1519248478098</v>
      </c>
    </row>
    <row r="37" spans="3:82" s="3" customFormat="1" x14ac:dyDescent="0.2">
      <c r="D37" s="3" t="s">
        <v>21</v>
      </c>
      <c r="F37" s="3" t="s">
        <v>8</v>
      </c>
      <c r="G37" s="3">
        <f>O283</f>
        <v>0</v>
      </c>
      <c r="H37" s="3">
        <f t="shared" si="22"/>
        <v>0</v>
      </c>
      <c r="I37" s="3">
        <f t="shared" si="22"/>
        <v>0</v>
      </c>
      <c r="J37" s="3">
        <f t="shared" si="22"/>
        <v>0</v>
      </c>
      <c r="K37" s="3">
        <f t="shared" si="22"/>
        <v>0</v>
      </c>
      <c r="L37" s="3">
        <f t="shared" si="22"/>
        <v>0</v>
      </c>
      <c r="M37" s="3">
        <f t="shared" si="22"/>
        <v>0</v>
      </c>
      <c r="N37" s="3">
        <f t="shared" si="22"/>
        <v>0</v>
      </c>
      <c r="O37" s="3">
        <f t="shared" si="22"/>
        <v>0</v>
      </c>
      <c r="P37" s="3">
        <f t="shared" si="22"/>
        <v>0</v>
      </c>
      <c r="Q37" s="3">
        <f t="shared" si="22"/>
        <v>0</v>
      </c>
      <c r="R37" s="3">
        <f t="shared" si="22"/>
        <v>0</v>
      </c>
      <c r="S37" s="3">
        <f t="shared" si="22"/>
        <v>0</v>
      </c>
      <c r="T37" s="3">
        <f t="shared" si="22"/>
        <v>0</v>
      </c>
      <c r="U37" s="3">
        <f t="shared" si="22"/>
        <v>0</v>
      </c>
      <c r="V37" s="3">
        <f t="shared" si="22"/>
        <v>0</v>
      </c>
      <c r="W37" s="3">
        <f t="shared" si="22"/>
        <v>0</v>
      </c>
      <c r="X37" s="3">
        <f t="shared" si="22"/>
        <v>0</v>
      </c>
      <c r="Y37" s="3">
        <f t="shared" si="22"/>
        <v>0</v>
      </c>
      <c r="Z37" s="3">
        <f t="shared" si="22"/>
        <v>0</v>
      </c>
      <c r="AA37" s="3">
        <f t="shared" si="22"/>
        <v>0</v>
      </c>
      <c r="AB37" s="3">
        <f t="shared" si="22"/>
        <v>0</v>
      </c>
      <c r="AC37" s="3">
        <f t="shared" si="22"/>
        <v>0</v>
      </c>
      <c r="AD37" s="3">
        <f t="shared" si="22"/>
        <v>0</v>
      </c>
      <c r="AE37" s="3">
        <f t="shared" si="22"/>
        <v>0</v>
      </c>
      <c r="AF37" s="3">
        <f t="shared" si="22"/>
        <v>421.45859983382701</v>
      </c>
      <c r="AG37" s="3">
        <f t="shared" si="22"/>
        <v>371.92936758258099</v>
      </c>
      <c r="AH37" s="3">
        <f t="shared" si="22"/>
        <v>361.45474735473101</v>
      </c>
      <c r="AI37" s="3">
        <f t="shared" si="22"/>
        <v>347.25669698742098</v>
      </c>
      <c r="AJ37" s="3">
        <f t="shared" si="22"/>
        <v>348.32027033194601</v>
      </c>
      <c r="AK37" s="3">
        <f t="shared" si="22"/>
        <v>349.38710117522902</v>
      </c>
      <c r="AL37" s="3">
        <f t="shared" si="22"/>
        <v>350.45719949429503</v>
      </c>
      <c r="AM37" s="3">
        <f t="shared" si="22"/>
        <v>349.41289299213599</v>
      </c>
      <c r="AN37" s="3">
        <f t="shared" si="22"/>
        <v>346.912811161825</v>
      </c>
      <c r="AO37" s="3">
        <f t="shared" si="22"/>
        <v>342.436413515867</v>
      </c>
      <c r="AP37" s="3">
        <f t="shared" si="22"/>
        <v>334.87022333363501</v>
      </c>
      <c r="AQ37" s="3">
        <f t="shared" si="22"/>
        <v>323.41493959182901</v>
      </c>
      <c r="AR37" s="3">
        <f t="shared" si="22"/>
        <v>307.07581917384101</v>
      </c>
      <c r="AS37" s="3">
        <f t="shared" si="22"/>
        <v>285.08785489564889</v>
      </c>
      <c r="AT37" s="3">
        <f t="shared" si="22"/>
        <v>257.48588272164199</v>
      </c>
      <c r="AU37" s="3">
        <f t="shared" si="22"/>
        <v>225.512237272108</v>
      </c>
      <c r="AV37" s="3">
        <f t="shared" si="22"/>
        <v>191.601351831915</v>
      </c>
      <c r="AW37" s="3">
        <f t="shared" si="22"/>
        <v>158.74709984938701</v>
      </c>
      <c r="AX37" s="3">
        <f t="shared" si="22"/>
        <v>129.54137741709201</v>
      </c>
      <c r="AY37" s="3">
        <f t="shared" si="22"/>
        <v>105.477312893831</v>
      </c>
      <c r="AZ37" s="3">
        <f t="shared" si="22"/>
        <v>86.8527448826202</v>
      </c>
      <c r="BA37" s="3">
        <f t="shared" si="22"/>
        <v>73.124703913678403</v>
      </c>
      <c r="BB37" s="3">
        <f t="shared" si="22"/>
        <v>63.386696361791202</v>
      </c>
      <c r="BC37" s="3">
        <f t="shared" si="22"/>
        <v>56.663334191686801</v>
      </c>
      <c r="BD37" s="3">
        <f t="shared" si="22"/>
        <v>52.132684876503212</v>
      </c>
      <c r="BE37" s="3">
        <f t="shared" si="22"/>
        <v>49.131791936289602</v>
      </c>
      <c r="BF37" s="3">
        <f t="shared" si="22"/>
        <v>49.320550265936397</v>
      </c>
      <c r="BG37" s="3">
        <f t="shared" si="22"/>
        <v>49.5197738331659</v>
      </c>
      <c r="BH37" s="3">
        <f t="shared" si="22"/>
        <v>49.727630530273203</v>
      </c>
      <c r="BI37" s="3">
        <f t="shared" si="22"/>
        <v>49.9422617578741</v>
      </c>
      <c r="BJ37" s="3">
        <f t="shared" si="22"/>
        <v>50.161779253509998</v>
      </c>
      <c r="BK37" s="3">
        <f t="shared" si="22"/>
        <v>50.384262622729601</v>
      </c>
      <c r="BL37" s="3">
        <f t="shared" si="22"/>
        <v>50.607757591401999</v>
      </c>
      <c r="BM37" s="3">
        <f t="shared" si="22"/>
        <v>50.830275000541903</v>
      </c>
      <c r="BN37" s="3">
        <f t="shared" si="22"/>
        <v>51.049790566663297</v>
      </c>
      <c r="BO37" s="3">
        <f t="shared" si="22"/>
        <v>51.264245431612501</v>
      </c>
      <c r="BP37" s="3">
        <f t="shared" si="22"/>
        <v>51.4715475259081</v>
      </c>
      <c r="BQ37" s="3">
        <f t="shared" si="22"/>
        <v>51.6903610540041</v>
      </c>
      <c r="BR37" s="3">
        <f t="shared" si="22"/>
        <v>51.920823312179898</v>
      </c>
      <c r="BS37" s="3">
        <f t="shared" ref="BS37:CD40" si="23">CA283</f>
        <v>52.163079398359699</v>
      </c>
      <c r="BT37" s="3">
        <f t="shared" si="23"/>
        <v>52.417282364009502</v>
      </c>
      <c r="BU37" s="3">
        <f t="shared" si="23"/>
        <v>52.683593374897796</v>
      </c>
      <c r="BV37" s="3">
        <f t="shared" si="23"/>
        <v>52.962181880949899</v>
      </c>
      <c r="BW37" s="3">
        <f t="shared" si="23"/>
        <v>53.253225795449197</v>
      </c>
      <c r="BX37" s="3">
        <f t="shared" si="23"/>
        <v>53.5569116838493</v>
      </c>
      <c r="BY37" s="3">
        <f t="shared" si="23"/>
        <v>53.8734349624781</v>
      </c>
      <c r="BZ37" s="3">
        <f t="shared" si="23"/>
        <v>54.203000107426597</v>
      </c>
      <c r="CA37" s="3">
        <f t="shared" si="23"/>
        <v>54.545820873935597</v>
      </c>
      <c r="CB37" s="3">
        <f t="shared" si="23"/>
        <v>54.902120526609401</v>
      </c>
      <c r="CC37" s="3">
        <f t="shared" si="23"/>
        <v>55.272132080800901</v>
      </c>
      <c r="CD37" s="3">
        <f t="shared" si="23"/>
        <v>55.656098555533397</v>
      </c>
    </row>
    <row r="38" spans="3:82" s="3" customFormat="1" x14ac:dyDescent="0.2">
      <c r="D38" s="3" t="s">
        <v>22</v>
      </c>
      <c r="F38" s="3" t="s">
        <v>6</v>
      </c>
      <c r="G38" s="3">
        <f>O284</f>
        <v>0</v>
      </c>
      <c r="H38" s="3">
        <f t="shared" ref="H38:BS41" si="24">P284</f>
        <v>0</v>
      </c>
      <c r="I38" s="3">
        <f t="shared" si="24"/>
        <v>0</v>
      </c>
      <c r="J38" s="3">
        <f t="shared" si="24"/>
        <v>0</v>
      </c>
      <c r="K38" s="3">
        <f t="shared" si="24"/>
        <v>0</v>
      </c>
      <c r="L38" s="3">
        <f t="shared" si="24"/>
        <v>0</v>
      </c>
      <c r="M38" s="3">
        <f t="shared" si="24"/>
        <v>0</v>
      </c>
      <c r="N38" s="3">
        <f t="shared" si="24"/>
        <v>0</v>
      </c>
      <c r="O38" s="3">
        <f t="shared" si="24"/>
        <v>0</v>
      </c>
      <c r="P38" s="3">
        <f t="shared" si="24"/>
        <v>0</v>
      </c>
      <c r="Q38" s="3">
        <f t="shared" si="24"/>
        <v>0</v>
      </c>
      <c r="R38" s="3">
        <f t="shared" si="24"/>
        <v>0</v>
      </c>
      <c r="S38" s="3">
        <f t="shared" si="24"/>
        <v>0</v>
      </c>
      <c r="T38" s="3">
        <f t="shared" si="24"/>
        <v>0</v>
      </c>
      <c r="U38" s="3">
        <f t="shared" si="24"/>
        <v>0</v>
      </c>
      <c r="V38" s="3">
        <f t="shared" si="24"/>
        <v>0</v>
      </c>
      <c r="W38" s="3">
        <f t="shared" si="24"/>
        <v>0</v>
      </c>
      <c r="X38" s="3">
        <f t="shared" si="24"/>
        <v>0</v>
      </c>
      <c r="Y38" s="3">
        <f t="shared" si="24"/>
        <v>0</v>
      </c>
      <c r="Z38" s="3">
        <f t="shared" si="24"/>
        <v>0</v>
      </c>
      <c r="AA38" s="3">
        <f t="shared" si="24"/>
        <v>0</v>
      </c>
      <c r="AB38" s="3">
        <f t="shared" si="24"/>
        <v>0</v>
      </c>
      <c r="AC38" s="3">
        <f t="shared" si="24"/>
        <v>0</v>
      </c>
      <c r="AD38" s="3">
        <f t="shared" si="24"/>
        <v>0</v>
      </c>
      <c r="AE38" s="3">
        <f t="shared" si="24"/>
        <v>0</v>
      </c>
      <c r="AF38" s="3">
        <f t="shared" si="24"/>
        <v>0</v>
      </c>
      <c r="AG38" s="3">
        <f t="shared" si="24"/>
        <v>0</v>
      </c>
      <c r="AH38" s="3">
        <f t="shared" si="24"/>
        <v>0</v>
      </c>
      <c r="AI38" s="3">
        <f t="shared" si="24"/>
        <v>0</v>
      </c>
      <c r="AJ38" s="3">
        <f t="shared" si="24"/>
        <v>0</v>
      </c>
      <c r="AK38" s="3">
        <f t="shared" si="24"/>
        <v>0</v>
      </c>
      <c r="AL38" s="3">
        <f t="shared" si="24"/>
        <v>0</v>
      </c>
      <c r="AM38" s="3">
        <f t="shared" si="24"/>
        <v>0</v>
      </c>
      <c r="AN38" s="3">
        <f t="shared" si="24"/>
        <v>0</v>
      </c>
      <c r="AO38" s="3">
        <f t="shared" si="24"/>
        <v>0</v>
      </c>
      <c r="AP38" s="3">
        <f t="shared" si="24"/>
        <v>0</v>
      </c>
      <c r="AQ38" s="3">
        <f t="shared" si="24"/>
        <v>0</v>
      </c>
      <c r="AR38" s="3">
        <f t="shared" si="24"/>
        <v>0</v>
      </c>
      <c r="AS38" s="3">
        <f t="shared" si="24"/>
        <v>0</v>
      </c>
      <c r="AT38" s="3">
        <f t="shared" si="24"/>
        <v>0</v>
      </c>
      <c r="AU38" s="3">
        <f t="shared" si="24"/>
        <v>0</v>
      </c>
      <c r="AV38" s="3">
        <f t="shared" si="24"/>
        <v>0</v>
      </c>
      <c r="AW38" s="3">
        <f t="shared" si="24"/>
        <v>0</v>
      </c>
      <c r="AX38" s="3">
        <f t="shared" si="24"/>
        <v>0</v>
      </c>
      <c r="AY38" s="3">
        <f t="shared" si="24"/>
        <v>0</v>
      </c>
      <c r="AZ38" s="3">
        <f t="shared" si="24"/>
        <v>0</v>
      </c>
      <c r="BA38" s="3">
        <f t="shared" si="24"/>
        <v>0</v>
      </c>
      <c r="BB38" s="3">
        <f t="shared" si="24"/>
        <v>0</v>
      </c>
      <c r="BC38" s="3">
        <f t="shared" si="24"/>
        <v>0</v>
      </c>
      <c r="BD38" s="3">
        <f t="shared" si="24"/>
        <v>0</v>
      </c>
      <c r="BE38" s="3">
        <f t="shared" si="24"/>
        <v>0</v>
      </c>
      <c r="BF38" s="3">
        <f t="shared" si="24"/>
        <v>0</v>
      </c>
      <c r="BG38" s="3">
        <f t="shared" si="24"/>
        <v>0</v>
      </c>
      <c r="BH38" s="3">
        <f t="shared" si="24"/>
        <v>0</v>
      </c>
      <c r="BI38" s="3">
        <f t="shared" si="24"/>
        <v>0</v>
      </c>
      <c r="BJ38" s="3">
        <f t="shared" si="24"/>
        <v>0</v>
      </c>
      <c r="BK38" s="3">
        <f t="shared" si="24"/>
        <v>0</v>
      </c>
      <c r="BL38" s="3">
        <f t="shared" si="24"/>
        <v>0</v>
      </c>
      <c r="BM38" s="3">
        <f t="shared" si="24"/>
        <v>0</v>
      </c>
      <c r="BN38" s="3">
        <f t="shared" si="24"/>
        <v>0</v>
      </c>
      <c r="BO38" s="3">
        <f t="shared" si="24"/>
        <v>0</v>
      </c>
      <c r="BP38" s="3">
        <f t="shared" si="24"/>
        <v>0</v>
      </c>
      <c r="BQ38" s="3">
        <f t="shared" si="24"/>
        <v>0</v>
      </c>
      <c r="BR38" s="3">
        <f t="shared" si="24"/>
        <v>0</v>
      </c>
      <c r="BS38" s="3">
        <f t="shared" si="24"/>
        <v>0</v>
      </c>
      <c r="BT38" s="3">
        <f t="shared" si="23"/>
        <v>0</v>
      </c>
      <c r="BU38" s="3">
        <f t="shared" si="23"/>
        <v>0</v>
      </c>
      <c r="BV38" s="3">
        <f t="shared" si="23"/>
        <v>0</v>
      </c>
      <c r="BW38" s="3">
        <f t="shared" si="23"/>
        <v>0</v>
      </c>
      <c r="BX38" s="3">
        <f t="shared" si="23"/>
        <v>0</v>
      </c>
      <c r="BY38" s="3">
        <f t="shared" si="23"/>
        <v>0</v>
      </c>
      <c r="BZ38" s="3">
        <f t="shared" si="23"/>
        <v>0</v>
      </c>
      <c r="CA38" s="3">
        <f t="shared" si="23"/>
        <v>0</v>
      </c>
      <c r="CB38" s="3">
        <f t="shared" si="23"/>
        <v>0</v>
      </c>
      <c r="CC38" s="3">
        <f t="shared" si="23"/>
        <v>0</v>
      </c>
      <c r="CD38" s="3">
        <f t="shared" si="23"/>
        <v>0</v>
      </c>
    </row>
    <row r="39" spans="3:82" s="3" customFormat="1" x14ac:dyDescent="0.2">
      <c r="D39" s="3" t="s">
        <v>22</v>
      </c>
      <c r="F39" s="3" t="s">
        <v>7</v>
      </c>
      <c r="G39" s="3">
        <f>O285</f>
        <v>0</v>
      </c>
      <c r="H39" s="3">
        <f t="shared" si="24"/>
        <v>0</v>
      </c>
      <c r="I39" s="3">
        <f t="shared" si="24"/>
        <v>0</v>
      </c>
      <c r="J39" s="3">
        <f t="shared" si="24"/>
        <v>0</v>
      </c>
      <c r="K39" s="3">
        <f t="shared" si="24"/>
        <v>0</v>
      </c>
      <c r="L39" s="3">
        <f t="shared" si="24"/>
        <v>0</v>
      </c>
      <c r="M39" s="3">
        <f t="shared" si="24"/>
        <v>0</v>
      </c>
      <c r="N39" s="3">
        <f t="shared" si="24"/>
        <v>0</v>
      </c>
      <c r="O39" s="3">
        <f t="shared" si="24"/>
        <v>0</v>
      </c>
      <c r="P39" s="3">
        <f t="shared" si="24"/>
        <v>0</v>
      </c>
      <c r="Q39" s="3">
        <f t="shared" si="24"/>
        <v>0</v>
      </c>
      <c r="R39" s="3">
        <f t="shared" si="24"/>
        <v>0</v>
      </c>
      <c r="S39" s="3">
        <f t="shared" si="24"/>
        <v>0</v>
      </c>
      <c r="T39" s="3">
        <f t="shared" si="24"/>
        <v>0</v>
      </c>
      <c r="U39" s="3">
        <f t="shared" si="24"/>
        <v>0</v>
      </c>
      <c r="V39" s="3">
        <f t="shared" si="24"/>
        <v>0</v>
      </c>
      <c r="W39" s="3">
        <f t="shared" si="24"/>
        <v>0</v>
      </c>
      <c r="X39" s="3">
        <f t="shared" si="24"/>
        <v>0</v>
      </c>
      <c r="Y39" s="3">
        <f t="shared" si="24"/>
        <v>0</v>
      </c>
      <c r="Z39" s="3">
        <f t="shared" si="24"/>
        <v>0</v>
      </c>
      <c r="AA39" s="3">
        <f t="shared" si="24"/>
        <v>0</v>
      </c>
      <c r="AB39" s="3">
        <f t="shared" si="24"/>
        <v>0</v>
      </c>
      <c r="AC39" s="3">
        <f t="shared" si="24"/>
        <v>0</v>
      </c>
      <c r="AD39" s="3">
        <f t="shared" si="24"/>
        <v>0</v>
      </c>
      <c r="AE39" s="3">
        <f t="shared" si="24"/>
        <v>0</v>
      </c>
      <c r="AF39" s="3">
        <f t="shared" si="24"/>
        <v>0</v>
      </c>
      <c r="AG39" s="3">
        <f t="shared" si="24"/>
        <v>0</v>
      </c>
      <c r="AH39" s="3">
        <f t="shared" si="24"/>
        <v>0</v>
      </c>
      <c r="AI39" s="3">
        <f t="shared" si="24"/>
        <v>0</v>
      </c>
      <c r="AJ39" s="3">
        <f t="shared" si="24"/>
        <v>0</v>
      </c>
      <c r="AK39" s="3">
        <f t="shared" si="24"/>
        <v>0</v>
      </c>
      <c r="AL39" s="3">
        <f t="shared" si="24"/>
        <v>0</v>
      </c>
      <c r="AM39" s="3">
        <f t="shared" si="24"/>
        <v>0</v>
      </c>
      <c r="AN39" s="3">
        <f t="shared" si="24"/>
        <v>0</v>
      </c>
      <c r="AO39" s="3">
        <f t="shared" si="24"/>
        <v>0</v>
      </c>
      <c r="AP39" s="3">
        <f t="shared" si="24"/>
        <v>0</v>
      </c>
      <c r="AQ39" s="3">
        <f t="shared" si="24"/>
        <v>0</v>
      </c>
      <c r="AR39" s="3">
        <f t="shared" si="24"/>
        <v>0</v>
      </c>
      <c r="AS39" s="3">
        <f t="shared" si="24"/>
        <v>0</v>
      </c>
      <c r="AT39" s="3">
        <f t="shared" si="24"/>
        <v>0</v>
      </c>
      <c r="AU39" s="3">
        <f t="shared" si="24"/>
        <v>0</v>
      </c>
      <c r="AV39" s="3">
        <f t="shared" si="24"/>
        <v>0</v>
      </c>
      <c r="AW39" s="3">
        <f t="shared" si="24"/>
        <v>0</v>
      </c>
      <c r="AX39" s="3">
        <f t="shared" si="24"/>
        <v>0</v>
      </c>
      <c r="AY39" s="3">
        <f t="shared" si="24"/>
        <v>0</v>
      </c>
      <c r="AZ39" s="3">
        <f t="shared" si="24"/>
        <v>0</v>
      </c>
      <c r="BA39" s="3">
        <f t="shared" si="24"/>
        <v>0</v>
      </c>
      <c r="BB39" s="3">
        <f t="shared" si="24"/>
        <v>0</v>
      </c>
      <c r="BC39" s="3">
        <f t="shared" si="24"/>
        <v>0</v>
      </c>
      <c r="BD39" s="3">
        <f t="shared" si="24"/>
        <v>0</v>
      </c>
      <c r="BE39" s="3">
        <f t="shared" si="24"/>
        <v>0</v>
      </c>
      <c r="BF39" s="3">
        <f t="shared" si="24"/>
        <v>0</v>
      </c>
      <c r="BG39" s="3">
        <f t="shared" si="24"/>
        <v>0</v>
      </c>
      <c r="BH39" s="3">
        <f t="shared" si="24"/>
        <v>0</v>
      </c>
      <c r="BI39" s="3">
        <f t="shared" si="24"/>
        <v>0</v>
      </c>
      <c r="BJ39" s="3">
        <f t="shared" si="24"/>
        <v>0</v>
      </c>
      <c r="BK39" s="3">
        <f t="shared" si="24"/>
        <v>0</v>
      </c>
      <c r="BL39" s="3">
        <f t="shared" si="24"/>
        <v>0</v>
      </c>
      <c r="BM39" s="3">
        <f t="shared" si="24"/>
        <v>0</v>
      </c>
      <c r="BN39" s="3">
        <f t="shared" si="24"/>
        <v>0</v>
      </c>
      <c r="BO39" s="3">
        <f t="shared" si="24"/>
        <v>0</v>
      </c>
      <c r="BP39" s="3">
        <f t="shared" si="24"/>
        <v>0</v>
      </c>
      <c r="BQ39" s="3">
        <f t="shared" si="24"/>
        <v>0</v>
      </c>
      <c r="BR39" s="3">
        <f t="shared" si="24"/>
        <v>0</v>
      </c>
      <c r="BS39" s="3">
        <f t="shared" si="24"/>
        <v>0</v>
      </c>
      <c r="BT39" s="3">
        <f t="shared" si="23"/>
        <v>0</v>
      </c>
      <c r="BU39" s="3">
        <f t="shared" si="23"/>
        <v>0</v>
      </c>
      <c r="BV39" s="3">
        <f t="shared" si="23"/>
        <v>0</v>
      </c>
      <c r="BW39" s="3">
        <f t="shared" si="23"/>
        <v>0</v>
      </c>
      <c r="BX39" s="3">
        <f t="shared" si="23"/>
        <v>0</v>
      </c>
      <c r="BY39" s="3">
        <f t="shared" si="23"/>
        <v>0</v>
      </c>
      <c r="BZ39" s="3">
        <f t="shared" si="23"/>
        <v>0</v>
      </c>
      <c r="CA39" s="3">
        <f t="shared" si="23"/>
        <v>0</v>
      </c>
      <c r="CB39" s="3">
        <f t="shared" si="23"/>
        <v>0</v>
      </c>
      <c r="CC39" s="3">
        <f t="shared" si="23"/>
        <v>0</v>
      </c>
      <c r="CD39" s="3">
        <f t="shared" si="23"/>
        <v>0</v>
      </c>
    </row>
    <row r="40" spans="3:82" s="3" customFormat="1" x14ac:dyDescent="0.2">
      <c r="D40" s="3" t="s">
        <v>22</v>
      </c>
      <c r="F40" s="3" t="s">
        <v>8</v>
      </c>
      <c r="G40" s="3">
        <f>O286</f>
        <v>0</v>
      </c>
      <c r="H40" s="3">
        <f t="shared" si="24"/>
        <v>0</v>
      </c>
      <c r="I40" s="3">
        <f t="shared" si="24"/>
        <v>0</v>
      </c>
      <c r="J40" s="3">
        <f t="shared" si="24"/>
        <v>0</v>
      </c>
      <c r="K40" s="3">
        <f t="shared" si="24"/>
        <v>0</v>
      </c>
      <c r="L40" s="3">
        <f t="shared" si="24"/>
        <v>0</v>
      </c>
      <c r="M40" s="3">
        <f t="shared" si="24"/>
        <v>0</v>
      </c>
      <c r="N40" s="3">
        <f t="shared" si="24"/>
        <v>0</v>
      </c>
      <c r="O40" s="3">
        <f t="shared" si="24"/>
        <v>0</v>
      </c>
      <c r="P40" s="3">
        <f t="shared" si="24"/>
        <v>0</v>
      </c>
      <c r="Q40" s="3">
        <f t="shared" si="24"/>
        <v>0</v>
      </c>
      <c r="R40" s="3">
        <f t="shared" si="24"/>
        <v>0</v>
      </c>
      <c r="S40" s="3">
        <f t="shared" si="24"/>
        <v>0</v>
      </c>
      <c r="T40" s="3">
        <f t="shared" si="24"/>
        <v>0</v>
      </c>
      <c r="U40" s="3">
        <f t="shared" si="24"/>
        <v>0</v>
      </c>
      <c r="V40" s="3">
        <f t="shared" si="24"/>
        <v>0</v>
      </c>
      <c r="W40" s="3">
        <f t="shared" si="24"/>
        <v>0</v>
      </c>
      <c r="X40" s="3">
        <f t="shared" si="24"/>
        <v>0</v>
      </c>
      <c r="Y40" s="3">
        <f t="shared" si="24"/>
        <v>0</v>
      </c>
      <c r="Z40" s="3">
        <f t="shared" si="24"/>
        <v>0</v>
      </c>
      <c r="AA40" s="3">
        <f t="shared" si="24"/>
        <v>0</v>
      </c>
      <c r="AB40" s="3">
        <f t="shared" si="24"/>
        <v>0</v>
      </c>
      <c r="AC40" s="3">
        <f t="shared" si="24"/>
        <v>0</v>
      </c>
      <c r="AD40" s="3">
        <f t="shared" si="24"/>
        <v>0</v>
      </c>
      <c r="AE40" s="3">
        <f t="shared" si="24"/>
        <v>0</v>
      </c>
      <c r="AF40" s="3">
        <f t="shared" si="24"/>
        <v>0</v>
      </c>
      <c r="AG40" s="3">
        <f t="shared" si="24"/>
        <v>0</v>
      </c>
      <c r="AH40" s="3">
        <f t="shared" si="24"/>
        <v>0</v>
      </c>
      <c r="AI40" s="3">
        <f t="shared" si="24"/>
        <v>0</v>
      </c>
      <c r="AJ40" s="3">
        <f t="shared" si="24"/>
        <v>0</v>
      </c>
      <c r="AK40" s="3">
        <f t="shared" si="24"/>
        <v>0</v>
      </c>
      <c r="AL40" s="3">
        <f t="shared" si="24"/>
        <v>0</v>
      </c>
      <c r="AM40" s="3">
        <f t="shared" si="24"/>
        <v>0</v>
      </c>
      <c r="AN40" s="3">
        <f t="shared" si="24"/>
        <v>0</v>
      </c>
      <c r="AO40" s="3">
        <f t="shared" si="24"/>
        <v>0</v>
      </c>
      <c r="AP40" s="3">
        <f t="shared" si="24"/>
        <v>0</v>
      </c>
      <c r="AQ40" s="3">
        <f t="shared" si="24"/>
        <v>0</v>
      </c>
      <c r="AR40" s="3">
        <f t="shared" si="24"/>
        <v>0</v>
      </c>
      <c r="AS40" s="3">
        <f t="shared" si="24"/>
        <v>0</v>
      </c>
      <c r="AT40" s="3">
        <f t="shared" si="24"/>
        <v>0</v>
      </c>
      <c r="AU40" s="3">
        <f t="shared" si="24"/>
        <v>0</v>
      </c>
      <c r="AV40" s="3">
        <f t="shared" si="24"/>
        <v>0</v>
      </c>
      <c r="AW40" s="3">
        <f t="shared" si="24"/>
        <v>0</v>
      </c>
      <c r="AX40" s="3">
        <f t="shared" si="24"/>
        <v>0</v>
      </c>
      <c r="AY40" s="3">
        <f t="shared" si="24"/>
        <v>0</v>
      </c>
      <c r="AZ40" s="3">
        <f t="shared" si="24"/>
        <v>0</v>
      </c>
      <c r="BA40" s="3">
        <f t="shared" si="24"/>
        <v>0</v>
      </c>
      <c r="BB40" s="3">
        <f t="shared" si="24"/>
        <v>0</v>
      </c>
      <c r="BC40" s="3">
        <f t="shared" si="24"/>
        <v>0</v>
      </c>
      <c r="BD40" s="3">
        <f t="shared" si="24"/>
        <v>0</v>
      </c>
      <c r="BE40" s="3">
        <f t="shared" si="24"/>
        <v>0</v>
      </c>
      <c r="BF40" s="3">
        <f t="shared" si="24"/>
        <v>0</v>
      </c>
      <c r="BG40" s="3">
        <f t="shared" si="24"/>
        <v>0</v>
      </c>
      <c r="BH40" s="3">
        <f t="shared" si="24"/>
        <v>0</v>
      </c>
      <c r="BI40" s="3">
        <f t="shared" si="24"/>
        <v>0</v>
      </c>
      <c r="BJ40" s="3">
        <f t="shared" si="24"/>
        <v>0</v>
      </c>
      <c r="BK40" s="3">
        <f t="shared" si="24"/>
        <v>0</v>
      </c>
      <c r="BL40" s="3">
        <f t="shared" si="24"/>
        <v>0</v>
      </c>
      <c r="BM40" s="3">
        <f t="shared" si="24"/>
        <v>0</v>
      </c>
      <c r="BN40" s="3">
        <f t="shared" si="24"/>
        <v>0</v>
      </c>
      <c r="BO40" s="3">
        <f t="shared" si="24"/>
        <v>0</v>
      </c>
      <c r="BP40" s="3">
        <f t="shared" si="24"/>
        <v>0</v>
      </c>
      <c r="BQ40" s="3">
        <f t="shared" si="24"/>
        <v>0</v>
      </c>
      <c r="BR40" s="3">
        <f t="shared" si="24"/>
        <v>0</v>
      </c>
      <c r="BS40" s="3">
        <f t="shared" si="24"/>
        <v>0</v>
      </c>
      <c r="BT40" s="3">
        <f t="shared" si="23"/>
        <v>0</v>
      </c>
      <c r="BU40" s="3">
        <f t="shared" si="23"/>
        <v>0</v>
      </c>
      <c r="BV40" s="3">
        <f t="shared" si="23"/>
        <v>0</v>
      </c>
      <c r="BW40" s="3">
        <f t="shared" si="23"/>
        <v>0</v>
      </c>
      <c r="BX40" s="3">
        <f t="shared" si="23"/>
        <v>0</v>
      </c>
      <c r="BY40" s="3">
        <f t="shared" si="23"/>
        <v>0</v>
      </c>
      <c r="BZ40" s="3">
        <f t="shared" si="23"/>
        <v>0</v>
      </c>
      <c r="CA40" s="3">
        <f t="shared" si="23"/>
        <v>0</v>
      </c>
      <c r="CB40" s="3">
        <f t="shared" si="23"/>
        <v>0</v>
      </c>
      <c r="CC40" s="3">
        <f t="shared" si="23"/>
        <v>0</v>
      </c>
      <c r="CD40" s="3">
        <f t="shared" si="23"/>
        <v>0</v>
      </c>
    </row>
    <row r="41" spans="3:82" s="3" customFormat="1" x14ac:dyDescent="0.2">
      <c r="D41" s="3" t="s">
        <v>23</v>
      </c>
      <c r="F41" s="3" t="s">
        <v>6</v>
      </c>
      <c r="G41" s="3">
        <f>O287</f>
        <v>0</v>
      </c>
      <c r="H41" s="3">
        <f t="shared" si="24"/>
        <v>0</v>
      </c>
      <c r="I41" s="3">
        <f t="shared" si="24"/>
        <v>0</v>
      </c>
      <c r="J41" s="3">
        <f t="shared" si="24"/>
        <v>0</v>
      </c>
      <c r="K41" s="3">
        <f t="shared" si="24"/>
        <v>0</v>
      </c>
      <c r="L41" s="3">
        <f t="shared" si="24"/>
        <v>0</v>
      </c>
      <c r="M41" s="3">
        <f t="shared" si="24"/>
        <v>0</v>
      </c>
      <c r="N41" s="3">
        <f t="shared" si="24"/>
        <v>0</v>
      </c>
      <c r="O41" s="3">
        <f t="shared" si="24"/>
        <v>0</v>
      </c>
      <c r="P41" s="3">
        <f t="shared" si="24"/>
        <v>0</v>
      </c>
      <c r="Q41" s="3">
        <f t="shared" si="24"/>
        <v>0</v>
      </c>
      <c r="R41" s="3">
        <f t="shared" si="24"/>
        <v>0</v>
      </c>
      <c r="S41" s="3">
        <f t="shared" si="24"/>
        <v>0</v>
      </c>
      <c r="T41" s="3">
        <f t="shared" si="24"/>
        <v>0</v>
      </c>
      <c r="U41" s="3">
        <f t="shared" si="24"/>
        <v>0</v>
      </c>
      <c r="V41" s="3">
        <f t="shared" si="24"/>
        <v>0</v>
      </c>
      <c r="W41" s="3">
        <f t="shared" si="24"/>
        <v>0</v>
      </c>
      <c r="X41" s="3">
        <f t="shared" si="24"/>
        <v>0</v>
      </c>
      <c r="Y41" s="3">
        <f t="shared" si="24"/>
        <v>0</v>
      </c>
      <c r="Z41" s="3">
        <f t="shared" si="24"/>
        <v>0</v>
      </c>
      <c r="AA41" s="3">
        <f t="shared" si="24"/>
        <v>0</v>
      </c>
      <c r="AB41" s="3">
        <f t="shared" si="24"/>
        <v>0</v>
      </c>
      <c r="AC41" s="3">
        <f t="shared" si="24"/>
        <v>0</v>
      </c>
      <c r="AD41" s="3">
        <f t="shared" si="24"/>
        <v>0</v>
      </c>
      <c r="AE41" s="3">
        <f t="shared" si="24"/>
        <v>0</v>
      </c>
      <c r="AF41" s="3">
        <f t="shared" si="24"/>
        <v>15.929043841956799</v>
      </c>
      <c r="AG41" s="3">
        <f t="shared" si="24"/>
        <v>19.6236615548986</v>
      </c>
      <c r="AH41" s="3">
        <f t="shared" si="24"/>
        <v>19.853776152936501</v>
      </c>
      <c r="AI41" s="3">
        <f t="shared" si="24"/>
        <v>20.195820535356901</v>
      </c>
      <c r="AJ41" s="3">
        <f t="shared" si="24"/>
        <v>20.543757719159</v>
      </c>
      <c r="AK41" s="3">
        <f t="shared" si="24"/>
        <v>20.897689226571899</v>
      </c>
      <c r="AL41" s="3">
        <f t="shared" si="24"/>
        <v>21.257718328867199</v>
      </c>
      <c r="AM41" s="3">
        <f t="shared" si="24"/>
        <v>21.735629521882299</v>
      </c>
      <c r="AN41" s="3">
        <f t="shared" si="24"/>
        <v>22.131480495626899</v>
      </c>
      <c r="AO41" s="3">
        <f t="shared" si="24"/>
        <v>22.229619037029199</v>
      </c>
      <c r="AP41" s="3">
        <f t="shared" si="24"/>
        <v>22.212093288923601</v>
      </c>
      <c r="AQ41" s="3">
        <f t="shared" si="24"/>
        <v>21.851068134868498</v>
      </c>
      <c r="AR41" s="3">
        <f t="shared" si="24"/>
        <v>21.030731992262201</v>
      </c>
      <c r="AS41" s="3">
        <f t="shared" si="24"/>
        <v>19.723977648415701</v>
      </c>
      <c r="AT41" s="3">
        <f t="shared" si="24"/>
        <v>17.957402916734999</v>
      </c>
      <c r="AU41" s="3">
        <f t="shared" si="24"/>
        <v>15.837947408777</v>
      </c>
      <c r="AV41" s="3">
        <f t="shared" si="24"/>
        <v>13.5508229905662</v>
      </c>
      <c r="AW41" s="3">
        <f t="shared" si="24"/>
        <v>11.315652144907199</v>
      </c>
      <c r="AX41" s="3">
        <f t="shared" si="24"/>
        <v>9.320744741325699</v>
      </c>
      <c r="AY41" s="3">
        <f t="shared" si="24"/>
        <v>7.6760186903963001</v>
      </c>
      <c r="AZ41" s="3">
        <f t="shared" si="24"/>
        <v>6.4071713221401003</v>
      </c>
      <c r="BA41" s="3">
        <f t="shared" si="24"/>
        <v>5.4805689276658001</v>
      </c>
      <c r="BB41" s="3">
        <f t="shared" si="24"/>
        <v>4.8173504864838002</v>
      </c>
      <c r="BC41" s="3">
        <f t="shared" si="24"/>
        <v>4.3582312776377998</v>
      </c>
      <c r="BD41" s="3">
        <f t="shared" si="24"/>
        <v>4.0533965909143994</v>
      </c>
      <c r="BE41" s="3">
        <f t="shared" si="24"/>
        <v>3.8569343502864002</v>
      </c>
      <c r="BF41" s="3">
        <f t="shared" si="24"/>
        <v>3.9005070347314001</v>
      </c>
      <c r="BG41" s="3">
        <f t="shared" si="24"/>
        <v>3.9445302303326</v>
      </c>
      <c r="BH41" s="3">
        <f t="shared" si="24"/>
        <v>3.9887900430959</v>
      </c>
      <c r="BI41" s="3">
        <f t="shared" si="24"/>
        <v>4.0330628153871002</v>
      </c>
      <c r="BJ41" s="3">
        <f t="shared" si="24"/>
        <v>4.0771150209061</v>
      </c>
      <c r="BK41" s="3">
        <f t="shared" si="24"/>
        <v>4.1207032880865002</v>
      </c>
      <c r="BL41" s="3">
        <f t="shared" si="24"/>
        <v>4.1635745615373994</v>
      </c>
      <c r="BM41" s="3">
        <f t="shared" si="24"/>
        <v>4.2054664110477997</v>
      </c>
      <c r="BN41" s="3">
        <f t="shared" si="24"/>
        <v>4.2461074973587003</v>
      </c>
      <c r="BO41" s="3">
        <f t="shared" si="24"/>
        <v>4.2852182033372994</v>
      </c>
      <c r="BP41" s="3">
        <f t="shared" si="24"/>
        <v>4.3225114383441996</v>
      </c>
      <c r="BQ41" s="3">
        <f t="shared" si="24"/>
        <v>4.3613867799054002</v>
      </c>
      <c r="BR41" s="3">
        <f t="shared" si="24"/>
        <v>4.4018806167988993</v>
      </c>
      <c r="BS41" s="3">
        <f t="shared" ref="BS41:CD44" si="25">CA287</f>
        <v>4.4440310670969003</v>
      </c>
      <c r="BT41" s="3">
        <f t="shared" si="25"/>
        <v>4.4878780375739007</v>
      </c>
      <c r="BU41" s="3">
        <f t="shared" si="25"/>
        <v>4.5334632862346993</v>
      </c>
      <c r="BV41" s="3">
        <f t="shared" si="25"/>
        <v>4.5808304880968</v>
      </c>
      <c r="BW41" s="3">
        <f t="shared" si="25"/>
        <v>4.6300253043730004</v>
      </c>
      <c r="BX41" s="3">
        <f t="shared" si="25"/>
        <v>4.6810954552048996</v>
      </c>
      <c r="BY41" s="3">
        <f t="shared" si="25"/>
        <v>4.7340907961092</v>
      </c>
      <c r="BZ41" s="3">
        <f t="shared" si="25"/>
        <v>4.7890633983070998</v>
      </c>
      <c r="CA41" s="3">
        <f t="shared" si="25"/>
        <v>4.8460676331158998</v>
      </c>
      <c r="CB41" s="3">
        <f t="shared" si="25"/>
        <v>4.9051602605928002</v>
      </c>
      <c r="CC41" s="3">
        <f t="shared" si="25"/>
        <v>4.9664005226311998</v>
      </c>
      <c r="CD41" s="3">
        <f t="shared" si="25"/>
        <v>5.0298502407205996</v>
      </c>
    </row>
    <row r="42" spans="3:82" s="3" customFormat="1" x14ac:dyDescent="0.2">
      <c r="D42" s="3" t="s">
        <v>23</v>
      </c>
      <c r="F42" s="3" t="s">
        <v>7</v>
      </c>
      <c r="G42" s="3">
        <f>O288</f>
        <v>0</v>
      </c>
      <c r="H42" s="3">
        <f t="shared" ref="H42:BS45" si="26">P288</f>
        <v>0</v>
      </c>
      <c r="I42" s="3">
        <f t="shared" si="26"/>
        <v>0</v>
      </c>
      <c r="J42" s="3">
        <f t="shared" si="26"/>
        <v>0</v>
      </c>
      <c r="K42" s="3">
        <f t="shared" si="26"/>
        <v>0</v>
      </c>
      <c r="L42" s="3">
        <f t="shared" si="26"/>
        <v>0</v>
      </c>
      <c r="M42" s="3">
        <f t="shared" si="26"/>
        <v>0</v>
      </c>
      <c r="N42" s="3">
        <f t="shared" si="26"/>
        <v>0</v>
      </c>
      <c r="O42" s="3">
        <f t="shared" si="26"/>
        <v>0</v>
      </c>
      <c r="P42" s="3">
        <f t="shared" si="26"/>
        <v>0</v>
      </c>
      <c r="Q42" s="3">
        <f t="shared" si="26"/>
        <v>0</v>
      </c>
      <c r="R42" s="3">
        <f t="shared" si="26"/>
        <v>0</v>
      </c>
      <c r="S42" s="3">
        <f t="shared" si="26"/>
        <v>0</v>
      </c>
      <c r="T42" s="3">
        <f t="shared" si="26"/>
        <v>0</v>
      </c>
      <c r="U42" s="3">
        <f t="shared" si="26"/>
        <v>0</v>
      </c>
      <c r="V42" s="3">
        <f t="shared" si="26"/>
        <v>0</v>
      </c>
      <c r="W42" s="3">
        <f t="shared" si="26"/>
        <v>0</v>
      </c>
      <c r="X42" s="3">
        <f t="shared" si="26"/>
        <v>0</v>
      </c>
      <c r="Y42" s="3">
        <f t="shared" si="26"/>
        <v>0</v>
      </c>
      <c r="Z42" s="3">
        <f t="shared" si="26"/>
        <v>0</v>
      </c>
      <c r="AA42" s="3">
        <f t="shared" si="26"/>
        <v>0</v>
      </c>
      <c r="AB42" s="3">
        <f t="shared" si="26"/>
        <v>0</v>
      </c>
      <c r="AC42" s="3">
        <f t="shared" si="26"/>
        <v>0</v>
      </c>
      <c r="AD42" s="3">
        <f t="shared" si="26"/>
        <v>0</v>
      </c>
      <c r="AE42" s="3">
        <f t="shared" si="26"/>
        <v>0</v>
      </c>
      <c r="AF42" s="3">
        <f t="shared" si="26"/>
        <v>421.73908556992097</v>
      </c>
      <c r="AG42" s="3">
        <f t="shared" si="26"/>
        <v>519.55818326631402</v>
      </c>
      <c r="AH42" s="3">
        <f t="shared" si="26"/>
        <v>525.65072222318304</v>
      </c>
      <c r="AI42" s="3">
        <f t="shared" si="26"/>
        <v>534.70672624310805</v>
      </c>
      <c r="AJ42" s="3">
        <f t="shared" si="26"/>
        <v>543.91874870901097</v>
      </c>
      <c r="AK42" s="3">
        <f t="shared" si="26"/>
        <v>553.28947753439593</v>
      </c>
      <c r="AL42" s="3">
        <f t="shared" si="26"/>
        <v>562.82164694061601</v>
      </c>
      <c r="AM42" s="3">
        <f t="shared" si="26"/>
        <v>581.79026773844896</v>
      </c>
      <c r="AN42" s="3">
        <f t="shared" si="26"/>
        <v>602.156719525889</v>
      </c>
      <c r="AO42" s="3">
        <f t="shared" si="26"/>
        <v>619.71840318044201</v>
      </c>
      <c r="AP42" s="3">
        <f t="shared" si="26"/>
        <v>641.75972423940902</v>
      </c>
      <c r="AQ42" s="3">
        <f t="shared" si="26"/>
        <v>664.77990722438699</v>
      </c>
      <c r="AR42" s="3">
        <f t="shared" si="26"/>
        <v>688.17902268603905</v>
      </c>
      <c r="AS42" s="3">
        <f t="shared" si="26"/>
        <v>713.04235191917394</v>
      </c>
      <c r="AT42" s="3">
        <f t="shared" si="26"/>
        <v>739.99274561858999</v>
      </c>
      <c r="AU42" s="3">
        <f t="shared" si="26"/>
        <v>768.93172843888101</v>
      </c>
      <c r="AV42" s="3">
        <f t="shared" si="26"/>
        <v>799.03222257357493</v>
      </c>
      <c r="AW42" s="3">
        <f t="shared" si="26"/>
        <v>829.08976299667006</v>
      </c>
      <c r="AX42" s="3">
        <f t="shared" si="26"/>
        <v>858.06284416605308</v>
      </c>
      <c r="AY42" s="3">
        <f t="shared" si="26"/>
        <v>885.46116880411591</v>
      </c>
      <c r="AZ42" s="3">
        <f t="shared" si="26"/>
        <v>911.39044531106197</v>
      </c>
      <c r="BA42" s="3">
        <f t="shared" si="26"/>
        <v>936.33973329665196</v>
      </c>
      <c r="BB42" s="3">
        <f t="shared" si="26"/>
        <v>957.385137703532</v>
      </c>
      <c r="BC42" s="3">
        <f t="shared" si="26"/>
        <v>975.026916186623</v>
      </c>
      <c r="BD42" s="3">
        <f t="shared" si="26"/>
        <v>990.88303864951195</v>
      </c>
      <c r="BE42" s="3">
        <f t="shared" si="26"/>
        <v>1005.14086086381</v>
      </c>
      <c r="BF42" s="3">
        <f t="shared" si="26"/>
        <v>1016.49617095614</v>
      </c>
      <c r="BG42" s="3">
        <f t="shared" si="26"/>
        <v>1027.9688870321399</v>
      </c>
      <c r="BH42" s="3">
        <f t="shared" si="26"/>
        <v>1039.50326699875</v>
      </c>
      <c r="BI42" s="3">
        <f t="shared" si="26"/>
        <v>1051.04102429824</v>
      </c>
      <c r="BJ42" s="3">
        <f t="shared" si="26"/>
        <v>1062.5213005375699</v>
      </c>
      <c r="BK42" s="3">
        <f t="shared" si="26"/>
        <v>1073.8806715867499</v>
      </c>
      <c r="BL42" s="3">
        <f t="shared" si="26"/>
        <v>1085.0531896514101</v>
      </c>
      <c r="BM42" s="3">
        <f t="shared" si="26"/>
        <v>1095.9704638012499</v>
      </c>
      <c r="BN42" s="3">
        <f t="shared" si="26"/>
        <v>1106.5617813532399</v>
      </c>
      <c r="BO42" s="3">
        <f t="shared" si="26"/>
        <v>1116.7542723593299</v>
      </c>
      <c r="BP42" s="3">
        <f t="shared" si="26"/>
        <v>1126.4731192295999</v>
      </c>
      <c r="BQ42" s="3">
        <f t="shared" si="26"/>
        <v>1136.60427281803</v>
      </c>
      <c r="BR42" s="3">
        <f t="shared" si="26"/>
        <v>1147.1572162643899</v>
      </c>
      <c r="BS42" s="3">
        <f t="shared" si="26"/>
        <v>1158.14188337316</v>
      </c>
      <c r="BT42" s="3">
        <f t="shared" si="25"/>
        <v>1169.5686740957501</v>
      </c>
      <c r="BU42" s="3">
        <f t="shared" si="25"/>
        <v>1181.44847082554</v>
      </c>
      <c r="BV42" s="3">
        <f t="shared" si="25"/>
        <v>1193.7926555412901</v>
      </c>
      <c r="BW42" s="3">
        <f t="shared" si="25"/>
        <v>1206.6131278364201</v>
      </c>
      <c r="BX42" s="3">
        <f t="shared" si="25"/>
        <v>1219.92232387388</v>
      </c>
      <c r="BY42" s="3">
        <f t="shared" si="25"/>
        <v>1233.7332363086</v>
      </c>
      <c r="BZ42" s="3">
        <f t="shared" si="25"/>
        <v>1248.0594352217299</v>
      </c>
      <c r="CA42" s="3">
        <f t="shared" si="25"/>
        <v>1262.91509011364</v>
      </c>
      <c r="CB42" s="3">
        <f t="shared" si="25"/>
        <v>1278.3149930050299</v>
      </c>
      <c r="CC42" s="3">
        <f t="shared" si="25"/>
        <v>1294.2745826983601</v>
      </c>
      <c r="CD42" s="3">
        <f t="shared" si="25"/>
        <v>1310.80997025487</v>
      </c>
    </row>
    <row r="43" spans="3:82" s="3" customFormat="1" x14ac:dyDescent="0.2">
      <c r="D43" s="3" t="s">
        <v>23</v>
      </c>
      <c r="F43" s="3" t="s">
        <v>8</v>
      </c>
      <c r="G43" s="3">
        <f>O289</f>
        <v>0</v>
      </c>
      <c r="H43" s="3">
        <f t="shared" si="26"/>
        <v>0</v>
      </c>
      <c r="I43" s="3">
        <f t="shared" si="26"/>
        <v>0</v>
      </c>
      <c r="J43" s="3">
        <f t="shared" si="26"/>
        <v>0</v>
      </c>
      <c r="K43" s="3">
        <f t="shared" si="26"/>
        <v>0</v>
      </c>
      <c r="L43" s="3">
        <f t="shared" si="26"/>
        <v>0</v>
      </c>
      <c r="M43" s="3">
        <f t="shared" si="26"/>
        <v>0</v>
      </c>
      <c r="N43" s="3">
        <f t="shared" si="26"/>
        <v>0</v>
      </c>
      <c r="O43" s="3">
        <f t="shared" si="26"/>
        <v>0</v>
      </c>
      <c r="P43" s="3">
        <f t="shared" si="26"/>
        <v>0</v>
      </c>
      <c r="Q43" s="3">
        <f t="shared" si="26"/>
        <v>0</v>
      </c>
      <c r="R43" s="3">
        <f t="shared" si="26"/>
        <v>0</v>
      </c>
      <c r="S43" s="3">
        <f t="shared" si="26"/>
        <v>0</v>
      </c>
      <c r="T43" s="3">
        <f t="shared" si="26"/>
        <v>0</v>
      </c>
      <c r="U43" s="3">
        <f t="shared" si="26"/>
        <v>0</v>
      </c>
      <c r="V43" s="3">
        <f t="shared" si="26"/>
        <v>0</v>
      </c>
      <c r="W43" s="3">
        <f t="shared" si="26"/>
        <v>0</v>
      </c>
      <c r="X43" s="3">
        <f t="shared" si="26"/>
        <v>0</v>
      </c>
      <c r="Y43" s="3">
        <f t="shared" si="26"/>
        <v>0</v>
      </c>
      <c r="Z43" s="3">
        <f t="shared" si="26"/>
        <v>0</v>
      </c>
      <c r="AA43" s="3">
        <f t="shared" si="26"/>
        <v>0</v>
      </c>
      <c r="AB43" s="3">
        <f t="shared" si="26"/>
        <v>0</v>
      </c>
      <c r="AC43" s="3">
        <f t="shared" si="26"/>
        <v>0</v>
      </c>
      <c r="AD43" s="3">
        <f t="shared" si="26"/>
        <v>0</v>
      </c>
      <c r="AE43" s="3">
        <f t="shared" si="26"/>
        <v>0</v>
      </c>
      <c r="AF43" s="3">
        <f t="shared" si="26"/>
        <v>8.3643308800281986</v>
      </c>
      <c r="AG43" s="3">
        <f t="shared" si="26"/>
        <v>10.304372312073401</v>
      </c>
      <c r="AH43" s="3">
        <f t="shared" si="26"/>
        <v>10.425205342443</v>
      </c>
      <c r="AI43" s="3">
        <f t="shared" si="26"/>
        <v>10.604812632033299</v>
      </c>
      <c r="AJ43" s="3">
        <f t="shared" si="26"/>
        <v>10.787514227914601</v>
      </c>
      <c r="AK43" s="3">
        <f t="shared" si="26"/>
        <v>10.9733634393447</v>
      </c>
      <c r="AL43" s="3">
        <f t="shared" si="26"/>
        <v>11.1624144940045</v>
      </c>
      <c r="AM43" s="3">
        <f t="shared" si="26"/>
        <v>11.469501734832299</v>
      </c>
      <c r="AN43" s="3">
        <f t="shared" si="26"/>
        <v>11.765236431104899</v>
      </c>
      <c r="AO43" s="3">
        <f t="shared" si="26"/>
        <v>11.94977547653</v>
      </c>
      <c r="AP43" s="3">
        <f t="shared" si="26"/>
        <v>12.140618543898499</v>
      </c>
      <c r="AQ43" s="3">
        <f t="shared" si="26"/>
        <v>12.240630815193301</v>
      </c>
      <c r="AR43" s="3">
        <f t="shared" si="26"/>
        <v>12.2109222870753</v>
      </c>
      <c r="AS43" s="3">
        <f t="shared" si="26"/>
        <v>12.0532852942102</v>
      </c>
      <c r="AT43" s="3">
        <f t="shared" si="26"/>
        <v>11.7809631739742</v>
      </c>
      <c r="AU43" s="3">
        <f t="shared" si="26"/>
        <v>11.4240672113848</v>
      </c>
      <c r="AV43" s="3">
        <f t="shared" si="26"/>
        <v>11.028912293353001</v>
      </c>
      <c r="AW43" s="3">
        <f t="shared" si="26"/>
        <v>10.648429534017501</v>
      </c>
      <c r="AX43" s="3">
        <f t="shared" si="26"/>
        <v>10.327925482634001</v>
      </c>
      <c r="AY43" s="3">
        <f t="shared" si="26"/>
        <v>10.0948915764729</v>
      </c>
      <c r="AZ43" s="3">
        <f t="shared" si="26"/>
        <v>9.9577134467891</v>
      </c>
      <c r="BA43" s="3">
        <f t="shared" si="26"/>
        <v>9.9109926172457001</v>
      </c>
      <c r="BB43" s="3">
        <f t="shared" si="26"/>
        <v>9.9058885000996995</v>
      </c>
      <c r="BC43" s="3">
        <f t="shared" si="26"/>
        <v>9.9296695688908994</v>
      </c>
      <c r="BD43" s="3">
        <f t="shared" si="26"/>
        <v>9.9822834500024005</v>
      </c>
      <c r="BE43" s="3">
        <f t="shared" si="26"/>
        <v>10.052092120702399</v>
      </c>
      <c r="BF43" s="3">
        <f t="shared" si="26"/>
        <v>10.165652943420399</v>
      </c>
      <c r="BG43" s="3">
        <f t="shared" si="26"/>
        <v>10.280387905813299</v>
      </c>
      <c r="BH43" s="3">
        <f t="shared" si="26"/>
        <v>10.3957395490447</v>
      </c>
      <c r="BI43" s="3">
        <f t="shared" si="26"/>
        <v>10.5111249679012</v>
      </c>
      <c r="BJ43" s="3">
        <f t="shared" si="26"/>
        <v>10.625935537068299</v>
      </c>
      <c r="BK43" s="3">
        <f t="shared" si="26"/>
        <v>10.7395369721163</v>
      </c>
      <c r="BL43" s="3">
        <f t="shared" si="26"/>
        <v>10.851269750256099</v>
      </c>
      <c r="BM43" s="3">
        <f t="shared" si="26"/>
        <v>10.960449915678</v>
      </c>
      <c r="BN43" s="3">
        <f t="shared" si="26"/>
        <v>11.0663702934654</v>
      </c>
      <c r="BO43" s="3">
        <f t="shared" si="26"/>
        <v>11.168302134585</v>
      </c>
      <c r="BP43" s="3">
        <f t="shared" si="26"/>
        <v>11.265497212261099</v>
      </c>
      <c r="BQ43" s="3">
        <f t="shared" si="26"/>
        <v>11.366815637494</v>
      </c>
      <c r="BR43" s="3">
        <f t="shared" si="26"/>
        <v>11.4723522481299</v>
      </c>
      <c r="BS43" s="3">
        <f t="shared" si="26"/>
        <v>11.582206388969199</v>
      </c>
      <c r="BT43" s="3">
        <f t="shared" si="25"/>
        <v>11.696482066598101</v>
      </c>
      <c r="BU43" s="3">
        <f t="shared" si="25"/>
        <v>11.815288112349901</v>
      </c>
      <c r="BV43" s="3">
        <f t="shared" si="25"/>
        <v>11.9387383537531</v>
      </c>
      <c r="BW43" s="3">
        <f t="shared" si="25"/>
        <v>12.066951794833001</v>
      </c>
      <c r="BX43" s="3">
        <f t="shared" si="25"/>
        <v>12.2000528056766</v>
      </c>
      <c r="BY43" s="3">
        <f t="shared" si="25"/>
        <v>12.338171321667801</v>
      </c>
      <c r="BZ43" s="3">
        <f t="shared" si="25"/>
        <v>12.4814430528464</v>
      </c>
      <c r="CA43" s="3">
        <f t="shared" si="25"/>
        <v>12.6300097038514</v>
      </c>
      <c r="CB43" s="3">
        <f t="shared" si="25"/>
        <v>12.784019204948899</v>
      </c>
      <c r="CC43" s="3">
        <f t="shared" si="25"/>
        <v>12.9436259546616</v>
      </c>
      <c r="CD43" s="3">
        <f t="shared" si="25"/>
        <v>13.108991074558</v>
      </c>
    </row>
    <row r="44" spans="3:82" s="3" customFormat="1" x14ac:dyDescent="0.2">
      <c r="D44" s="3" t="s">
        <v>24</v>
      </c>
      <c r="F44" s="3" t="s">
        <v>6</v>
      </c>
      <c r="G44" s="3">
        <f>O290</f>
        <v>0</v>
      </c>
      <c r="H44" s="3">
        <f t="shared" si="26"/>
        <v>0</v>
      </c>
      <c r="I44" s="3">
        <f t="shared" si="26"/>
        <v>0</v>
      </c>
      <c r="J44" s="3">
        <f t="shared" si="26"/>
        <v>0</v>
      </c>
      <c r="K44" s="3">
        <f t="shared" si="26"/>
        <v>0</v>
      </c>
      <c r="L44" s="3">
        <f t="shared" si="26"/>
        <v>0</v>
      </c>
      <c r="M44" s="3">
        <f t="shared" si="26"/>
        <v>0</v>
      </c>
      <c r="N44" s="3">
        <f t="shared" si="26"/>
        <v>0</v>
      </c>
      <c r="O44" s="3">
        <f t="shared" si="26"/>
        <v>0</v>
      </c>
      <c r="P44" s="3">
        <f t="shared" si="26"/>
        <v>0</v>
      </c>
      <c r="Q44" s="3">
        <f t="shared" si="26"/>
        <v>0</v>
      </c>
      <c r="R44" s="3">
        <f t="shared" si="26"/>
        <v>0</v>
      </c>
      <c r="S44" s="3">
        <f t="shared" si="26"/>
        <v>0</v>
      </c>
      <c r="T44" s="3">
        <f t="shared" si="26"/>
        <v>0</v>
      </c>
      <c r="U44" s="3">
        <f t="shared" si="26"/>
        <v>0</v>
      </c>
      <c r="V44" s="3">
        <f t="shared" si="26"/>
        <v>0</v>
      </c>
      <c r="W44" s="3">
        <f t="shared" si="26"/>
        <v>0</v>
      </c>
      <c r="X44" s="3">
        <f t="shared" si="26"/>
        <v>0</v>
      </c>
      <c r="Y44" s="3">
        <f t="shared" si="26"/>
        <v>0</v>
      </c>
      <c r="Z44" s="3">
        <f t="shared" si="26"/>
        <v>0</v>
      </c>
      <c r="AA44" s="3">
        <f t="shared" si="26"/>
        <v>0</v>
      </c>
      <c r="AB44" s="3">
        <f t="shared" si="26"/>
        <v>0</v>
      </c>
      <c r="AC44" s="3">
        <f t="shared" si="26"/>
        <v>0</v>
      </c>
      <c r="AD44" s="3">
        <f t="shared" si="26"/>
        <v>0</v>
      </c>
      <c r="AE44" s="3">
        <f t="shared" si="26"/>
        <v>0</v>
      </c>
      <c r="AF44" s="3">
        <f t="shared" si="26"/>
        <v>0.1692183458599</v>
      </c>
      <c r="AG44" s="3">
        <f t="shared" si="26"/>
        <v>0.15255414807109999</v>
      </c>
      <c r="AH44" s="3">
        <f t="shared" si="26"/>
        <v>0.15744660358400001</v>
      </c>
      <c r="AI44" s="3">
        <f t="shared" si="26"/>
        <v>0.15730180699509999</v>
      </c>
      <c r="AJ44" s="3">
        <f t="shared" si="26"/>
        <v>0.15708160380710001</v>
      </c>
      <c r="AK44" s="3">
        <f t="shared" si="26"/>
        <v>0.15678962485440001</v>
      </c>
      <c r="AL44" s="3">
        <f t="shared" si="26"/>
        <v>0.15644221413359999</v>
      </c>
      <c r="AM44" s="3">
        <f t="shared" si="26"/>
        <v>0.1567649568433</v>
      </c>
      <c r="AN44" s="3">
        <f t="shared" si="26"/>
        <v>0.15639706128729999</v>
      </c>
      <c r="AO44" s="3">
        <f t="shared" si="26"/>
        <v>0.1559293543535</v>
      </c>
      <c r="AP44" s="3">
        <f t="shared" si="26"/>
        <v>0.15347284277000001</v>
      </c>
      <c r="AQ44" s="3">
        <f t="shared" si="26"/>
        <v>0.1498111262856</v>
      </c>
      <c r="AR44" s="3">
        <f t="shared" si="26"/>
        <v>0.1444760175349</v>
      </c>
      <c r="AS44" s="3">
        <f t="shared" si="26"/>
        <v>0.1366200450392</v>
      </c>
      <c r="AT44" s="3">
        <f t="shared" si="26"/>
        <v>0.12578242713660001</v>
      </c>
      <c r="AU44" s="3">
        <f t="shared" si="26"/>
        <v>0.1121715862897</v>
      </c>
      <c r="AV44" s="3">
        <f t="shared" si="26"/>
        <v>9.6759139694264695E-2</v>
      </c>
      <c r="AW44" s="3">
        <f t="shared" si="26"/>
        <v>8.1022365338136393E-2</v>
      </c>
      <c r="AX44" s="3">
        <f t="shared" si="26"/>
        <v>6.6429018288814701E-2</v>
      </c>
      <c r="AY44" s="3">
        <f t="shared" si="26"/>
        <v>5.3982110566169403E-2</v>
      </c>
      <c r="AZ44" s="3">
        <f t="shared" si="26"/>
        <v>4.4069766197361387E-2</v>
      </c>
      <c r="BA44" s="3">
        <f t="shared" si="26"/>
        <v>3.6574942850615903E-2</v>
      </c>
      <c r="BB44" s="3">
        <f t="shared" si="26"/>
        <v>3.1316946988693903E-2</v>
      </c>
      <c r="BC44" s="3">
        <f t="shared" si="26"/>
        <v>2.7704556293125501E-2</v>
      </c>
      <c r="BD44" s="3">
        <f t="shared" si="26"/>
        <v>2.5235600869412102E-2</v>
      </c>
      <c r="BE44" s="3">
        <f t="shared" si="26"/>
        <v>2.35674195688091E-2</v>
      </c>
      <c r="BF44" s="3">
        <f t="shared" si="26"/>
        <v>2.3674498668677501E-2</v>
      </c>
      <c r="BG44" s="3">
        <f t="shared" si="26"/>
        <v>2.3767240050759902E-2</v>
      </c>
      <c r="BH44" s="3">
        <f t="shared" si="26"/>
        <v>2.3845044817049299E-2</v>
      </c>
      <c r="BI44" s="3">
        <f t="shared" si="26"/>
        <v>2.39086360304267E-2</v>
      </c>
      <c r="BJ44" s="3">
        <f t="shared" si="26"/>
        <v>2.3956897511217601E-2</v>
      </c>
      <c r="BK44" s="3">
        <f t="shared" si="26"/>
        <v>2.3987718745733601E-2</v>
      </c>
      <c r="BL44" s="3">
        <f t="shared" si="26"/>
        <v>2.3999269329913801E-2</v>
      </c>
      <c r="BM44" s="3">
        <f t="shared" si="26"/>
        <v>2.3989979685885801E-2</v>
      </c>
      <c r="BN44" s="3">
        <f t="shared" si="26"/>
        <v>2.3960052393554501E-2</v>
      </c>
      <c r="BO44" s="3">
        <f t="shared" si="26"/>
        <v>2.3909277325296401E-2</v>
      </c>
      <c r="BP44" s="3">
        <f t="shared" si="26"/>
        <v>2.3836118340742101E-2</v>
      </c>
      <c r="BQ44" s="3">
        <f t="shared" si="26"/>
        <v>2.3768619664776201E-2</v>
      </c>
      <c r="BR44" s="3">
        <f t="shared" si="26"/>
        <v>2.3706940569977401E-2</v>
      </c>
      <c r="BS44" s="3">
        <f t="shared" si="26"/>
        <v>2.36523327511735E-2</v>
      </c>
      <c r="BT44" s="3">
        <f t="shared" si="25"/>
        <v>2.3606283373028499E-2</v>
      </c>
      <c r="BU44" s="3">
        <f t="shared" si="25"/>
        <v>2.35667172940539E-2</v>
      </c>
      <c r="BV44" s="3">
        <f t="shared" si="25"/>
        <v>2.35332622495334E-2</v>
      </c>
      <c r="BW44" s="3">
        <f t="shared" si="25"/>
        <v>2.3508764595480101E-2</v>
      </c>
      <c r="BX44" s="3">
        <f t="shared" si="25"/>
        <v>2.3492601833899899E-2</v>
      </c>
      <c r="BY44" s="3">
        <f t="shared" si="25"/>
        <v>2.3485555156544002E-2</v>
      </c>
      <c r="BZ44" s="3">
        <f t="shared" si="25"/>
        <v>2.3487710476788701E-2</v>
      </c>
      <c r="CA44" s="3">
        <f t="shared" si="25"/>
        <v>2.3498623070067001E-2</v>
      </c>
      <c r="CB44" s="3">
        <f t="shared" si="25"/>
        <v>2.35192086476592E-2</v>
      </c>
      <c r="CC44" s="3">
        <f t="shared" si="25"/>
        <v>2.3549904637618E-2</v>
      </c>
      <c r="CD44" s="3">
        <f t="shared" si="25"/>
        <v>2.3589313424741298E-2</v>
      </c>
    </row>
    <row r="45" spans="3:82" s="3" customFormat="1" x14ac:dyDescent="0.2">
      <c r="D45" s="3" t="s">
        <v>24</v>
      </c>
      <c r="F45" s="3" t="s">
        <v>7</v>
      </c>
      <c r="G45" s="3">
        <f>O291</f>
        <v>0</v>
      </c>
      <c r="H45" s="3">
        <f t="shared" si="26"/>
        <v>0</v>
      </c>
      <c r="I45" s="3">
        <f t="shared" si="26"/>
        <v>0</v>
      </c>
      <c r="J45" s="3">
        <f t="shared" si="26"/>
        <v>0</v>
      </c>
      <c r="K45" s="3">
        <f t="shared" si="26"/>
        <v>0</v>
      </c>
      <c r="L45" s="3">
        <f t="shared" si="26"/>
        <v>0</v>
      </c>
      <c r="M45" s="3">
        <f t="shared" si="26"/>
        <v>0</v>
      </c>
      <c r="N45" s="3">
        <f t="shared" si="26"/>
        <v>0</v>
      </c>
      <c r="O45" s="3">
        <f t="shared" si="26"/>
        <v>0</v>
      </c>
      <c r="P45" s="3">
        <f t="shared" si="26"/>
        <v>0</v>
      </c>
      <c r="Q45" s="3">
        <f t="shared" si="26"/>
        <v>0</v>
      </c>
      <c r="R45" s="3">
        <f t="shared" si="26"/>
        <v>0</v>
      </c>
      <c r="S45" s="3">
        <f t="shared" si="26"/>
        <v>0</v>
      </c>
      <c r="T45" s="3">
        <f t="shared" si="26"/>
        <v>0</v>
      </c>
      <c r="U45" s="3">
        <f t="shared" si="26"/>
        <v>0</v>
      </c>
      <c r="V45" s="3">
        <f t="shared" si="26"/>
        <v>0</v>
      </c>
      <c r="W45" s="3">
        <f t="shared" si="26"/>
        <v>0</v>
      </c>
      <c r="X45" s="3">
        <f t="shared" si="26"/>
        <v>0</v>
      </c>
      <c r="Y45" s="3">
        <f t="shared" si="26"/>
        <v>0</v>
      </c>
      <c r="Z45" s="3">
        <f t="shared" si="26"/>
        <v>0</v>
      </c>
      <c r="AA45" s="3">
        <f t="shared" si="26"/>
        <v>0</v>
      </c>
      <c r="AB45" s="3">
        <f t="shared" si="26"/>
        <v>0</v>
      </c>
      <c r="AC45" s="3">
        <f t="shared" si="26"/>
        <v>0</v>
      </c>
      <c r="AD45" s="3">
        <f t="shared" si="26"/>
        <v>0</v>
      </c>
      <c r="AE45" s="3">
        <f t="shared" si="26"/>
        <v>0</v>
      </c>
      <c r="AF45" s="3">
        <f t="shared" si="26"/>
        <v>20.7902890425488</v>
      </c>
      <c r="AG45" s="3">
        <f t="shared" si="26"/>
        <v>18.742913582574399</v>
      </c>
      <c r="AH45" s="3">
        <f t="shared" si="26"/>
        <v>19.3440042251117</v>
      </c>
      <c r="AI45" s="3">
        <f t="shared" si="26"/>
        <v>19.326214410887101</v>
      </c>
      <c r="AJ45" s="3">
        <f t="shared" si="26"/>
        <v>19.299160087060301</v>
      </c>
      <c r="AK45" s="3">
        <f t="shared" si="26"/>
        <v>19.263287340576799</v>
      </c>
      <c r="AL45" s="3">
        <f t="shared" si="26"/>
        <v>19.2206042067466</v>
      </c>
      <c r="AM45" s="3">
        <f t="shared" si="26"/>
        <v>19.439317954970701</v>
      </c>
      <c r="AN45" s="3">
        <f t="shared" si="26"/>
        <v>19.665277850905099</v>
      </c>
      <c r="AO45" s="3">
        <f t="shared" si="26"/>
        <v>20.017638344649701</v>
      </c>
      <c r="AP45" s="3">
        <f t="shared" si="26"/>
        <v>20.315761513719501</v>
      </c>
      <c r="AQ45" s="3">
        <f t="shared" si="26"/>
        <v>20.736482094913001</v>
      </c>
      <c r="AR45" s="3">
        <f t="shared" si="26"/>
        <v>21.313057092754299</v>
      </c>
      <c r="AS45" s="3">
        <f t="shared" si="26"/>
        <v>22.015879418032799</v>
      </c>
      <c r="AT45" s="3">
        <f t="shared" si="26"/>
        <v>22.812927116573402</v>
      </c>
      <c r="AU45" s="3">
        <f t="shared" si="26"/>
        <v>23.666370169895</v>
      </c>
      <c r="AV45" s="3">
        <f t="shared" si="26"/>
        <v>24.531741197462001</v>
      </c>
      <c r="AW45" s="3">
        <f t="shared" si="26"/>
        <v>25.361256258040399</v>
      </c>
      <c r="AX45" s="3">
        <f t="shared" si="26"/>
        <v>26.1102158806208</v>
      </c>
      <c r="AY45" s="3">
        <f t="shared" si="26"/>
        <v>26.742933417455301</v>
      </c>
      <c r="AZ45" s="3">
        <f t="shared" si="26"/>
        <v>27.238605936323601</v>
      </c>
      <c r="BA45" s="3">
        <f t="shared" si="26"/>
        <v>27.585099374705599</v>
      </c>
      <c r="BB45" s="3">
        <f t="shared" si="26"/>
        <v>27.9637447080936</v>
      </c>
      <c r="BC45" s="3">
        <f t="shared" si="26"/>
        <v>28.329012682138298</v>
      </c>
      <c r="BD45" s="3">
        <f t="shared" si="26"/>
        <v>28.621960159652499</v>
      </c>
      <c r="BE45" s="3">
        <f t="shared" si="26"/>
        <v>28.842459676534201</v>
      </c>
      <c r="BF45" s="3">
        <f t="shared" si="26"/>
        <v>28.973506039549701</v>
      </c>
      <c r="BG45" s="3">
        <f t="shared" si="26"/>
        <v>29.087005507119699</v>
      </c>
      <c r="BH45" s="3">
        <f t="shared" si="26"/>
        <v>29.1822251313043</v>
      </c>
      <c r="BI45" s="3">
        <f t="shared" si="26"/>
        <v>29.2600498164492</v>
      </c>
      <c r="BJ45" s="3">
        <f t="shared" si="26"/>
        <v>29.3191135510077</v>
      </c>
      <c r="BK45" s="3">
        <f t="shared" si="26"/>
        <v>29.356833429975101</v>
      </c>
      <c r="BL45" s="3">
        <f t="shared" si="26"/>
        <v>29.370969354253301</v>
      </c>
      <c r="BM45" s="3">
        <f t="shared" si="26"/>
        <v>29.359600431045301</v>
      </c>
      <c r="BN45" s="3">
        <f t="shared" si="26"/>
        <v>29.322974583240001</v>
      </c>
      <c r="BO45" s="3">
        <f t="shared" si="26"/>
        <v>29.260834650841801</v>
      </c>
      <c r="BP45" s="3">
        <f t="shared" si="26"/>
        <v>29.171300662794199</v>
      </c>
      <c r="BQ45" s="3">
        <f t="shared" si="26"/>
        <v>29.088693916897402</v>
      </c>
      <c r="BR45" s="3">
        <f t="shared" si="26"/>
        <v>29.013209335336501</v>
      </c>
      <c r="BS45" s="3">
        <f>CA291</f>
        <v>28.946378776849699</v>
      </c>
      <c r="BT45" s="3">
        <f>CB291</f>
        <v>28.8900222746711</v>
      </c>
      <c r="BU45" s="3">
        <f>CC291</f>
        <v>28.8416002132717</v>
      </c>
      <c r="BV45" s="3">
        <f>CD291</f>
        <v>28.800657004799501</v>
      </c>
      <c r="BW45" s="3">
        <f>CE291</f>
        <v>28.7706760984412</v>
      </c>
      <c r="BX45" s="3">
        <f>CF291</f>
        <v>28.75089566394</v>
      </c>
      <c r="BY45" s="3">
        <f>CG291</f>
        <v>28.7422717453606</v>
      </c>
      <c r="BZ45" s="3">
        <f>CH291</f>
        <v>28.744909485867701</v>
      </c>
      <c r="CA45" s="3">
        <f>CI291</f>
        <v>28.758264619240698</v>
      </c>
      <c r="CB45" s="3">
        <f>CJ291</f>
        <v>28.7834578182622</v>
      </c>
      <c r="CC45" s="3">
        <f>CK291</f>
        <v>28.821024419477599</v>
      </c>
      <c r="CD45" s="3">
        <f>CL291</f>
        <v>28.869253982760402</v>
      </c>
    </row>
    <row r="46" spans="3:82" s="3" customFormat="1" x14ac:dyDescent="0.2">
      <c r="D46" s="3" t="s">
        <v>24</v>
      </c>
      <c r="F46" s="3" t="s">
        <v>8</v>
      </c>
      <c r="G46" s="3">
        <f>O292</f>
        <v>0</v>
      </c>
      <c r="H46" s="3">
        <f>P292</f>
        <v>0</v>
      </c>
      <c r="I46" s="3">
        <f>Q292</f>
        <v>0</v>
      </c>
      <c r="J46" s="3">
        <f>R292</f>
        <v>0</v>
      </c>
      <c r="K46" s="3">
        <f>S292</f>
        <v>0</v>
      </c>
      <c r="L46" s="3">
        <f>T292</f>
        <v>0</v>
      </c>
      <c r="M46" s="3">
        <f>U292</f>
        <v>0</v>
      </c>
      <c r="N46" s="3">
        <f>V292</f>
        <v>0</v>
      </c>
      <c r="O46" s="3">
        <f>W292</f>
        <v>0</v>
      </c>
      <c r="P46" s="3">
        <f>X292</f>
        <v>0</v>
      </c>
      <c r="Q46" s="3">
        <f>Y292</f>
        <v>0</v>
      </c>
      <c r="R46" s="3">
        <f>Z292</f>
        <v>0</v>
      </c>
      <c r="S46" s="3">
        <f>AA292</f>
        <v>0</v>
      </c>
      <c r="T46" s="3">
        <f>AB292</f>
        <v>0</v>
      </c>
      <c r="U46" s="3">
        <f>AC292</f>
        <v>0</v>
      </c>
      <c r="V46" s="3">
        <f>AD292</f>
        <v>0</v>
      </c>
      <c r="W46" s="3">
        <f>AE292</f>
        <v>0</v>
      </c>
      <c r="X46" s="3">
        <f>AF292</f>
        <v>0</v>
      </c>
      <c r="Y46" s="3">
        <f>AG292</f>
        <v>0</v>
      </c>
      <c r="Z46" s="3">
        <f>AH292</f>
        <v>0</v>
      </c>
      <c r="AA46" s="3">
        <f>AI292</f>
        <v>0</v>
      </c>
      <c r="AB46" s="3">
        <f>AJ292</f>
        <v>0</v>
      </c>
      <c r="AC46" s="3">
        <f>AK292</f>
        <v>0</v>
      </c>
      <c r="AD46" s="3">
        <f>AL292</f>
        <v>0</v>
      </c>
      <c r="AE46" s="3">
        <f>AM292</f>
        <v>0</v>
      </c>
      <c r="AF46" s="3">
        <f>AN292</f>
        <v>0.15169250785169999</v>
      </c>
      <c r="AG46" s="3">
        <f>AO292</f>
        <v>0.13675421058209999</v>
      </c>
      <c r="AH46" s="3">
        <f>AP292</f>
        <v>0.14113995754440001</v>
      </c>
      <c r="AI46" s="3">
        <f>AQ292</f>
        <v>0.1410101574474</v>
      </c>
      <c r="AJ46" s="3">
        <f>AR292</f>
        <v>0.14081276056549999</v>
      </c>
      <c r="AK46" s="3">
        <f>AS292</f>
        <v>0.1405510216899</v>
      </c>
      <c r="AL46" s="3">
        <f>AT292</f>
        <v>0.14023959207969999</v>
      </c>
      <c r="AM46" s="3">
        <f>AU292</f>
        <v>0.14127121913580001</v>
      </c>
      <c r="AN46" s="3">
        <f>AV292</f>
        <v>0.14206553716609999</v>
      </c>
      <c r="AO46" s="3">
        <f>AW292</f>
        <v>0.1433452198854</v>
      </c>
      <c r="AP46" s="3">
        <f>AX292</f>
        <v>0.14363018519260001</v>
      </c>
      <c r="AQ46" s="3">
        <f>AY292</f>
        <v>0.14395684725989999</v>
      </c>
      <c r="AR46" s="3">
        <f>AZ292</f>
        <v>0.14428183827919999</v>
      </c>
      <c r="AS46" s="3">
        <f>BA292</f>
        <v>0.14415436103429999</v>
      </c>
      <c r="AT46" s="3">
        <f>BB292</f>
        <v>0.1432632962632</v>
      </c>
      <c r="AU46" s="3">
        <f>BC292</f>
        <v>0.14153249817079999</v>
      </c>
      <c r="AV46" s="3">
        <f>BD292</f>
        <v>0.1391537406026</v>
      </c>
      <c r="AW46" s="3">
        <f>BE292</f>
        <v>0.13650079138640001</v>
      </c>
      <c r="AX46" s="3">
        <f>BF292</f>
        <v>0.1339565188697</v>
      </c>
      <c r="AY46" s="3">
        <f>BG292</f>
        <v>0.13176125104729999</v>
      </c>
      <c r="AZ46" s="3">
        <f>BH292</f>
        <v>0.12997899211620001</v>
      </c>
      <c r="BA46" s="3">
        <f>BI292</f>
        <v>0.12851413203760001</v>
      </c>
      <c r="BB46" s="3">
        <f>BJ292</f>
        <v>0.1280484432449</v>
      </c>
      <c r="BC46" s="3">
        <f>BK292</f>
        <v>0.12816431705340001</v>
      </c>
      <c r="BD46" s="3">
        <f>BL292</f>
        <v>0.12842300913749999</v>
      </c>
      <c r="BE46" s="3">
        <f>BM292</f>
        <v>0.12869134579639999</v>
      </c>
      <c r="BF46" s="3">
        <f>BN292</f>
        <v>0.12927605781500001</v>
      </c>
      <c r="BG46" s="3">
        <f>BO292</f>
        <v>0.1297824778427</v>
      </c>
      <c r="BH46" s="3">
        <f>BP292</f>
        <v>0.1302073355601</v>
      </c>
      <c r="BI46" s="3">
        <f>BQ292</f>
        <v>0.1305545792966</v>
      </c>
      <c r="BJ46" s="3">
        <f>BR292</f>
        <v>0.1308181140843</v>
      </c>
      <c r="BK46" s="3">
        <f>BS292</f>
        <v>0.13098641533329999</v>
      </c>
      <c r="BL46" s="3">
        <f>BT292</f>
        <v>0.1310494880095</v>
      </c>
      <c r="BM46" s="3">
        <f>BU292</f>
        <v>0.13099876133630001</v>
      </c>
      <c r="BN46" s="3">
        <f>BV292</f>
        <v>0.13083534151359999</v>
      </c>
      <c r="BO46" s="3">
        <f>BW292</f>
        <v>0.1305580811267</v>
      </c>
      <c r="BP46" s="3">
        <f>BX292</f>
        <v>0.13015859198659999</v>
      </c>
      <c r="BQ46" s="3">
        <f>BY292</f>
        <v>0.12979001131000001</v>
      </c>
      <c r="BR46" s="3">
        <f>BZ292</f>
        <v>0.12945320881479999</v>
      </c>
      <c r="BS46" s="3">
        <f>CA292</f>
        <v>0.12915501945749999</v>
      </c>
      <c r="BT46" s="3">
        <f>CB292</f>
        <v>0.1289035639925</v>
      </c>
      <c r="BU46" s="3">
        <f>CC292</f>
        <v>0.12868751098190001</v>
      </c>
      <c r="BV46" s="3">
        <f>CD292</f>
        <v>0.1285048276512</v>
      </c>
      <c r="BW46" s="3">
        <f>CE292</f>
        <v>0.12837105670269999</v>
      </c>
      <c r="BX46" s="3">
        <f>CF292</f>
        <v>0.12828279894780001</v>
      </c>
      <c r="BY46" s="3">
        <f>CG292</f>
        <v>0.1282443201322</v>
      </c>
      <c r="BZ46" s="3">
        <f>CH292</f>
        <v>0.1282560893911</v>
      </c>
      <c r="CA46" s="3">
        <f>CI292</f>
        <v>0.1283156782787</v>
      </c>
      <c r="CB46" s="3">
        <f>CJ292</f>
        <v>0.12842808709279999</v>
      </c>
      <c r="CC46" s="3">
        <f>CK292</f>
        <v>0.12859570443609999</v>
      </c>
      <c r="CD46" s="3">
        <f>CL292</f>
        <v>0.12881089854489999</v>
      </c>
    </row>
    <row r="47" spans="3:82" s="4" customFormat="1" x14ac:dyDescent="0.2">
      <c r="C47" s="4" t="s">
        <v>185</v>
      </c>
      <c r="G47" s="4">
        <f>SUM(G48:G69)</f>
        <v>672.37430000000006</v>
      </c>
      <c r="H47" s="4">
        <f t="shared" ref="H47:BS47" si="27">SUM(H48:H69)</f>
        <v>672.37430000000006</v>
      </c>
      <c r="I47" s="4">
        <f t="shared" si="27"/>
        <v>754.62110000000007</v>
      </c>
      <c r="J47" s="4">
        <f t="shared" si="27"/>
        <v>876.9772999999999</v>
      </c>
      <c r="K47" s="4">
        <f t="shared" si="27"/>
        <v>974.66330000000016</v>
      </c>
      <c r="L47" s="4">
        <f t="shared" si="27"/>
        <v>929.05049999999994</v>
      </c>
      <c r="M47" s="4">
        <f t="shared" si="27"/>
        <v>989.88870000000009</v>
      </c>
      <c r="N47" s="4">
        <f t="shared" si="27"/>
        <v>1007.4190000000002</v>
      </c>
      <c r="O47" s="4">
        <f t="shared" si="27"/>
        <v>1097.6885</v>
      </c>
      <c r="P47" s="4">
        <f t="shared" si="27"/>
        <v>1170.6930999999997</v>
      </c>
      <c r="Q47" s="4">
        <f t="shared" si="27"/>
        <v>1188.4174</v>
      </c>
      <c r="R47" s="4">
        <f t="shared" si="27"/>
        <v>1423.3377</v>
      </c>
      <c r="S47" s="4">
        <f t="shared" si="27"/>
        <v>1499.1359000000002</v>
      </c>
      <c r="T47" s="4">
        <f t="shared" si="27"/>
        <v>1635.6607999999997</v>
      </c>
      <c r="U47" s="4">
        <f t="shared" si="27"/>
        <v>1971.1678000000002</v>
      </c>
      <c r="V47" s="4">
        <f t="shared" si="27"/>
        <v>2127.2166999999999</v>
      </c>
      <c r="W47" s="4">
        <f t="shared" si="27"/>
        <v>2305.6290000000004</v>
      </c>
      <c r="X47" s="4">
        <f t="shared" si="27"/>
        <v>2594.3013000000005</v>
      </c>
      <c r="Y47" s="4">
        <f t="shared" si="27"/>
        <v>2518.0763000000006</v>
      </c>
      <c r="Z47" s="4">
        <f t="shared" si="27"/>
        <v>2791.8287</v>
      </c>
      <c r="AA47" s="4">
        <f t="shared" si="27"/>
        <v>2944.8714</v>
      </c>
      <c r="AB47" s="4">
        <f t="shared" si="27"/>
        <v>3322.0162000000005</v>
      </c>
      <c r="AC47" s="4">
        <f t="shared" si="27"/>
        <v>3492.2575000000002</v>
      </c>
      <c r="AD47" s="4">
        <f t="shared" si="27"/>
        <v>2992.3478000000005</v>
      </c>
      <c r="AE47" s="4">
        <f t="shared" si="27"/>
        <v>3120.0652999999998</v>
      </c>
      <c r="AF47" s="4">
        <f t="shared" si="27"/>
        <v>3206.1505376413738</v>
      </c>
      <c r="AG47" s="4">
        <f t="shared" si="27"/>
        <v>3287.3422874331832</v>
      </c>
      <c r="AH47" s="4">
        <f t="shared" si="27"/>
        <v>3433.1686863187692</v>
      </c>
      <c r="AI47" s="4">
        <f t="shared" si="27"/>
        <v>3613.7244010480354</v>
      </c>
      <c r="AJ47" s="4">
        <f t="shared" si="27"/>
        <v>3833.6516705289664</v>
      </c>
      <c r="AK47" s="4">
        <f t="shared" si="27"/>
        <v>4087.3214236516937</v>
      </c>
      <c r="AL47" s="4">
        <f t="shared" si="27"/>
        <v>4391.6366926573373</v>
      </c>
      <c r="AM47" s="4">
        <f t="shared" si="27"/>
        <v>4803.8824306026117</v>
      </c>
      <c r="AN47" s="4">
        <f t="shared" si="27"/>
        <v>5296.7355661690599</v>
      </c>
      <c r="AO47" s="4">
        <f t="shared" si="27"/>
        <v>5871.9650319811872</v>
      </c>
      <c r="AP47" s="4">
        <f t="shared" si="27"/>
        <v>6493.2901754919922</v>
      </c>
      <c r="AQ47" s="4">
        <f t="shared" si="27"/>
        <v>7038.4453397050238</v>
      </c>
      <c r="AR47" s="4">
        <f t="shared" si="27"/>
        <v>7623.1637314607306</v>
      </c>
      <c r="AS47" s="4">
        <f t="shared" si="27"/>
        <v>8251.3367560190072</v>
      </c>
      <c r="AT47" s="4">
        <f t="shared" si="27"/>
        <v>8927.6931034803929</v>
      </c>
      <c r="AU47" s="4">
        <f t="shared" si="27"/>
        <v>9657.9741511857519</v>
      </c>
      <c r="AV47" s="4">
        <f t="shared" si="27"/>
        <v>10448.513897431707</v>
      </c>
      <c r="AW47" s="4">
        <f t="shared" si="27"/>
        <v>11306.394464546393</v>
      </c>
      <c r="AX47" s="4">
        <f t="shared" si="27"/>
        <v>12239.449811352806</v>
      </c>
      <c r="AY47" s="4">
        <f t="shared" si="27"/>
        <v>13256.288802640925</v>
      </c>
      <c r="AZ47" s="4">
        <f t="shared" si="27"/>
        <v>14275.714738405744</v>
      </c>
      <c r="BA47" s="4">
        <f t="shared" si="27"/>
        <v>15283.249646042492</v>
      </c>
      <c r="BB47" s="4">
        <f t="shared" si="27"/>
        <v>16272.619273622779</v>
      </c>
      <c r="BC47" s="4">
        <f t="shared" si="27"/>
        <v>17217.682220132891</v>
      </c>
      <c r="BD47" s="4">
        <f t="shared" si="27"/>
        <v>18099.708647729673</v>
      </c>
      <c r="BE47" s="4">
        <f t="shared" si="27"/>
        <v>18899.611407279182</v>
      </c>
      <c r="BF47" s="4">
        <f t="shared" si="27"/>
        <v>19597.628088654408</v>
      </c>
      <c r="BG47" s="4">
        <f t="shared" si="27"/>
        <v>20278.723116980203</v>
      </c>
      <c r="BH47" s="4">
        <f t="shared" si="27"/>
        <v>20937.329500196585</v>
      </c>
      <c r="BI47" s="4">
        <f t="shared" si="27"/>
        <v>21568.183329368028</v>
      </c>
      <c r="BJ47" s="4">
        <f t="shared" si="27"/>
        <v>22165.143033127126</v>
      </c>
      <c r="BK47" s="4">
        <f t="shared" si="27"/>
        <v>22718.414986128035</v>
      </c>
      <c r="BL47" s="4">
        <f t="shared" si="27"/>
        <v>23224.753020618195</v>
      </c>
      <c r="BM47" s="4">
        <f t="shared" si="27"/>
        <v>23679.054719674281</v>
      </c>
      <c r="BN47" s="4">
        <f t="shared" si="27"/>
        <v>24077.638799210497</v>
      </c>
      <c r="BO47" s="4">
        <f t="shared" si="27"/>
        <v>24417.248496898927</v>
      </c>
      <c r="BP47" s="4">
        <f t="shared" si="27"/>
        <v>24694.617225020615</v>
      </c>
      <c r="BQ47" s="4">
        <f t="shared" si="27"/>
        <v>24973.270571203026</v>
      </c>
      <c r="BR47" s="4">
        <f t="shared" si="27"/>
        <v>25253.295685433233</v>
      </c>
      <c r="BS47" s="4">
        <f t="shared" si="27"/>
        <v>25535.394887554448</v>
      </c>
      <c r="BT47" s="4">
        <f t="shared" ref="BT47:CD47" si="28">SUM(BT48:BT69)</f>
        <v>25820.500984803373</v>
      </c>
      <c r="BU47" s="4">
        <f t="shared" si="28"/>
        <v>26108.059207776638</v>
      </c>
      <c r="BV47" s="4">
        <f t="shared" si="28"/>
        <v>26398.534898555208</v>
      </c>
      <c r="BW47" s="4">
        <f t="shared" si="28"/>
        <v>26694.161923851119</v>
      </c>
      <c r="BX47" s="4">
        <f t="shared" si="28"/>
        <v>26995.917108821239</v>
      </c>
      <c r="BY47" s="4">
        <f t="shared" si="28"/>
        <v>27305.828032154186</v>
      </c>
      <c r="BZ47" s="4">
        <f t="shared" si="28"/>
        <v>27626.033479675127</v>
      </c>
      <c r="CA47" s="4">
        <f t="shared" si="28"/>
        <v>27958.839728697643</v>
      </c>
      <c r="CB47" s="4">
        <f t="shared" si="28"/>
        <v>28307.494104038542</v>
      </c>
      <c r="CC47" s="4">
        <f t="shared" si="28"/>
        <v>28675.132429784117</v>
      </c>
      <c r="CD47" s="4">
        <f t="shared" si="28"/>
        <v>29063.784514854717</v>
      </c>
    </row>
    <row r="48" spans="3:82" s="3" customFormat="1" x14ac:dyDescent="0.2">
      <c r="D48" s="3" t="s">
        <v>26</v>
      </c>
      <c r="F48" s="3" t="s">
        <v>6</v>
      </c>
      <c r="G48" s="3">
        <f>O293</f>
        <v>0</v>
      </c>
      <c r="H48" s="3">
        <f t="shared" ref="H48:BS50" si="29">P293</f>
        <v>0</v>
      </c>
      <c r="I48" s="3">
        <f t="shared" si="29"/>
        <v>2.7900000000000001E-2</v>
      </c>
      <c r="J48" s="3">
        <f t="shared" si="29"/>
        <v>2.7900000000000001E-2</v>
      </c>
      <c r="K48" s="3">
        <f t="shared" si="29"/>
        <v>2.7900000000000001E-2</v>
      </c>
      <c r="L48" s="3">
        <f t="shared" si="29"/>
        <v>2.7900000000000001E-2</v>
      </c>
      <c r="M48" s="3">
        <f t="shared" si="29"/>
        <v>2.7900000000000001E-2</v>
      </c>
      <c r="N48" s="3">
        <f t="shared" si="29"/>
        <v>2.7900000000000001E-2</v>
      </c>
      <c r="O48" s="3">
        <f t="shared" si="29"/>
        <v>2.7900000000000001E-2</v>
      </c>
      <c r="P48" s="3">
        <f t="shared" si="29"/>
        <v>2.7900000000000001E-2</v>
      </c>
      <c r="Q48" s="3">
        <f t="shared" si="29"/>
        <v>2.7900000000000001E-2</v>
      </c>
      <c r="R48" s="3">
        <f t="shared" si="29"/>
        <v>2.7900000000000001E-2</v>
      </c>
      <c r="S48" s="3">
        <f t="shared" si="29"/>
        <v>5.5800000000000002E-2</v>
      </c>
      <c r="T48" s="3">
        <f t="shared" si="29"/>
        <v>2.7900000000000001E-2</v>
      </c>
      <c r="U48" s="3">
        <f t="shared" si="29"/>
        <v>5.5800000000000002E-2</v>
      </c>
      <c r="V48" s="3">
        <f t="shared" si="29"/>
        <v>5.5800000000000002E-2</v>
      </c>
      <c r="W48" s="3">
        <f t="shared" si="29"/>
        <v>5.5800000000000002E-2</v>
      </c>
      <c r="X48" s="3">
        <f t="shared" si="29"/>
        <v>5.5800000000000002E-2</v>
      </c>
      <c r="Y48" s="3">
        <f t="shared" si="29"/>
        <v>5.5800000000000002E-2</v>
      </c>
      <c r="Z48" s="3">
        <f t="shared" si="29"/>
        <v>5.5800000000000002E-2</v>
      </c>
      <c r="AA48" s="3">
        <f t="shared" si="29"/>
        <v>5.5800000000000002E-2</v>
      </c>
      <c r="AB48" s="3">
        <f t="shared" si="29"/>
        <v>5.5800000000000002E-2</v>
      </c>
      <c r="AC48" s="3">
        <f t="shared" si="29"/>
        <v>5.5800000000000002E-2</v>
      </c>
      <c r="AD48" s="3">
        <f t="shared" si="29"/>
        <v>5.5800000000000002E-2</v>
      </c>
      <c r="AE48" s="3">
        <f t="shared" si="29"/>
        <v>5.5800000000000002E-2</v>
      </c>
      <c r="AF48" s="3">
        <f t="shared" si="29"/>
        <v>1.7809342018343902E-2</v>
      </c>
      <c r="AG48" s="3">
        <f t="shared" si="29"/>
        <v>1.84335097532187E-2</v>
      </c>
      <c r="AH48" s="3">
        <f t="shared" si="29"/>
        <v>1.9306335903405698E-2</v>
      </c>
      <c r="AI48" s="3">
        <f t="shared" si="29"/>
        <v>2.0393642372469999E-2</v>
      </c>
      <c r="AJ48" s="3">
        <f t="shared" si="29"/>
        <v>2.1726566044609201E-2</v>
      </c>
      <c r="AK48" s="3">
        <f t="shared" si="29"/>
        <v>2.3278477326679699E-2</v>
      </c>
      <c r="AL48" s="3">
        <f t="shared" si="29"/>
        <v>2.51559356290641E-2</v>
      </c>
      <c r="AM48" s="3">
        <f t="shared" si="29"/>
        <v>2.7710619425036401E-2</v>
      </c>
      <c r="AN48" s="3">
        <f t="shared" si="29"/>
        <v>3.0806841369408301E-2</v>
      </c>
      <c r="AO48" s="3">
        <f t="shared" si="29"/>
        <v>3.4483651496601299E-2</v>
      </c>
      <c r="AP48" s="3">
        <f t="shared" si="29"/>
        <v>3.85489404706836E-2</v>
      </c>
      <c r="AQ48" s="3">
        <f t="shared" si="29"/>
        <v>4.2251407165211793E-2</v>
      </c>
      <c r="AR48" s="3">
        <f t="shared" si="29"/>
        <v>4.6313743826415912E-2</v>
      </c>
      <c r="AS48" s="3">
        <f t="shared" si="29"/>
        <v>5.07718504598361E-2</v>
      </c>
      <c r="AT48" s="3">
        <f t="shared" si="29"/>
        <v>5.5665268703457699E-2</v>
      </c>
      <c r="AU48" s="3">
        <f t="shared" si="29"/>
        <v>6.1039052242516698E-2</v>
      </c>
      <c r="AV48" s="3">
        <f t="shared" si="29"/>
        <v>6.6941631568033094E-2</v>
      </c>
      <c r="AW48" s="3">
        <f t="shared" si="29"/>
        <v>7.3426355636206711E-2</v>
      </c>
      <c r="AX48" s="3">
        <f t="shared" si="29"/>
        <v>8.0551968503751209E-2</v>
      </c>
      <c r="AY48" s="3">
        <f t="shared" si="29"/>
        <v>8.8383116745102602E-2</v>
      </c>
      <c r="AZ48" s="3">
        <f t="shared" si="29"/>
        <v>9.6324024589578602E-2</v>
      </c>
      <c r="BA48" s="3">
        <f t="shared" si="29"/>
        <v>0.1042411554097</v>
      </c>
      <c r="BB48" s="3">
        <f t="shared" si="29"/>
        <v>0.1120803120913</v>
      </c>
      <c r="BC48" s="3">
        <f t="shared" si="29"/>
        <v>0.1196005542838</v>
      </c>
      <c r="BD48" s="3">
        <f t="shared" si="29"/>
        <v>0.12663494057749999</v>
      </c>
      <c r="BE48" s="3">
        <f t="shared" si="29"/>
        <v>0.13301859576960001</v>
      </c>
      <c r="BF48" s="3">
        <f t="shared" si="29"/>
        <v>0.13858663132740001</v>
      </c>
      <c r="BG48" s="3">
        <f t="shared" si="29"/>
        <v>0.14399069338129999</v>
      </c>
      <c r="BH48" s="3">
        <f t="shared" si="29"/>
        <v>0.1491923892632</v>
      </c>
      <c r="BI48" s="3">
        <f t="shared" si="29"/>
        <v>0.15415942989549999</v>
      </c>
      <c r="BJ48" s="3">
        <f t="shared" si="29"/>
        <v>0.15885365911800001</v>
      </c>
      <c r="BK48" s="3">
        <f t="shared" si="29"/>
        <v>0.16442038707109999</v>
      </c>
      <c r="BL48" s="3">
        <f t="shared" si="29"/>
        <v>0.16973666695209999</v>
      </c>
      <c r="BM48" s="3">
        <f t="shared" si="29"/>
        <v>0.17475858873440001</v>
      </c>
      <c r="BN48" s="3">
        <f t="shared" si="29"/>
        <v>0.17945129028090001</v>
      </c>
      <c r="BO48" s="3">
        <f t="shared" si="29"/>
        <v>0.18378027320400001</v>
      </c>
      <c r="BP48" s="3">
        <f t="shared" si="29"/>
        <v>0.18770749881330001</v>
      </c>
      <c r="BQ48" s="3">
        <f t="shared" si="29"/>
        <v>0.1917477293613</v>
      </c>
      <c r="BR48" s="3">
        <f t="shared" si="29"/>
        <v>0.1959042128114</v>
      </c>
      <c r="BS48" s="3">
        <f t="shared" si="29"/>
        <v>0.2001854452155</v>
      </c>
      <c r="BT48" s="3">
        <f t="shared" ref="BT48:CD49" si="30">CB293</f>
        <v>0.20460134799660001</v>
      </c>
      <c r="BU48" s="3">
        <f t="shared" si="30"/>
        <v>0.20914525130680001</v>
      </c>
      <c r="BV48" s="3">
        <f t="shared" si="30"/>
        <v>0.21381844683029999</v>
      </c>
      <c r="BW48" s="3">
        <f t="shared" si="30"/>
        <v>0.21863794494700001</v>
      </c>
      <c r="BX48" s="3">
        <f t="shared" si="30"/>
        <v>0.22360441671100001</v>
      </c>
      <c r="BY48" s="3">
        <f t="shared" si="30"/>
        <v>0.2287255568621</v>
      </c>
      <c r="BZ48" s="3">
        <f t="shared" si="30"/>
        <v>0.234005909707</v>
      </c>
      <c r="CA48" s="3">
        <f t="shared" si="30"/>
        <v>0.23944750079640001</v>
      </c>
      <c r="CB48" s="3">
        <f t="shared" si="30"/>
        <v>0.2450594743092</v>
      </c>
      <c r="CC48" s="3">
        <f t="shared" si="30"/>
        <v>0.2508489098601</v>
      </c>
      <c r="CD48" s="3">
        <f t="shared" si="30"/>
        <v>0.25681338288209998</v>
      </c>
    </row>
    <row r="49" spans="4:82" s="3" customFormat="1" x14ac:dyDescent="0.2">
      <c r="D49" s="3" t="s">
        <v>26</v>
      </c>
      <c r="F49" s="3" t="s">
        <v>7</v>
      </c>
      <c r="G49" s="3">
        <f>O294</f>
        <v>70.207999999999998</v>
      </c>
      <c r="H49" s="3">
        <f t="shared" si="29"/>
        <v>70.207999999999998</v>
      </c>
      <c r="I49" s="3">
        <f t="shared" si="29"/>
        <v>118.247</v>
      </c>
      <c r="J49" s="3">
        <f t="shared" si="29"/>
        <v>160.79400000000001</v>
      </c>
      <c r="K49" s="3">
        <f t="shared" si="29"/>
        <v>124.982</v>
      </c>
      <c r="L49" s="3">
        <f t="shared" si="29"/>
        <v>94.525999999999996</v>
      </c>
      <c r="M49" s="3">
        <f t="shared" si="29"/>
        <v>129.94800000000001</v>
      </c>
      <c r="N49" s="3">
        <f t="shared" si="29"/>
        <v>129.94800000000001</v>
      </c>
      <c r="O49" s="3">
        <f t="shared" si="29"/>
        <v>162.34100000000001</v>
      </c>
      <c r="P49" s="3">
        <f t="shared" si="29"/>
        <v>185.48099999999999</v>
      </c>
      <c r="Q49" s="3">
        <f t="shared" si="29"/>
        <v>208.45400000000001</v>
      </c>
      <c r="R49" s="3">
        <f t="shared" si="29"/>
        <v>210.94499999999999</v>
      </c>
      <c r="S49" s="3">
        <f t="shared" si="29"/>
        <v>217.08699999999999</v>
      </c>
      <c r="T49" s="3">
        <f t="shared" si="29"/>
        <v>104.47499999999999</v>
      </c>
      <c r="U49" s="3">
        <f t="shared" si="29"/>
        <v>261.38299999999998</v>
      </c>
      <c r="V49" s="3">
        <f t="shared" si="29"/>
        <v>276.36900000000003</v>
      </c>
      <c r="W49" s="3">
        <f t="shared" si="29"/>
        <v>263.97800000000001</v>
      </c>
      <c r="X49" s="3">
        <f t="shared" si="29"/>
        <v>318.375</v>
      </c>
      <c r="Y49" s="3">
        <f t="shared" si="29"/>
        <v>290.61900000000003</v>
      </c>
      <c r="Z49" s="3">
        <f t="shared" si="29"/>
        <v>353.96800000000002</v>
      </c>
      <c r="AA49" s="3">
        <f t="shared" si="29"/>
        <v>326.71899999999999</v>
      </c>
      <c r="AB49" s="3">
        <f t="shared" si="29"/>
        <v>315.05</v>
      </c>
      <c r="AC49" s="3">
        <f t="shared" si="29"/>
        <v>321.20699999999999</v>
      </c>
      <c r="AD49" s="3">
        <f t="shared" si="29"/>
        <v>326.68400000000003</v>
      </c>
      <c r="AE49" s="3">
        <f t="shared" si="29"/>
        <v>344.25799999999998</v>
      </c>
      <c r="AF49" s="3">
        <f t="shared" si="29"/>
        <v>125.33970519303401</v>
      </c>
      <c r="AG49" s="3">
        <f t="shared" si="29"/>
        <v>129.73251205808501</v>
      </c>
      <c r="AH49" s="3">
        <f t="shared" si="29"/>
        <v>135.875342727321</v>
      </c>
      <c r="AI49" s="3">
        <f t="shared" si="29"/>
        <v>143.52765644821201</v>
      </c>
      <c r="AJ49" s="3">
        <f t="shared" si="29"/>
        <v>152.90859033889899</v>
      </c>
      <c r="AK49" s="3">
        <f t="shared" si="29"/>
        <v>163.83072897715499</v>
      </c>
      <c r="AL49" s="3">
        <f t="shared" si="29"/>
        <v>177.04402287036501</v>
      </c>
      <c r="AM49" s="3">
        <f t="shared" si="29"/>
        <v>195.02353685346401</v>
      </c>
      <c r="AN49" s="3">
        <f t="shared" si="29"/>
        <v>216.81432201105301</v>
      </c>
      <c r="AO49" s="3">
        <f t="shared" si="29"/>
        <v>242.691207126655</v>
      </c>
      <c r="AP49" s="3">
        <f t="shared" si="29"/>
        <v>271.302153056669</v>
      </c>
      <c r="AQ49" s="3">
        <f t="shared" si="29"/>
        <v>297.35960557238798</v>
      </c>
      <c r="AR49" s="3">
        <f t="shared" si="29"/>
        <v>325.949773529504</v>
      </c>
      <c r="AS49" s="3">
        <f t="shared" si="29"/>
        <v>357.32531624054002</v>
      </c>
      <c r="AT49" s="3">
        <f t="shared" si="29"/>
        <v>391.76452232743497</v>
      </c>
      <c r="AU49" s="3">
        <f t="shared" si="29"/>
        <v>429.58447344427401</v>
      </c>
      <c r="AV49" s="3">
        <f t="shared" si="29"/>
        <v>471.12601674086</v>
      </c>
      <c r="AW49" s="3">
        <f t="shared" si="29"/>
        <v>516.76461484997901</v>
      </c>
      <c r="AX49" s="3">
        <f t="shared" si="29"/>
        <v>566.91370038149205</v>
      </c>
      <c r="AY49" s="3">
        <f t="shared" si="29"/>
        <v>622.02824705536193</v>
      </c>
      <c r="AZ49" s="3">
        <f t="shared" si="29"/>
        <v>677.91526675344301</v>
      </c>
      <c r="BA49" s="3">
        <f t="shared" si="29"/>
        <v>733.63494701717707</v>
      </c>
      <c r="BB49" s="3">
        <f t="shared" si="29"/>
        <v>788.8058559949111</v>
      </c>
      <c r="BC49" s="3">
        <f t="shared" si="29"/>
        <v>841.73228856090896</v>
      </c>
      <c r="BD49" s="3">
        <f t="shared" si="29"/>
        <v>891.23933398444797</v>
      </c>
      <c r="BE49" s="3">
        <f t="shared" si="29"/>
        <v>936.16662321336196</v>
      </c>
      <c r="BF49" s="3">
        <f t="shared" si="29"/>
        <v>975.353693381281</v>
      </c>
      <c r="BG49" s="3">
        <f t="shared" si="29"/>
        <v>1013.38674053029</v>
      </c>
      <c r="BH49" s="3">
        <f t="shared" si="29"/>
        <v>1049.9955623319499</v>
      </c>
      <c r="BI49" s="3">
        <f t="shared" si="29"/>
        <v>1084.95291268648</v>
      </c>
      <c r="BJ49" s="3">
        <f t="shared" si="29"/>
        <v>1117.99025377716</v>
      </c>
      <c r="BK49" s="3">
        <f t="shared" si="29"/>
        <v>1157.1681212029901</v>
      </c>
      <c r="BL49" s="3">
        <f t="shared" si="29"/>
        <v>1194.58336946593</v>
      </c>
      <c r="BM49" s="3">
        <f t="shared" si="29"/>
        <v>1229.92696582349</v>
      </c>
      <c r="BN49" s="3">
        <f t="shared" si="29"/>
        <v>1262.95355533979</v>
      </c>
      <c r="BO49" s="3">
        <f t="shared" si="29"/>
        <v>1293.42034309728</v>
      </c>
      <c r="BP49" s="3">
        <f t="shared" si="29"/>
        <v>1321.05961801175</v>
      </c>
      <c r="BQ49" s="3">
        <f t="shared" si="29"/>
        <v>1349.4942061777199</v>
      </c>
      <c r="BR49" s="3">
        <f t="shared" si="29"/>
        <v>1378.74696631509</v>
      </c>
      <c r="BS49" s="3">
        <f t="shared" si="29"/>
        <v>1408.8776924722599</v>
      </c>
      <c r="BT49" s="3">
        <f t="shared" si="30"/>
        <v>1439.9562102624</v>
      </c>
      <c r="BU49" s="3">
        <f t="shared" si="30"/>
        <v>1471.9355782110799</v>
      </c>
      <c r="BV49" s="3">
        <f t="shared" si="30"/>
        <v>1504.82488701438</v>
      </c>
      <c r="BW49" s="3">
        <f t="shared" si="30"/>
        <v>1538.74385339168</v>
      </c>
      <c r="BX49" s="3">
        <f t="shared" si="30"/>
        <v>1573.6972001297199</v>
      </c>
      <c r="BY49" s="3">
        <f t="shared" si="30"/>
        <v>1609.7390817524099</v>
      </c>
      <c r="BZ49" s="3">
        <f t="shared" si="30"/>
        <v>1646.9014804651099</v>
      </c>
      <c r="CA49" s="3">
        <f t="shared" si="30"/>
        <v>1685.1986518158201</v>
      </c>
      <c r="CB49" s="3">
        <f t="shared" si="30"/>
        <v>1724.6949512818101</v>
      </c>
      <c r="CC49" s="3">
        <f t="shared" si="30"/>
        <v>1765.44020421912</v>
      </c>
      <c r="CD49" s="3">
        <f t="shared" si="30"/>
        <v>1807.4173468577001</v>
      </c>
    </row>
    <row r="50" spans="4:82" s="3" customFormat="1" x14ac:dyDescent="0.2">
      <c r="D50" s="3" t="s">
        <v>26</v>
      </c>
      <c r="F50" s="3" t="s">
        <v>8</v>
      </c>
      <c r="G50" s="3">
        <f>O295</f>
        <v>0.54600000000000004</v>
      </c>
      <c r="H50" s="3">
        <f t="shared" si="29"/>
        <v>0.54600000000000004</v>
      </c>
      <c r="I50" s="3">
        <f t="shared" si="29"/>
        <v>0.81900000000000006</v>
      </c>
      <c r="J50" s="3">
        <f t="shared" si="29"/>
        <v>1.0920000000000001</v>
      </c>
      <c r="K50" s="3">
        <f t="shared" si="29"/>
        <v>0.81900000000000006</v>
      </c>
      <c r="L50" s="3">
        <f t="shared" si="29"/>
        <v>0.81900000000000006</v>
      </c>
      <c r="M50" s="3">
        <f t="shared" si="29"/>
        <v>1.0920000000000001</v>
      </c>
      <c r="N50" s="3">
        <f t="shared" si="29"/>
        <v>1.0920000000000001</v>
      </c>
      <c r="O50" s="3">
        <f t="shared" si="29"/>
        <v>1.365</v>
      </c>
      <c r="P50" s="3">
        <f t="shared" si="29"/>
        <v>1.365</v>
      </c>
      <c r="Q50" s="3">
        <f t="shared" si="29"/>
        <v>1.6379999999999999</v>
      </c>
      <c r="R50" s="3">
        <f t="shared" si="29"/>
        <v>1.6379999999999999</v>
      </c>
      <c r="S50" s="3">
        <f t="shared" si="29"/>
        <v>1.6379999999999999</v>
      </c>
      <c r="T50" s="3">
        <f t="shared" si="29"/>
        <v>0.81900000000000006</v>
      </c>
      <c r="U50" s="3">
        <f t="shared" si="29"/>
        <v>1.911</v>
      </c>
      <c r="V50" s="3">
        <f t="shared" si="29"/>
        <v>2.1840000000000002</v>
      </c>
      <c r="W50" s="3">
        <f t="shared" si="29"/>
        <v>1.911</v>
      </c>
      <c r="X50" s="3">
        <f t="shared" si="29"/>
        <v>2.4569999999999999</v>
      </c>
      <c r="Y50" s="3">
        <f t="shared" si="29"/>
        <v>2.1840000000000002</v>
      </c>
      <c r="Z50" s="3">
        <f t="shared" si="29"/>
        <v>2.73</v>
      </c>
      <c r="AA50" s="3">
        <f t="shared" si="29"/>
        <v>2.4569999999999999</v>
      </c>
      <c r="AB50" s="3">
        <f t="shared" si="29"/>
        <v>2.4569999999999999</v>
      </c>
      <c r="AC50" s="3">
        <f t="shared" si="29"/>
        <v>2.4569999999999999</v>
      </c>
      <c r="AD50" s="3">
        <f t="shared" si="29"/>
        <v>2.4569999999999999</v>
      </c>
      <c r="AE50" s="3">
        <f t="shared" si="29"/>
        <v>2.73</v>
      </c>
      <c r="AF50" s="3">
        <f t="shared" si="29"/>
        <v>0.45248776024039999</v>
      </c>
      <c r="AG50" s="3">
        <f t="shared" si="29"/>
        <v>0.46834619341990003</v>
      </c>
      <c r="AH50" s="3">
        <f t="shared" si="29"/>
        <v>0.49052237204400001</v>
      </c>
      <c r="AI50" s="3">
        <f t="shared" si="29"/>
        <v>0.51814792207139992</v>
      </c>
      <c r="AJ50" s="3">
        <f t="shared" si="29"/>
        <v>0.55201394847239993</v>
      </c>
      <c r="AK50" s="3">
        <f t="shared" si="29"/>
        <v>0.59144386449020003</v>
      </c>
      <c r="AL50" s="3">
        <f t="shared" si="29"/>
        <v>0.63914505981320002</v>
      </c>
      <c r="AM50" s="3">
        <f t="shared" si="29"/>
        <v>0.70405274409319996</v>
      </c>
      <c r="AN50" s="3">
        <f t="shared" si="29"/>
        <v>0.78271946470389997</v>
      </c>
      <c r="AO50" s="3">
        <f t="shared" si="29"/>
        <v>0.8761373786037</v>
      </c>
      <c r="AP50" s="3">
        <f t="shared" si="29"/>
        <v>0.97942550124850003</v>
      </c>
      <c r="AQ50" s="3">
        <f t="shared" si="29"/>
        <v>1.0734952799212001</v>
      </c>
      <c r="AR50" s="3">
        <f t="shared" si="29"/>
        <v>1.1767083921899</v>
      </c>
      <c r="AS50" s="3">
        <f t="shared" si="29"/>
        <v>1.2899769612023</v>
      </c>
      <c r="AT50" s="3">
        <f t="shared" si="29"/>
        <v>1.4143056342489999</v>
      </c>
      <c r="AU50" s="3">
        <f t="shared" si="29"/>
        <v>1.5508391050028001</v>
      </c>
      <c r="AV50" s="3">
        <f t="shared" si="29"/>
        <v>1.7008078627420999</v>
      </c>
      <c r="AW50" s="3">
        <f t="shared" si="29"/>
        <v>1.8655673617938999</v>
      </c>
      <c r="AX50" s="3">
        <f t="shared" si="29"/>
        <v>2.0466101315635998</v>
      </c>
      <c r="AY50" s="3">
        <f t="shared" si="29"/>
        <v>2.2455786686503001</v>
      </c>
      <c r="AZ50" s="3">
        <f t="shared" si="29"/>
        <v>2.4473359037639</v>
      </c>
      <c r="BA50" s="3">
        <f t="shared" si="29"/>
        <v>2.6484890282668001</v>
      </c>
      <c r="BB50" s="3">
        <f t="shared" si="29"/>
        <v>2.8476610384077001</v>
      </c>
      <c r="BC50" s="3">
        <f t="shared" si="29"/>
        <v>3.0387302841222001</v>
      </c>
      <c r="BD50" s="3">
        <f t="shared" si="29"/>
        <v>3.2174552305812001</v>
      </c>
      <c r="BE50" s="3">
        <f t="shared" si="29"/>
        <v>3.379646839741</v>
      </c>
      <c r="BF50" s="3">
        <f t="shared" si="29"/>
        <v>3.5211157348797002</v>
      </c>
      <c r="BG50" s="3">
        <f t="shared" si="29"/>
        <v>3.6584185017330002</v>
      </c>
      <c r="BH50" s="3">
        <f t="shared" si="29"/>
        <v>3.7905796852667</v>
      </c>
      <c r="BI50" s="3">
        <f t="shared" si="29"/>
        <v>3.9167789063475</v>
      </c>
      <c r="BJ50" s="3">
        <f t="shared" si="29"/>
        <v>4.0360467189804003</v>
      </c>
      <c r="BK50" s="3">
        <f t="shared" si="29"/>
        <v>4.1774823913814014</v>
      </c>
      <c r="BL50" s="3">
        <f t="shared" si="29"/>
        <v>4.3125548479445994</v>
      </c>
      <c r="BM50" s="3">
        <f t="shared" si="29"/>
        <v>4.4401484523020001</v>
      </c>
      <c r="BN50" s="3">
        <f t="shared" si="29"/>
        <v>4.5593774507714002</v>
      </c>
      <c r="BO50" s="3">
        <f t="shared" si="29"/>
        <v>4.6693653315701003</v>
      </c>
      <c r="BP50" s="3">
        <f t="shared" si="29"/>
        <v>4.7691456332825997</v>
      </c>
      <c r="BQ50" s="3">
        <f t="shared" si="29"/>
        <v>4.8717970883243993</v>
      </c>
      <c r="BR50" s="3">
        <f t="shared" si="29"/>
        <v>4.9774022187579998</v>
      </c>
      <c r="BS50" s="3">
        <f>CA295</f>
        <v>5.0861768865480004</v>
      </c>
      <c r="BT50" s="3">
        <f>CB295</f>
        <v>5.1983731685226999</v>
      </c>
      <c r="BU50" s="3">
        <f>CC295</f>
        <v>5.3138216016805</v>
      </c>
      <c r="BV50" s="3">
        <f>CD295</f>
        <v>5.4325550042630999</v>
      </c>
      <c r="BW50" s="3">
        <f>CE295</f>
        <v>5.5550055645393002</v>
      </c>
      <c r="BX50" s="3">
        <f>CF295</f>
        <v>5.6811903321996002</v>
      </c>
      <c r="BY50" s="3">
        <f>CG295</f>
        <v>5.8113048100117002</v>
      </c>
      <c r="BZ50" s="3">
        <f>CH295</f>
        <v>5.9454644566518002</v>
      </c>
      <c r="CA50" s="3">
        <f>CI295</f>
        <v>6.0837207359475993</v>
      </c>
      <c r="CB50" s="3">
        <f>CJ295</f>
        <v>6.2263059770381002</v>
      </c>
      <c r="CC50" s="3">
        <f>CK295</f>
        <v>6.3734000539998998</v>
      </c>
      <c r="CD50" s="3">
        <f>CL295</f>
        <v>6.5249413650678996</v>
      </c>
    </row>
    <row r="51" spans="4:82" s="3" customFormat="1" x14ac:dyDescent="0.2">
      <c r="D51" s="3" t="s">
        <v>28</v>
      </c>
    </row>
    <row r="52" spans="4:82" s="3" customFormat="1" x14ac:dyDescent="0.2">
      <c r="E52" s="3" t="s">
        <v>29</v>
      </c>
      <c r="F52" s="3" t="s">
        <v>6</v>
      </c>
      <c r="G52" s="3">
        <f>O296</f>
        <v>4.7987999999999991</v>
      </c>
      <c r="H52" s="3">
        <f t="shared" ref="H52:BS55" si="31">P296</f>
        <v>4.7987999999999991</v>
      </c>
      <c r="I52" s="3">
        <f t="shared" si="31"/>
        <v>5.1056999999999997</v>
      </c>
      <c r="J52" s="3">
        <f t="shared" si="31"/>
        <v>5.5521000000000003</v>
      </c>
      <c r="K52" s="3">
        <f t="shared" si="31"/>
        <v>5.9984999999999999</v>
      </c>
      <c r="L52" s="3">
        <f t="shared" si="31"/>
        <v>5.6916000000000002</v>
      </c>
      <c r="M52" s="3">
        <f t="shared" si="31"/>
        <v>5.8868999999999998</v>
      </c>
      <c r="N52" s="3">
        <f t="shared" si="31"/>
        <v>6.0821999999999994</v>
      </c>
      <c r="O52" s="3">
        <f t="shared" si="31"/>
        <v>5.8868999999999998</v>
      </c>
      <c r="P52" s="3">
        <f t="shared" si="31"/>
        <v>5.6916000000000002</v>
      </c>
      <c r="Q52" s="3">
        <f t="shared" si="31"/>
        <v>5.3289</v>
      </c>
      <c r="R52" s="3">
        <f t="shared" si="31"/>
        <v>6.1658999999999997</v>
      </c>
      <c r="S52" s="3">
        <f t="shared" si="31"/>
        <v>6.0542999999999996</v>
      </c>
      <c r="T52" s="3">
        <f t="shared" si="31"/>
        <v>7.8957000000000006</v>
      </c>
      <c r="U52" s="3">
        <f t="shared" si="31"/>
        <v>9.1233000000000004</v>
      </c>
      <c r="V52" s="3">
        <f t="shared" si="31"/>
        <v>9.6255000000000006</v>
      </c>
      <c r="W52" s="3">
        <f t="shared" si="31"/>
        <v>11.0205</v>
      </c>
      <c r="X52" s="3">
        <f t="shared" si="31"/>
        <v>14.3127</v>
      </c>
      <c r="Y52" s="3">
        <f t="shared" si="31"/>
        <v>14.7033</v>
      </c>
      <c r="Z52" s="3">
        <f t="shared" si="31"/>
        <v>16.014600000000002</v>
      </c>
      <c r="AA52" s="3">
        <f t="shared" si="31"/>
        <v>16.4331</v>
      </c>
      <c r="AB52" s="3">
        <f t="shared" si="31"/>
        <v>18.888300000000001</v>
      </c>
      <c r="AC52" s="3">
        <f t="shared" si="31"/>
        <v>20.0322</v>
      </c>
      <c r="AD52" s="3">
        <f t="shared" si="31"/>
        <v>16.126200000000001</v>
      </c>
      <c r="AE52" s="3">
        <f t="shared" si="31"/>
        <v>17.493300000000001</v>
      </c>
      <c r="AF52" s="3">
        <f t="shared" si="31"/>
        <v>11.629871860443901</v>
      </c>
      <c r="AG52" s="3">
        <f t="shared" si="31"/>
        <v>11.953329051716199</v>
      </c>
      <c r="AH52" s="3">
        <f t="shared" si="31"/>
        <v>12.4179339287996</v>
      </c>
      <c r="AI52" s="3">
        <f t="shared" si="31"/>
        <v>12.9977850993929</v>
      </c>
      <c r="AJ52" s="3">
        <f t="shared" si="31"/>
        <v>13.7061749874432</v>
      </c>
      <c r="AK52" s="3">
        <f t="shared" si="31"/>
        <v>14.520188343491499</v>
      </c>
      <c r="AL52" s="3">
        <f t="shared" si="31"/>
        <v>15.4939133636455</v>
      </c>
      <c r="AM52" s="3">
        <f t="shared" si="31"/>
        <v>16.81487521967</v>
      </c>
      <c r="AN52" s="3">
        <f t="shared" si="31"/>
        <v>18.378451012794901</v>
      </c>
      <c r="AO52" s="3">
        <f t="shared" si="31"/>
        <v>20.178570172575199</v>
      </c>
      <c r="AP52" s="3">
        <f t="shared" si="31"/>
        <v>22.084917765021899</v>
      </c>
      <c r="AQ52" s="3">
        <f t="shared" si="31"/>
        <v>23.702458798464601</v>
      </c>
      <c r="AR52" s="3">
        <f t="shared" si="31"/>
        <v>25.403467962891199</v>
      </c>
      <c r="AS52" s="3">
        <f t="shared" si="31"/>
        <v>27.193922994316701</v>
      </c>
      <c r="AT52" s="3">
        <f t="shared" si="31"/>
        <v>29.081687865856299</v>
      </c>
      <c r="AU52" s="3">
        <f t="shared" si="31"/>
        <v>31.076772484364199</v>
      </c>
      <c r="AV52" s="3">
        <f t="shared" si="31"/>
        <v>33.189791663484499</v>
      </c>
      <c r="AW52" s="3">
        <f t="shared" si="31"/>
        <v>35.432185823280498</v>
      </c>
      <c r="AX52" s="3">
        <f t="shared" si="31"/>
        <v>37.815959927759899</v>
      </c>
      <c r="AY52" s="3">
        <f t="shared" si="31"/>
        <v>40.353471602910503</v>
      </c>
      <c r="AZ52" s="3">
        <f t="shared" si="31"/>
        <v>42.818553490101998</v>
      </c>
      <c r="BA52" s="3">
        <f t="shared" si="31"/>
        <v>45.177434712193893</v>
      </c>
      <c r="BB52" s="3">
        <f t="shared" si="31"/>
        <v>47.407651815282698</v>
      </c>
      <c r="BC52" s="3">
        <f t="shared" si="31"/>
        <v>49.461532522929303</v>
      </c>
      <c r="BD52" s="3">
        <f t="shared" si="31"/>
        <v>51.303320575522797</v>
      </c>
      <c r="BE52" s="3">
        <f t="shared" si="31"/>
        <v>52.898481575698597</v>
      </c>
      <c r="BF52" s="3">
        <f t="shared" si="31"/>
        <v>54.213621338978598</v>
      </c>
      <c r="BG52" s="3">
        <f t="shared" si="31"/>
        <v>55.454953420468001</v>
      </c>
      <c r="BH52" s="3">
        <f t="shared" si="31"/>
        <v>56.611359497795</v>
      </c>
      <c r="BI52" s="3">
        <f t="shared" si="31"/>
        <v>57.672056974167802</v>
      </c>
      <c r="BJ52" s="3">
        <f t="shared" si="31"/>
        <v>58.6256360904624</v>
      </c>
      <c r="BK52" s="3">
        <f t="shared" si="31"/>
        <v>59.869607992498501</v>
      </c>
      <c r="BL52" s="3">
        <f t="shared" si="31"/>
        <v>61.001946984878998</v>
      </c>
      <c r="BM52" s="3">
        <f t="shared" si="31"/>
        <v>62.012729188098099</v>
      </c>
      <c r="BN52" s="3">
        <f t="shared" si="31"/>
        <v>62.894210911662199</v>
      </c>
      <c r="BO52" s="3">
        <f t="shared" si="31"/>
        <v>63.639791465370898</v>
      </c>
      <c r="BP52" s="3">
        <f t="shared" si="31"/>
        <v>64.243556491955701</v>
      </c>
      <c r="BQ52" s="3">
        <f t="shared" si="31"/>
        <v>64.84036779696541</v>
      </c>
      <c r="BR52" s="3">
        <f t="shared" si="31"/>
        <v>65.430267320661301</v>
      </c>
      <c r="BS52" s="3">
        <f t="shared" si="31"/>
        <v>66.014084770394405</v>
      </c>
      <c r="BT52" s="3">
        <f t="shared" ref="BT52:CD54" si="32">CB296</f>
        <v>66.593111682006594</v>
      </c>
      <c r="BU52" s="3">
        <f t="shared" si="32"/>
        <v>67.167558472361904</v>
      </c>
      <c r="BV52" s="3">
        <f t="shared" si="32"/>
        <v>67.739039521900807</v>
      </c>
      <c r="BW52" s="3">
        <f t="shared" si="32"/>
        <v>68.311381206081606</v>
      </c>
      <c r="BX52" s="3">
        <f t="shared" si="32"/>
        <v>68.887899574708598</v>
      </c>
      <c r="BY52" s="3">
        <f t="shared" si="32"/>
        <v>69.473668779920601</v>
      </c>
      <c r="BZ52" s="3">
        <f t="shared" si="32"/>
        <v>70.074685995820303</v>
      </c>
      <c r="CA52" s="3">
        <f t="shared" si="32"/>
        <v>70.697876016553906</v>
      </c>
      <c r="CB52" s="3">
        <f t="shared" si="32"/>
        <v>71.351594642803306</v>
      </c>
      <c r="CC52" s="3">
        <f t="shared" si="32"/>
        <v>72.044225613934699</v>
      </c>
      <c r="CD52" s="3">
        <f t="shared" si="32"/>
        <v>72.782550489685406</v>
      </c>
    </row>
    <row r="53" spans="4:82" s="3" customFormat="1" x14ac:dyDescent="0.2">
      <c r="E53" s="3" t="s">
        <v>29</v>
      </c>
      <c r="F53" s="3" t="s">
        <v>7</v>
      </c>
      <c r="G53" s="3">
        <f>O297</f>
        <v>459.54300000000001</v>
      </c>
      <c r="H53" s="3">
        <f t="shared" si="31"/>
        <v>459.54300000000001</v>
      </c>
      <c r="I53" s="3">
        <f t="shared" si="31"/>
        <v>487.02199999999999</v>
      </c>
      <c r="J53" s="3">
        <f t="shared" si="31"/>
        <v>540.84500000000003</v>
      </c>
      <c r="K53" s="3">
        <f t="shared" si="31"/>
        <v>620.29700000000003</v>
      </c>
      <c r="L53" s="3">
        <f t="shared" si="31"/>
        <v>600.58899999999994</v>
      </c>
      <c r="M53" s="3">
        <f t="shared" si="31"/>
        <v>619.57899999999995</v>
      </c>
      <c r="N53" s="3">
        <f t="shared" si="31"/>
        <v>636.173</v>
      </c>
      <c r="O53" s="3">
        <f t="shared" si="31"/>
        <v>654.54200000000003</v>
      </c>
      <c r="P53" s="3">
        <f t="shared" si="31"/>
        <v>670.41800000000001</v>
      </c>
      <c r="Q53" s="3">
        <f t="shared" si="31"/>
        <v>655.48199999999997</v>
      </c>
      <c r="R53" s="3">
        <f t="shared" si="31"/>
        <v>793.86699999999996</v>
      </c>
      <c r="S53" s="3">
        <f t="shared" si="31"/>
        <v>821.70500000000004</v>
      </c>
      <c r="T53" s="3">
        <f t="shared" si="31"/>
        <v>1008.047</v>
      </c>
      <c r="U53" s="3">
        <f t="shared" si="31"/>
        <v>1135.5450000000001</v>
      </c>
      <c r="V53" s="3">
        <f t="shared" si="31"/>
        <v>1220.0630000000001</v>
      </c>
      <c r="W53" s="3">
        <f t="shared" si="31"/>
        <v>1348.027</v>
      </c>
      <c r="X53" s="3">
        <f t="shared" si="31"/>
        <v>1576.7809999999999</v>
      </c>
      <c r="Y53" s="3">
        <f t="shared" si="31"/>
        <v>1571.5940000000001</v>
      </c>
      <c r="Z53" s="3">
        <f t="shared" si="31"/>
        <v>1713.5409999999999</v>
      </c>
      <c r="AA53" s="3">
        <f t="shared" si="31"/>
        <v>1800.018</v>
      </c>
      <c r="AB53" s="3">
        <f t="shared" si="31"/>
        <v>2068.3560000000002</v>
      </c>
      <c r="AC53" s="3">
        <f t="shared" si="31"/>
        <v>2183.6990000000001</v>
      </c>
      <c r="AD53" s="3">
        <f t="shared" si="31"/>
        <v>1444.4639999999999</v>
      </c>
      <c r="AE53" s="3">
        <f t="shared" si="31"/>
        <v>1545.671</v>
      </c>
      <c r="AF53" s="3">
        <f t="shared" si="31"/>
        <v>1505.4597609310499</v>
      </c>
      <c r="AG53" s="3">
        <f t="shared" si="31"/>
        <v>1547.3305391896099</v>
      </c>
      <c r="AH53" s="3">
        <f t="shared" si="31"/>
        <v>1607.4725558493401</v>
      </c>
      <c r="AI53" s="3">
        <f t="shared" si="31"/>
        <v>1682.5329361469101</v>
      </c>
      <c r="AJ53" s="3">
        <f t="shared" si="31"/>
        <v>1774.23235332944</v>
      </c>
      <c r="AK53" s="3">
        <f t="shared" si="31"/>
        <v>1879.6044818529899</v>
      </c>
      <c r="AL53" s="3">
        <f t="shared" si="31"/>
        <v>2005.6509124280001</v>
      </c>
      <c r="AM53" s="3">
        <f t="shared" si="31"/>
        <v>2176.6463407382298</v>
      </c>
      <c r="AN53" s="3">
        <f t="shared" si="31"/>
        <v>2379.0475767932498</v>
      </c>
      <c r="AO53" s="3">
        <f t="shared" si="31"/>
        <v>2612.06879942147</v>
      </c>
      <c r="AP53" s="3">
        <f t="shared" si="31"/>
        <v>2858.84104465468</v>
      </c>
      <c r="AQ53" s="3">
        <f t="shared" si="31"/>
        <v>3068.22795508017</v>
      </c>
      <c r="AR53" s="3">
        <f t="shared" si="31"/>
        <v>3288.4196201946502</v>
      </c>
      <c r="AS53" s="3">
        <f t="shared" si="31"/>
        <v>3520.1898439694901</v>
      </c>
      <c r="AT53" s="3">
        <f t="shared" si="31"/>
        <v>3764.5565993649702</v>
      </c>
      <c r="AU53" s="3">
        <f t="shared" si="31"/>
        <v>4022.815645454019</v>
      </c>
      <c r="AV53" s="3">
        <f t="shared" si="31"/>
        <v>4296.3410450812398</v>
      </c>
      <c r="AW53" s="3">
        <f t="shared" si="31"/>
        <v>4586.6137339146799</v>
      </c>
      <c r="AX53" s="3">
        <f t="shared" si="31"/>
        <v>4895.1877265180901</v>
      </c>
      <c r="AY53" s="3">
        <f t="shared" si="31"/>
        <v>5223.6626887251196</v>
      </c>
      <c r="AZ53" s="3">
        <f t="shared" si="31"/>
        <v>5542.7617839773202</v>
      </c>
      <c r="BA53" s="3">
        <f t="shared" si="31"/>
        <v>5848.11345107125</v>
      </c>
      <c r="BB53" s="3">
        <f t="shared" si="31"/>
        <v>6136.8098483428303</v>
      </c>
      <c r="BC53" s="3">
        <f t="shared" si="31"/>
        <v>6402.6799109039894</v>
      </c>
      <c r="BD53" s="3">
        <f t="shared" si="31"/>
        <v>6641.0950744255897</v>
      </c>
      <c r="BE53" s="3">
        <f t="shared" si="31"/>
        <v>6847.5849417937097</v>
      </c>
      <c r="BF53" s="3">
        <f t="shared" si="31"/>
        <v>7017.8267137905696</v>
      </c>
      <c r="BG53" s="3">
        <f t="shared" si="31"/>
        <v>7178.5142536929898</v>
      </c>
      <c r="BH53" s="3">
        <f t="shared" si="31"/>
        <v>7328.2083206270499</v>
      </c>
      <c r="BI53" s="3">
        <f t="shared" si="31"/>
        <v>7465.5131326113997</v>
      </c>
      <c r="BJ53" s="3">
        <f t="shared" si="31"/>
        <v>7588.95172296496</v>
      </c>
      <c r="BK53" s="3">
        <f t="shared" si="31"/>
        <v>7749.9809814741502</v>
      </c>
      <c r="BL53" s="3">
        <f t="shared" si="31"/>
        <v>7896.5596204495296</v>
      </c>
      <c r="BM53" s="3">
        <f t="shared" si="31"/>
        <v>8027.4030168576492</v>
      </c>
      <c r="BN53" s="3">
        <f t="shared" si="31"/>
        <v>8141.5087680427096</v>
      </c>
      <c r="BO53" s="3">
        <f t="shared" si="31"/>
        <v>8238.0224300684094</v>
      </c>
      <c r="BP53" s="3">
        <f t="shared" si="31"/>
        <v>8316.1784031941697</v>
      </c>
      <c r="BQ53" s="3">
        <f t="shared" si="31"/>
        <v>8393.4342332963697</v>
      </c>
      <c r="BR53" s="3">
        <f t="shared" si="31"/>
        <v>8469.7953494439207</v>
      </c>
      <c r="BS53" s="3">
        <f t="shared" si="31"/>
        <v>8545.3691553163699</v>
      </c>
      <c r="BT53" s="3">
        <f t="shared" si="32"/>
        <v>8620.3228372131798</v>
      </c>
      <c r="BU53" s="3">
        <f t="shared" si="32"/>
        <v>8694.6836331061495</v>
      </c>
      <c r="BV53" s="3">
        <f t="shared" si="32"/>
        <v>8768.6605207743396</v>
      </c>
      <c r="BW53" s="3">
        <f t="shared" si="32"/>
        <v>8842.748815587649</v>
      </c>
      <c r="BX53" s="3">
        <f t="shared" si="32"/>
        <v>8917.3777724515312</v>
      </c>
      <c r="BY53" s="3">
        <f t="shared" si="32"/>
        <v>8993.2042285140997</v>
      </c>
      <c r="BZ53" s="3">
        <f t="shared" si="32"/>
        <v>9071.0045039617908</v>
      </c>
      <c r="CA53" s="3">
        <f t="shared" si="32"/>
        <v>9151.6749972300113</v>
      </c>
      <c r="CB53" s="3">
        <f t="shared" si="32"/>
        <v>9236.2973472093599</v>
      </c>
      <c r="CC53" s="3">
        <f t="shared" si="32"/>
        <v>9325.9568093879207</v>
      </c>
      <c r="CD53" s="3">
        <f t="shared" si="32"/>
        <v>9421.5312408412501</v>
      </c>
    </row>
    <row r="54" spans="4:82" s="3" customFormat="1" x14ac:dyDescent="0.2">
      <c r="E54" s="3" t="s">
        <v>29</v>
      </c>
      <c r="F54" s="3" t="s">
        <v>8</v>
      </c>
      <c r="G54" s="3">
        <f>O298</f>
        <v>5.7330000000000014</v>
      </c>
      <c r="H54" s="3">
        <f t="shared" si="31"/>
        <v>5.7330000000000014</v>
      </c>
      <c r="I54" s="3">
        <f t="shared" si="31"/>
        <v>6.2789999999999999</v>
      </c>
      <c r="J54" s="3">
        <f t="shared" si="31"/>
        <v>7.0979999999999999</v>
      </c>
      <c r="K54" s="3">
        <f t="shared" si="31"/>
        <v>8.19</v>
      </c>
      <c r="L54" s="3">
        <f t="shared" si="31"/>
        <v>7.9170000000000007</v>
      </c>
      <c r="M54" s="3">
        <f t="shared" si="31"/>
        <v>8.19</v>
      </c>
      <c r="N54" s="3">
        <f t="shared" si="31"/>
        <v>8.19</v>
      </c>
      <c r="O54" s="3">
        <f t="shared" si="31"/>
        <v>8.4629999999999992</v>
      </c>
      <c r="P54" s="3">
        <f t="shared" si="31"/>
        <v>9.0090000000000003</v>
      </c>
      <c r="Q54" s="3">
        <f t="shared" si="31"/>
        <v>8.7360000000000007</v>
      </c>
      <c r="R54" s="3">
        <f t="shared" si="31"/>
        <v>10.647</v>
      </c>
      <c r="S54" s="3">
        <f t="shared" si="31"/>
        <v>11.193</v>
      </c>
      <c r="T54" s="3">
        <f t="shared" si="31"/>
        <v>13.377000000000001</v>
      </c>
      <c r="U54" s="3">
        <f t="shared" si="31"/>
        <v>15.288</v>
      </c>
      <c r="V54" s="3">
        <f t="shared" si="31"/>
        <v>16.38</v>
      </c>
      <c r="W54" s="3">
        <f t="shared" si="31"/>
        <v>18.018000000000001</v>
      </c>
      <c r="X54" s="3">
        <f t="shared" si="31"/>
        <v>20.748000000000001</v>
      </c>
      <c r="Y54" s="3">
        <f t="shared" si="31"/>
        <v>20.748000000000001</v>
      </c>
      <c r="Z54" s="3">
        <f t="shared" si="31"/>
        <v>22.658999999999999</v>
      </c>
      <c r="AA54" s="3">
        <f t="shared" si="31"/>
        <v>24.024000000000001</v>
      </c>
      <c r="AB54" s="3">
        <f t="shared" si="31"/>
        <v>27.3</v>
      </c>
      <c r="AC54" s="3">
        <f t="shared" si="31"/>
        <v>28.937999999999999</v>
      </c>
      <c r="AD54" s="3">
        <f t="shared" si="31"/>
        <v>15.561</v>
      </c>
      <c r="AE54" s="3">
        <f t="shared" si="31"/>
        <v>16.925999999999998</v>
      </c>
      <c r="AF54" s="3">
        <f t="shared" si="31"/>
        <v>9.7970924494376987</v>
      </c>
      <c r="AG54" s="3">
        <f t="shared" si="31"/>
        <v>10.0695752458396</v>
      </c>
      <c r="AH54" s="3">
        <f t="shared" si="31"/>
        <v>10.4609619255783</v>
      </c>
      <c r="AI54" s="3">
        <f t="shared" si="31"/>
        <v>10.949432958912601</v>
      </c>
      <c r="AJ54" s="3">
        <f t="shared" si="31"/>
        <v>11.5461859848063</v>
      </c>
      <c r="AK54" s="3">
        <f t="shared" si="31"/>
        <v>12.231917022945</v>
      </c>
      <c r="AL54" s="3">
        <f t="shared" si="31"/>
        <v>13.052190380833601</v>
      </c>
      <c r="AM54" s="3">
        <f t="shared" si="31"/>
        <v>14.1649786884735</v>
      </c>
      <c r="AN54" s="3">
        <f t="shared" si="31"/>
        <v>15.4821468207425</v>
      </c>
      <c r="AO54" s="3">
        <f t="shared" si="31"/>
        <v>16.998580882957299</v>
      </c>
      <c r="AP54" s="3">
        <f t="shared" si="31"/>
        <v>18.6045025842519</v>
      </c>
      <c r="AQ54" s="3">
        <f t="shared" si="31"/>
        <v>19.967131445133699</v>
      </c>
      <c r="AR54" s="3">
        <f t="shared" si="31"/>
        <v>21.400074493965501</v>
      </c>
      <c r="AS54" s="3">
        <f t="shared" si="31"/>
        <v>22.908367421001</v>
      </c>
      <c r="AT54" s="3">
        <f t="shared" si="31"/>
        <v>24.498634896963399</v>
      </c>
      <c r="AU54" s="3">
        <f t="shared" si="31"/>
        <v>26.179309343468201</v>
      </c>
      <c r="AV54" s="3">
        <f t="shared" si="31"/>
        <v>27.959332760208301</v>
      </c>
      <c r="AW54" s="3">
        <f t="shared" si="31"/>
        <v>29.848342643999199</v>
      </c>
      <c r="AX54" s="3">
        <f t="shared" si="31"/>
        <v>31.856452067766199</v>
      </c>
      <c r="AY54" s="3">
        <f t="shared" si="31"/>
        <v>33.994071189567002</v>
      </c>
      <c r="AZ54" s="3">
        <f t="shared" si="31"/>
        <v>36.070674907479898</v>
      </c>
      <c r="BA54" s="3">
        <f t="shared" si="31"/>
        <v>38.057814377922497</v>
      </c>
      <c r="BB54" s="3">
        <f t="shared" si="31"/>
        <v>39.936566216590101</v>
      </c>
      <c r="BC54" s="3">
        <f t="shared" si="31"/>
        <v>41.666770935471902</v>
      </c>
      <c r="BD54" s="3">
        <f t="shared" si="31"/>
        <v>43.218307189701903</v>
      </c>
      <c r="BE54" s="3">
        <f t="shared" si="31"/>
        <v>44.562082940457501</v>
      </c>
      <c r="BF54" s="3">
        <f t="shared" si="31"/>
        <v>45.669966672918001</v>
      </c>
      <c r="BG54" s="3">
        <f t="shared" si="31"/>
        <v>46.715674253254299</v>
      </c>
      <c r="BH54" s="3">
        <f t="shared" si="31"/>
        <v>47.6898395221939</v>
      </c>
      <c r="BI54" s="3">
        <f t="shared" si="31"/>
        <v>48.583379138245498</v>
      </c>
      <c r="BJ54" s="3">
        <f t="shared" si="31"/>
        <v>49.386681433601503</v>
      </c>
      <c r="BK54" s="3">
        <f t="shared" si="31"/>
        <v>50.434612818830502</v>
      </c>
      <c r="BL54" s="3">
        <f t="shared" si="31"/>
        <v>51.388503792486603</v>
      </c>
      <c r="BM54" s="3">
        <f t="shared" si="31"/>
        <v>52.239994403046602</v>
      </c>
      <c r="BN54" s="3">
        <f t="shared" si="31"/>
        <v>52.982561306781797</v>
      </c>
      <c r="BO54" s="3">
        <f t="shared" si="31"/>
        <v>53.610644032098101</v>
      </c>
      <c r="BP54" s="3">
        <f t="shared" si="31"/>
        <v>54.119260279479803</v>
      </c>
      <c r="BQ54" s="3">
        <f t="shared" si="31"/>
        <v>54.622018658953998</v>
      </c>
      <c r="BR54" s="3">
        <f t="shared" si="31"/>
        <v>55.118954501315599</v>
      </c>
      <c r="BS54" s="3">
        <f t="shared" si="31"/>
        <v>55.610766758343601</v>
      </c>
      <c r="BT54" s="3">
        <f t="shared" si="32"/>
        <v>56.0985434296474</v>
      </c>
      <c r="BU54" s="3">
        <f t="shared" si="32"/>
        <v>56.582461771992612</v>
      </c>
      <c r="BV54" s="3">
        <f t="shared" si="32"/>
        <v>57.063881751732701</v>
      </c>
      <c r="BW54" s="3">
        <f t="shared" si="32"/>
        <v>57.546026736636399</v>
      </c>
      <c r="BX54" s="3">
        <f t="shared" si="32"/>
        <v>58.031690192263</v>
      </c>
      <c r="BY54" s="3">
        <f t="shared" si="32"/>
        <v>58.525146622940902</v>
      </c>
      <c r="BZ54" s="3">
        <f t="shared" si="32"/>
        <v>59.031448093716413</v>
      </c>
      <c r="CA54" s="3">
        <f t="shared" si="32"/>
        <v>59.556428103810902</v>
      </c>
      <c r="CB54" s="3">
        <f t="shared" si="32"/>
        <v>60.107125643228102</v>
      </c>
      <c r="CC54" s="3">
        <f t="shared" si="32"/>
        <v>60.6906032377318</v>
      </c>
      <c r="CD54" s="3">
        <f t="shared" si="32"/>
        <v>61.312573724788599</v>
      </c>
    </row>
    <row r="55" spans="4:82" s="3" customFormat="1" x14ac:dyDescent="0.2">
      <c r="E55" s="3" t="s">
        <v>30</v>
      </c>
      <c r="F55" s="3" t="s">
        <v>6</v>
      </c>
      <c r="G55" s="3">
        <f>O299</f>
        <v>0.16739999999999999</v>
      </c>
      <c r="H55" s="3">
        <f t="shared" si="31"/>
        <v>0.16739999999999999</v>
      </c>
      <c r="I55" s="3">
        <f t="shared" si="31"/>
        <v>0.16739999999999999</v>
      </c>
      <c r="J55" s="3">
        <f t="shared" si="31"/>
        <v>0.1953</v>
      </c>
      <c r="K55" s="3">
        <f t="shared" si="31"/>
        <v>0.27900000000000003</v>
      </c>
      <c r="L55" s="3">
        <f t="shared" si="31"/>
        <v>0.27900000000000003</v>
      </c>
      <c r="M55" s="3">
        <f t="shared" si="31"/>
        <v>0.27900000000000003</v>
      </c>
      <c r="N55" s="3">
        <f t="shared" si="31"/>
        <v>0.27900000000000003</v>
      </c>
      <c r="O55" s="3">
        <f t="shared" si="31"/>
        <v>0.36270000000000002</v>
      </c>
      <c r="P55" s="3">
        <f t="shared" si="31"/>
        <v>0.3906</v>
      </c>
      <c r="Q55" s="3">
        <f t="shared" si="31"/>
        <v>0.41849999999999998</v>
      </c>
      <c r="R55" s="3">
        <f t="shared" si="31"/>
        <v>0.55799999999999994</v>
      </c>
      <c r="S55" s="3">
        <f t="shared" si="31"/>
        <v>0.6137999999999999</v>
      </c>
      <c r="T55" s="3">
        <f t="shared" si="31"/>
        <v>0.66959999999999997</v>
      </c>
      <c r="U55" s="3">
        <f t="shared" si="31"/>
        <v>0.75329999999999997</v>
      </c>
      <c r="V55" s="3">
        <f t="shared" si="31"/>
        <v>0.80910000000000004</v>
      </c>
      <c r="W55" s="3">
        <f t="shared" si="31"/>
        <v>0.8649</v>
      </c>
      <c r="X55" s="3">
        <f t="shared" si="31"/>
        <v>0.83699999999999997</v>
      </c>
      <c r="Y55" s="3">
        <f t="shared" si="31"/>
        <v>0.75329999999999997</v>
      </c>
      <c r="Z55" s="3">
        <f t="shared" si="31"/>
        <v>0.83699999999999997</v>
      </c>
      <c r="AA55" s="3">
        <f t="shared" si="31"/>
        <v>0.92069999999999996</v>
      </c>
      <c r="AB55" s="3">
        <f t="shared" si="31"/>
        <v>1.0602</v>
      </c>
      <c r="AC55" s="3">
        <f t="shared" si="31"/>
        <v>1.1160000000000001</v>
      </c>
      <c r="AD55" s="3">
        <f t="shared" si="31"/>
        <v>1.1438999999999999</v>
      </c>
      <c r="AE55" s="3">
        <f t="shared" si="31"/>
        <v>1.1160000000000001</v>
      </c>
      <c r="AF55" s="3">
        <f t="shared" si="31"/>
        <v>8.7210654179630005</v>
      </c>
      <c r="AG55" s="3">
        <f t="shared" si="31"/>
        <v>9.0627483923340986</v>
      </c>
      <c r="AH55" s="3">
        <f t="shared" si="31"/>
        <v>9.516650775584699</v>
      </c>
      <c r="AI55" s="3">
        <f t="shared" si="31"/>
        <v>10.066929965082499</v>
      </c>
      <c r="AJ55" s="3">
        <f t="shared" si="31"/>
        <v>10.7269458240358</v>
      </c>
      <c r="AK55" s="3">
        <f t="shared" si="31"/>
        <v>11.4825650670815</v>
      </c>
      <c r="AL55" s="3">
        <f t="shared" si="31"/>
        <v>12.379219630055101</v>
      </c>
      <c r="AM55" s="3">
        <f t="shared" si="31"/>
        <v>13.570307833592899</v>
      </c>
      <c r="AN55" s="3">
        <f t="shared" si="31"/>
        <v>14.9820833638751</v>
      </c>
      <c r="AO55" s="3">
        <f t="shared" si="31"/>
        <v>16.617301022107199</v>
      </c>
      <c r="AP55" s="3">
        <f t="shared" si="31"/>
        <v>18.376723750813898</v>
      </c>
      <c r="AQ55" s="3">
        <f t="shared" si="31"/>
        <v>19.935558368913</v>
      </c>
      <c r="AR55" s="3">
        <f t="shared" si="31"/>
        <v>21.599662351712801</v>
      </c>
      <c r="AS55" s="3">
        <f t="shared" si="31"/>
        <v>23.377698529554799</v>
      </c>
      <c r="AT55" s="3">
        <f t="shared" si="31"/>
        <v>25.280357143728001</v>
      </c>
      <c r="AU55" s="3">
        <f t="shared" si="31"/>
        <v>27.3206976660198</v>
      </c>
      <c r="AV55" s="3">
        <f t="shared" si="31"/>
        <v>29.512919926007001</v>
      </c>
      <c r="AW55" s="3">
        <f t="shared" si="31"/>
        <v>31.872624996919399</v>
      </c>
      <c r="AX55" s="3">
        <f t="shared" si="31"/>
        <v>34.416659589816398</v>
      </c>
      <c r="AY55" s="3">
        <f t="shared" si="31"/>
        <v>37.162994427741303</v>
      </c>
      <c r="AZ55" s="3">
        <f t="shared" si="31"/>
        <v>39.906155698221802</v>
      </c>
      <c r="BA55" s="3">
        <f t="shared" si="31"/>
        <v>42.612209091898492</v>
      </c>
      <c r="BB55" s="3">
        <f t="shared" si="31"/>
        <v>45.257414309322797</v>
      </c>
      <c r="BC55" s="3">
        <f t="shared" si="31"/>
        <v>47.790170714378412</v>
      </c>
      <c r="BD55" s="3">
        <f t="shared" si="31"/>
        <v>50.168873057995597</v>
      </c>
      <c r="BE55" s="3">
        <f t="shared" si="31"/>
        <v>52.351270029501102</v>
      </c>
      <c r="BF55" s="3">
        <f t="shared" si="31"/>
        <v>54.294375648099297</v>
      </c>
      <c r="BG55" s="3">
        <f t="shared" si="31"/>
        <v>56.201278851761487</v>
      </c>
      <c r="BH55" s="3">
        <f t="shared" si="31"/>
        <v>58.058342919680797</v>
      </c>
      <c r="BI55" s="3">
        <f t="shared" si="31"/>
        <v>59.851800865665801</v>
      </c>
      <c r="BJ55" s="3">
        <f t="shared" si="31"/>
        <v>61.566521127808798</v>
      </c>
      <c r="BK55" s="3">
        <f t="shared" si="31"/>
        <v>62.890233605796098</v>
      </c>
      <c r="BL55" s="3">
        <f t="shared" si="31"/>
        <v>64.095084581788299</v>
      </c>
      <c r="BM55" s="3">
        <f t="shared" si="31"/>
        <v>65.170171461482198</v>
      </c>
      <c r="BN55" s="3">
        <f t="shared" si="31"/>
        <v>66.107074777588608</v>
      </c>
      <c r="BO55" s="3">
        <f t="shared" si="31"/>
        <v>66.898596840190592</v>
      </c>
      <c r="BP55" s="3">
        <f t="shared" si="31"/>
        <v>67.538203223250889</v>
      </c>
      <c r="BQ55" s="3">
        <f t="shared" si="31"/>
        <v>68.171175288423299</v>
      </c>
      <c r="BR55" s="3">
        <f t="shared" si="31"/>
        <v>68.797570469033701</v>
      </c>
      <c r="BS55" s="3">
        <f t="shared" ref="BS55:CD58" si="33">CA299</f>
        <v>69.418373142825487</v>
      </c>
      <c r="BT55" s="3">
        <f t="shared" si="33"/>
        <v>70.035075987251503</v>
      </c>
      <c r="BU55" s="3">
        <f t="shared" si="33"/>
        <v>70.647717771924505</v>
      </c>
      <c r="BV55" s="3">
        <f t="shared" si="33"/>
        <v>71.257967002769902</v>
      </c>
      <c r="BW55" s="3">
        <f t="shared" si="33"/>
        <v>71.870111055241608</v>
      </c>
      <c r="BX55" s="3">
        <f t="shared" si="33"/>
        <v>72.487593264410194</v>
      </c>
      <c r="BY55" s="3">
        <f t="shared" si="33"/>
        <v>73.115837976521306</v>
      </c>
      <c r="BZ55" s="3">
        <f t="shared" si="33"/>
        <v>73.761184445986984</v>
      </c>
      <c r="CA55" s="3">
        <f t="shared" si="33"/>
        <v>74.430906500517608</v>
      </c>
      <c r="CB55" s="3">
        <f t="shared" si="33"/>
        <v>75.133918362110506</v>
      </c>
      <c r="CC55" s="3">
        <f t="shared" si="33"/>
        <v>75.879131897727206</v>
      </c>
      <c r="CD55" s="3">
        <f t="shared" si="33"/>
        <v>76.673609450955411</v>
      </c>
    </row>
    <row r="56" spans="4:82" s="3" customFormat="1" x14ac:dyDescent="0.2">
      <c r="E56" s="3" t="s">
        <v>30</v>
      </c>
      <c r="F56" s="3" t="s">
        <v>7</v>
      </c>
      <c r="G56" s="3">
        <f>O300</f>
        <v>110.86499999999999</v>
      </c>
      <c r="H56" s="3">
        <f t="shared" ref="H56:BS59" si="34">P300</f>
        <v>110.86499999999999</v>
      </c>
      <c r="I56" s="3">
        <f t="shared" si="34"/>
        <v>115.224</v>
      </c>
      <c r="J56" s="3">
        <f t="shared" si="34"/>
        <v>137.69300000000001</v>
      </c>
      <c r="K56" s="3">
        <f t="shared" si="34"/>
        <v>188.00800000000001</v>
      </c>
      <c r="L56" s="3">
        <f t="shared" si="34"/>
        <v>194.547</v>
      </c>
      <c r="M56" s="3">
        <f t="shared" si="34"/>
        <v>199.46299999999999</v>
      </c>
      <c r="N56" s="3">
        <f t="shared" si="34"/>
        <v>199.46299999999999</v>
      </c>
      <c r="O56" s="3">
        <f t="shared" si="34"/>
        <v>238.71299999999999</v>
      </c>
      <c r="P56" s="3">
        <f t="shared" si="34"/>
        <v>273.01799999999997</v>
      </c>
      <c r="Q56" s="3">
        <f t="shared" si="34"/>
        <v>284.16899999999998</v>
      </c>
      <c r="R56" s="3">
        <f t="shared" si="34"/>
        <v>371.202</v>
      </c>
      <c r="S56" s="3">
        <f t="shared" si="34"/>
        <v>412.70400000000001</v>
      </c>
      <c r="T56" s="3">
        <f t="shared" si="34"/>
        <v>464.52699999999999</v>
      </c>
      <c r="U56" s="3">
        <f t="shared" si="34"/>
        <v>505.59</v>
      </c>
      <c r="V56" s="3">
        <f t="shared" si="34"/>
        <v>557.94600000000003</v>
      </c>
      <c r="W56" s="3">
        <f t="shared" si="34"/>
        <v>585.25099999999998</v>
      </c>
      <c r="X56" s="3">
        <f t="shared" si="34"/>
        <v>562.04600000000005</v>
      </c>
      <c r="Y56" s="3">
        <f t="shared" si="34"/>
        <v>521.17700000000002</v>
      </c>
      <c r="Z56" s="3">
        <f t="shared" si="34"/>
        <v>571.88199999999995</v>
      </c>
      <c r="AA56" s="3">
        <f t="shared" si="34"/>
        <v>632.08699999999999</v>
      </c>
      <c r="AB56" s="3">
        <f t="shared" si="34"/>
        <v>725.35400000000004</v>
      </c>
      <c r="AC56" s="3">
        <f t="shared" si="34"/>
        <v>761.83399999999995</v>
      </c>
      <c r="AD56" s="3">
        <f t="shared" si="34"/>
        <v>1008.9059999999999</v>
      </c>
      <c r="AE56" s="3">
        <f t="shared" si="34"/>
        <v>999.59900000000005</v>
      </c>
      <c r="AF56" s="3">
        <f t="shared" si="34"/>
        <v>960.80852817236348</v>
      </c>
      <c r="AG56" s="3">
        <f t="shared" si="34"/>
        <v>999.22621500107948</v>
      </c>
      <c r="AH56" s="3">
        <f t="shared" si="34"/>
        <v>1050.1270833867129</v>
      </c>
      <c r="AI56" s="3">
        <f t="shared" si="34"/>
        <v>1111.7811056798239</v>
      </c>
      <c r="AJ56" s="3">
        <f t="shared" si="34"/>
        <v>1185.695177637193</v>
      </c>
      <c r="AK56" s="3">
        <f t="shared" si="34"/>
        <v>1270.3269087058329</v>
      </c>
      <c r="AL56" s="3">
        <f t="shared" si="34"/>
        <v>1370.7537156966671</v>
      </c>
      <c r="AM56" s="3">
        <f t="shared" si="34"/>
        <v>1504.0851388141671</v>
      </c>
      <c r="AN56" s="3">
        <f t="shared" si="34"/>
        <v>1662.1918933046991</v>
      </c>
      <c r="AO56" s="3">
        <f t="shared" si="34"/>
        <v>1845.445062423524</v>
      </c>
      <c r="AP56" s="3">
        <f t="shared" si="34"/>
        <v>2042.8322659648561</v>
      </c>
      <c r="AQ56" s="3">
        <f t="shared" si="34"/>
        <v>2218.0947021525421</v>
      </c>
      <c r="AR56" s="3">
        <f t="shared" si="34"/>
        <v>2405.3641914309342</v>
      </c>
      <c r="AS56" s="3">
        <f t="shared" si="34"/>
        <v>2605.6316295356742</v>
      </c>
      <c r="AT56" s="3">
        <f t="shared" si="34"/>
        <v>2820.1167257242068</v>
      </c>
      <c r="AU56" s="3">
        <f t="shared" si="34"/>
        <v>3050.307304215959</v>
      </c>
      <c r="AV56" s="3">
        <f t="shared" si="34"/>
        <v>3297.8225135004491</v>
      </c>
      <c r="AW56" s="3">
        <f t="shared" si="34"/>
        <v>3564.4426013108332</v>
      </c>
      <c r="AX56" s="3">
        <f t="shared" si="34"/>
        <v>3852.0919929817069</v>
      </c>
      <c r="AY56" s="3">
        <f t="shared" si="34"/>
        <v>4162.8260659299631</v>
      </c>
      <c r="AZ56" s="3">
        <f t="shared" si="34"/>
        <v>4473.5509745442396</v>
      </c>
      <c r="BA56" s="3">
        <f t="shared" si="34"/>
        <v>4780.4261305866512</v>
      </c>
      <c r="BB56" s="3">
        <f t="shared" si="34"/>
        <v>5080.7922472376713</v>
      </c>
      <c r="BC56" s="3">
        <f t="shared" si="34"/>
        <v>5368.7639421390404</v>
      </c>
      <c r="BD56" s="3">
        <f t="shared" si="34"/>
        <v>5639.6103861369102</v>
      </c>
      <c r="BE56" s="3">
        <f t="shared" si="34"/>
        <v>5888.5210938658274</v>
      </c>
      <c r="BF56" s="3">
        <f t="shared" si="34"/>
        <v>6110.5933034761574</v>
      </c>
      <c r="BG56" s="3">
        <f t="shared" si="34"/>
        <v>6328.7435654871597</v>
      </c>
      <c r="BH56" s="3">
        <f t="shared" si="34"/>
        <v>6541.4217724374257</v>
      </c>
      <c r="BI56" s="3">
        <f t="shared" si="34"/>
        <v>6747.0628653186122</v>
      </c>
      <c r="BJ56" s="3">
        <f t="shared" si="34"/>
        <v>6943.9425459079621</v>
      </c>
      <c r="BK56" s="3">
        <f t="shared" si="34"/>
        <v>7093.5904142093714</v>
      </c>
      <c r="BL56" s="3">
        <f t="shared" si="34"/>
        <v>7229.7923752444221</v>
      </c>
      <c r="BM56" s="3">
        <f t="shared" si="34"/>
        <v>7351.3121582817876</v>
      </c>
      <c r="BN56" s="3">
        <f t="shared" si="34"/>
        <v>7457.1970927523789</v>
      </c>
      <c r="BO56" s="3">
        <f t="shared" si="34"/>
        <v>7546.6322972679791</v>
      </c>
      <c r="BP56" s="3">
        <f t="shared" si="34"/>
        <v>7618.8762045831027</v>
      </c>
      <c r="BQ56" s="3">
        <f t="shared" si="34"/>
        <v>7690.3837757036181</v>
      </c>
      <c r="BR56" s="3">
        <f t="shared" si="34"/>
        <v>7761.1615527962012</v>
      </c>
      <c r="BS56" s="3">
        <f t="shared" si="34"/>
        <v>7831.3224370622675</v>
      </c>
      <c r="BT56" s="3">
        <f t="shared" si="33"/>
        <v>7901.037017891118</v>
      </c>
      <c r="BU56" s="3">
        <f t="shared" si="33"/>
        <v>7970.3060499913872</v>
      </c>
      <c r="BV56" s="3">
        <f t="shared" si="33"/>
        <v>8039.3169815086512</v>
      </c>
      <c r="BW56" s="3">
        <f t="shared" si="33"/>
        <v>8108.5579202193012</v>
      </c>
      <c r="BX56" s="3">
        <f t="shared" si="33"/>
        <v>8178.4161719414942</v>
      </c>
      <c r="BY56" s="3">
        <f t="shared" si="33"/>
        <v>8249.5048568948423</v>
      </c>
      <c r="BZ56" s="3">
        <f t="shared" si="33"/>
        <v>8322.5392855876125</v>
      </c>
      <c r="CA56" s="3">
        <f t="shared" si="33"/>
        <v>8398.3394818896195</v>
      </c>
      <c r="CB56" s="3">
        <f t="shared" si="33"/>
        <v>8477.9128389569032</v>
      </c>
      <c r="CC56" s="3">
        <f t="shared" si="33"/>
        <v>8562.2658750656992</v>
      </c>
      <c r="CD56" s="3">
        <f t="shared" si="33"/>
        <v>8652.1936796477603</v>
      </c>
    </row>
    <row r="57" spans="4:82" s="3" customFormat="1" x14ac:dyDescent="0.2">
      <c r="E57" s="3" t="s">
        <v>30</v>
      </c>
      <c r="F57" s="3" t="s">
        <v>8</v>
      </c>
      <c r="G57" s="3">
        <f>O301</f>
        <v>1.6379999999999999</v>
      </c>
      <c r="H57" s="3">
        <f t="shared" si="34"/>
        <v>1.6379999999999999</v>
      </c>
      <c r="I57" s="3">
        <f t="shared" si="34"/>
        <v>1.6379999999999999</v>
      </c>
      <c r="J57" s="3">
        <f t="shared" si="34"/>
        <v>1.911</v>
      </c>
      <c r="K57" s="3">
        <f t="shared" si="34"/>
        <v>2.73</v>
      </c>
      <c r="L57" s="3">
        <f t="shared" si="34"/>
        <v>2.73</v>
      </c>
      <c r="M57" s="3">
        <f t="shared" si="34"/>
        <v>2.73</v>
      </c>
      <c r="N57" s="3">
        <f t="shared" si="34"/>
        <v>2.73</v>
      </c>
      <c r="O57" s="3">
        <f t="shared" si="34"/>
        <v>3.5489999999999999</v>
      </c>
      <c r="P57" s="3">
        <f t="shared" si="34"/>
        <v>3.8220000000000001</v>
      </c>
      <c r="Q57" s="3">
        <f t="shared" si="34"/>
        <v>4.0949999999999998</v>
      </c>
      <c r="R57" s="3">
        <f t="shared" si="34"/>
        <v>5.46</v>
      </c>
      <c r="S57" s="3">
        <f t="shared" si="34"/>
        <v>6.0059999999999993</v>
      </c>
      <c r="T57" s="3">
        <f t="shared" si="34"/>
        <v>6.5519999999999996</v>
      </c>
      <c r="U57" s="3">
        <f t="shared" si="34"/>
        <v>7.3710000000000004</v>
      </c>
      <c r="V57" s="3">
        <f t="shared" si="34"/>
        <v>7.9170000000000007</v>
      </c>
      <c r="W57" s="3">
        <f t="shared" si="34"/>
        <v>8.4629999999999992</v>
      </c>
      <c r="X57" s="3">
        <f t="shared" si="34"/>
        <v>8.19</v>
      </c>
      <c r="Y57" s="3">
        <f t="shared" si="34"/>
        <v>7.3710000000000004</v>
      </c>
      <c r="Z57" s="3">
        <f t="shared" si="34"/>
        <v>8.19</v>
      </c>
      <c r="AA57" s="3">
        <f t="shared" si="34"/>
        <v>9.0090000000000003</v>
      </c>
      <c r="AB57" s="3">
        <f t="shared" si="34"/>
        <v>10.374000000000001</v>
      </c>
      <c r="AC57" s="3">
        <f t="shared" si="34"/>
        <v>10.92</v>
      </c>
      <c r="AD57" s="3">
        <f t="shared" si="34"/>
        <v>2.1840000000000002</v>
      </c>
      <c r="AE57" s="3">
        <f t="shared" si="34"/>
        <v>2.1840000000000002</v>
      </c>
      <c r="AF57" s="3">
        <f t="shared" si="34"/>
        <v>5.1246723827113021</v>
      </c>
      <c r="AG57" s="3">
        <f t="shared" si="34"/>
        <v>5.3327424047326142</v>
      </c>
      <c r="AH57" s="3">
        <f t="shared" si="34"/>
        <v>5.6078835295441269</v>
      </c>
      <c r="AI57" s="3">
        <f t="shared" si="34"/>
        <v>5.9409310512090006</v>
      </c>
      <c r="AJ57" s="3">
        <f t="shared" si="34"/>
        <v>6.3400653473384994</v>
      </c>
      <c r="AK57" s="3">
        <f t="shared" si="34"/>
        <v>6.7971197362186002</v>
      </c>
      <c r="AL57" s="3">
        <f t="shared" si="34"/>
        <v>7.3394702522222</v>
      </c>
      <c r="AM57" s="3">
        <f t="shared" si="34"/>
        <v>8.0592296911716002</v>
      </c>
      <c r="AN57" s="3">
        <f t="shared" si="34"/>
        <v>8.9130201192696994</v>
      </c>
      <c r="AO57" s="3">
        <f t="shared" si="34"/>
        <v>9.9030967767607017</v>
      </c>
      <c r="AP57" s="3">
        <f t="shared" si="34"/>
        <v>10.9703988670776</v>
      </c>
      <c r="AQ57" s="3">
        <f t="shared" si="34"/>
        <v>11.9195886509857</v>
      </c>
      <c r="AR57" s="3">
        <f t="shared" si="34"/>
        <v>12.934492492580601</v>
      </c>
      <c r="AS57" s="3">
        <f t="shared" si="34"/>
        <v>14.020544606663901</v>
      </c>
      <c r="AT57" s="3">
        <f t="shared" si="34"/>
        <v>15.184421895199099</v>
      </c>
      <c r="AU57" s="3">
        <f t="shared" si="34"/>
        <v>16.434260278519801</v>
      </c>
      <c r="AV57" s="3">
        <f t="shared" si="34"/>
        <v>17.778919357967801</v>
      </c>
      <c r="AW57" s="3">
        <f t="shared" si="34"/>
        <v>19.228145444997502</v>
      </c>
      <c r="AX57" s="3">
        <f t="shared" si="34"/>
        <v>20.792482211042898</v>
      </c>
      <c r="AY57" s="3">
        <f t="shared" si="34"/>
        <v>22.4832008575138</v>
      </c>
      <c r="AZ57" s="3">
        <f t="shared" si="34"/>
        <v>24.175260991850202</v>
      </c>
      <c r="BA57" s="3">
        <f t="shared" si="34"/>
        <v>25.847761457021399</v>
      </c>
      <c r="BB57" s="3">
        <f t="shared" si="34"/>
        <v>27.486339552189801</v>
      </c>
      <c r="BC57" s="3">
        <f t="shared" si="34"/>
        <v>29.0587856374887</v>
      </c>
      <c r="BD57" s="3">
        <f t="shared" si="34"/>
        <v>30.539265992059999</v>
      </c>
      <c r="BE57" s="3">
        <f t="shared" si="34"/>
        <v>31.901487406855701</v>
      </c>
      <c r="BF57" s="3">
        <f t="shared" si="34"/>
        <v>33.118618199928697</v>
      </c>
      <c r="BG57" s="3">
        <f t="shared" si="34"/>
        <v>34.315102068114797</v>
      </c>
      <c r="BH57" s="3">
        <f t="shared" si="34"/>
        <v>35.482476251722197</v>
      </c>
      <c r="BI57" s="3">
        <f t="shared" si="34"/>
        <v>36.612195793351098</v>
      </c>
      <c r="BJ57" s="3">
        <f t="shared" si="34"/>
        <v>37.694830045125308</v>
      </c>
      <c r="BK57" s="3">
        <f t="shared" si="34"/>
        <v>38.508579678293813</v>
      </c>
      <c r="BL57" s="3">
        <f t="shared" si="34"/>
        <v>39.249180149351787</v>
      </c>
      <c r="BM57" s="3">
        <f t="shared" si="34"/>
        <v>39.909894128671787</v>
      </c>
      <c r="BN57" s="3">
        <f t="shared" si="34"/>
        <v>40.485537892689401</v>
      </c>
      <c r="BO57" s="3">
        <f t="shared" si="34"/>
        <v>40.971675650543197</v>
      </c>
      <c r="BP57" s="3">
        <f t="shared" si="34"/>
        <v>41.364263634623697</v>
      </c>
      <c r="BQ57" s="3">
        <f t="shared" si="34"/>
        <v>41.752902055303807</v>
      </c>
      <c r="BR57" s="3">
        <f t="shared" si="34"/>
        <v>42.137626683270298</v>
      </c>
      <c r="BS57" s="3">
        <f t="shared" si="34"/>
        <v>42.519057878273301</v>
      </c>
      <c r="BT57" s="3">
        <f t="shared" si="33"/>
        <v>42.898130586468902</v>
      </c>
      <c r="BU57" s="3">
        <f t="shared" si="33"/>
        <v>43.274834472733701</v>
      </c>
      <c r="BV57" s="3">
        <f t="shared" si="33"/>
        <v>43.650184142941796</v>
      </c>
      <c r="BW57" s="3">
        <f t="shared" si="33"/>
        <v>44.026847393653412</v>
      </c>
      <c r="BX57" s="3">
        <f t="shared" si="33"/>
        <v>44.406922466791599</v>
      </c>
      <c r="BY57" s="3">
        <f t="shared" si="33"/>
        <v>44.793742922925098</v>
      </c>
      <c r="BZ57" s="3">
        <f t="shared" si="33"/>
        <v>45.191193068181803</v>
      </c>
      <c r="CA57" s="3">
        <f t="shared" si="33"/>
        <v>45.603722867594108</v>
      </c>
      <c r="CB57" s="3">
        <f t="shared" si="33"/>
        <v>46.036808796882198</v>
      </c>
      <c r="CC57" s="3">
        <f t="shared" si="33"/>
        <v>46.495920152231399</v>
      </c>
      <c r="CD57" s="3">
        <f t="shared" si="33"/>
        <v>46.985367228786487</v>
      </c>
    </row>
    <row r="58" spans="4:82" s="3" customFormat="1" x14ac:dyDescent="0.2">
      <c r="E58" s="3" t="s">
        <v>31</v>
      </c>
      <c r="F58" s="3" t="s">
        <v>6</v>
      </c>
      <c r="G58" s="3">
        <f>O302</f>
        <v>0.25109999999999999</v>
      </c>
      <c r="H58" s="3">
        <f t="shared" si="34"/>
        <v>0.25109999999999999</v>
      </c>
      <c r="I58" s="3">
        <f t="shared" si="34"/>
        <v>0.25109999999999999</v>
      </c>
      <c r="J58" s="3">
        <f t="shared" si="34"/>
        <v>0.27900000000000003</v>
      </c>
      <c r="K58" s="3">
        <f t="shared" si="34"/>
        <v>0.30690000000000001</v>
      </c>
      <c r="L58" s="3">
        <f t="shared" si="34"/>
        <v>0.27900000000000003</v>
      </c>
      <c r="M58" s="3">
        <f t="shared" si="34"/>
        <v>0.30690000000000001</v>
      </c>
      <c r="N58" s="3">
        <f t="shared" si="34"/>
        <v>0.30690000000000001</v>
      </c>
      <c r="O58" s="3">
        <f t="shared" si="34"/>
        <v>0.27900000000000003</v>
      </c>
      <c r="P58" s="3">
        <f t="shared" si="34"/>
        <v>0.27900000000000003</v>
      </c>
      <c r="Q58" s="3">
        <f t="shared" si="34"/>
        <v>0.25109999999999999</v>
      </c>
      <c r="R58" s="3">
        <f t="shared" si="34"/>
        <v>0.30690000000000001</v>
      </c>
      <c r="S58" s="3">
        <f t="shared" si="34"/>
        <v>0.27900000000000003</v>
      </c>
      <c r="T58" s="3">
        <f t="shared" si="34"/>
        <v>0.3906</v>
      </c>
      <c r="U58" s="3">
        <f t="shared" si="34"/>
        <v>0.44640000000000002</v>
      </c>
      <c r="V58" s="3">
        <f t="shared" si="34"/>
        <v>0.4743</v>
      </c>
      <c r="W58" s="3">
        <f t="shared" si="34"/>
        <v>0.89279999999999993</v>
      </c>
      <c r="X58" s="3">
        <f t="shared" si="34"/>
        <v>1.1718</v>
      </c>
      <c r="Y58" s="3">
        <f t="shared" si="34"/>
        <v>1.1438999999999999</v>
      </c>
      <c r="Z58" s="3">
        <f t="shared" si="34"/>
        <v>1.3112999999999999</v>
      </c>
      <c r="AA58" s="3">
        <f t="shared" si="34"/>
        <v>1.7298</v>
      </c>
      <c r="AB58" s="3">
        <f t="shared" si="34"/>
        <v>1.9809000000000001</v>
      </c>
      <c r="AC58" s="3">
        <f t="shared" si="34"/>
        <v>2.0924999999999998</v>
      </c>
      <c r="AD58" s="3">
        <f t="shared" si="34"/>
        <v>2.2599</v>
      </c>
      <c r="AE58" s="3">
        <f t="shared" si="34"/>
        <v>2.4552</v>
      </c>
      <c r="AF58" s="3">
        <f t="shared" si="34"/>
        <v>0.70441938985679997</v>
      </c>
      <c r="AG58" s="3">
        <f t="shared" si="34"/>
        <v>0.71441914760579994</v>
      </c>
      <c r="AH58" s="3">
        <f t="shared" si="34"/>
        <v>0.73180007404690006</v>
      </c>
      <c r="AI58" s="3">
        <f t="shared" si="34"/>
        <v>0.75467623856510002</v>
      </c>
      <c r="AJ58" s="3">
        <f t="shared" si="34"/>
        <v>0.78346736096050007</v>
      </c>
      <c r="AK58" s="3">
        <f t="shared" si="34"/>
        <v>0.81650279794129998</v>
      </c>
      <c r="AL58" s="3">
        <f t="shared" si="34"/>
        <v>0.85639264006350002</v>
      </c>
      <c r="AM58" s="3">
        <f t="shared" si="34"/>
        <v>0.91268541333969999</v>
      </c>
      <c r="AN58" s="3">
        <f t="shared" si="34"/>
        <v>0.97867352758300008</v>
      </c>
      <c r="AO58" s="3">
        <f t="shared" si="34"/>
        <v>1.0531205883326999</v>
      </c>
      <c r="AP58" s="3">
        <f t="shared" si="34"/>
        <v>1.1284943717306</v>
      </c>
      <c r="AQ58" s="3">
        <f t="shared" si="34"/>
        <v>1.1847883323057</v>
      </c>
      <c r="AR58" s="3">
        <f t="shared" si="34"/>
        <v>1.2409799291532999</v>
      </c>
      <c r="AS58" s="3">
        <f t="shared" si="34"/>
        <v>1.2971641831298999</v>
      </c>
      <c r="AT58" s="3">
        <f t="shared" si="34"/>
        <v>1.3535531342445</v>
      </c>
      <c r="AU58" s="3">
        <f t="shared" si="34"/>
        <v>1.4104564775288</v>
      </c>
      <c r="AV58" s="3">
        <f t="shared" si="34"/>
        <v>1.4681848945066001</v>
      </c>
      <c r="AW58" s="3">
        <f t="shared" si="34"/>
        <v>1.5270422245094</v>
      </c>
      <c r="AX58" s="3">
        <f t="shared" si="34"/>
        <v>1.5872994819549</v>
      </c>
      <c r="AY58" s="3">
        <f t="shared" si="34"/>
        <v>1.6491757028597001</v>
      </c>
      <c r="AZ58" s="3">
        <f t="shared" si="34"/>
        <v>1.7035233350321</v>
      </c>
      <c r="BA58" s="3">
        <f t="shared" si="34"/>
        <v>1.7494505320730001</v>
      </c>
      <c r="BB58" s="3">
        <f t="shared" si="34"/>
        <v>1.7864928752053999</v>
      </c>
      <c r="BC58" s="3">
        <f t="shared" si="34"/>
        <v>1.8134710525883</v>
      </c>
      <c r="BD58" s="3">
        <f t="shared" si="34"/>
        <v>1.8296877336340001</v>
      </c>
      <c r="BE58" s="3">
        <f t="shared" si="34"/>
        <v>1.8345743087315001</v>
      </c>
      <c r="BF58" s="3">
        <f t="shared" si="34"/>
        <v>1.8276922269642</v>
      </c>
      <c r="BG58" s="3">
        <f t="shared" si="34"/>
        <v>1.8163186721143001</v>
      </c>
      <c r="BH58" s="3">
        <f t="shared" si="34"/>
        <v>1.8002083564941</v>
      </c>
      <c r="BI58" s="3">
        <f t="shared" si="34"/>
        <v>1.7791599240146001</v>
      </c>
      <c r="BJ58" s="3">
        <f t="shared" si="34"/>
        <v>1.7530033963873</v>
      </c>
      <c r="BK58" s="3">
        <f t="shared" si="34"/>
        <v>1.7810057468788001</v>
      </c>
      <c r="BL58" s="3">
        <f t="shared" si="34"/>
        <v>1.8054457956611001</v>
      </c>
      <c r="BM58" s="3">
        <f t="shared" si="34"/>
        <v>1.8260599454479001</v>
      </c>
      <c r="BN58" s="3">
        <f t="shared" si="34"/>
        <v>1.8426610408605999</v>
      </c>
      <c r="BO58" s="3">
        <f t="shared" si="34"/>
        <v>1.8551104413248001</v>
      </c>
      <c r="BP58" s="3">
        <f t="shared" si="34"/>
        <v>1.8633041041888001</v>
      </c>
      <c r="BQ58" s="3">
        <f t="shared" si="34"/>
        <v>1.8710799370249001</v>
      </c>
      <c r="BR58" s="3">
        <f t="shared" si="34"/>
        <v>1.8784537518471001</v>
      </c>
      <c r="BS58" s="3">
        <f t="shared" si="34"/>
        <v>1.8854639596478999</v>
      </c>
      <c r="BT58" s="3">
        <f t="shared" si="33"/>
        <v>1.8921642592749</v>
      </c>
      <c r="BU58" s="3">
        <f t="shared" si="33"/>
        <v>1.8985914550809999</v>
      </c>
      <c r="BV58" s="3">
        <f t="shared" si="33"/>
        <v>1.9048213258185001</v>
      </c>
      <c r="BW58" s="3">
        <f t="shared" si="33"/>
        <v>1.9109874471515</v>
      </c>
      <c r="BX58" s="3">
        <f t="shared" si="33"/>
        <v>1.9172252009565001</v>
      </c>
      <c r="BY58" s="3">
        <f t="shared" si="33"/>
        <v>1.9237220384046001</v>
      </c>
      <c r="BZ58" s="3">
        <f t="shared" si="33"/>
        <v>1.9307002030502001</v>
      </c>
      <c r="CA58" s="3">
        <f t="shared" si="33"/>
        <v>1.9384152334946001</v>
      </c>
      <c r="CB58" s="3">
        <f t="shared" si="33"/>
        <v>1.9471610435499001</v>
      </c>
      <c r="CC58" s="3">
        <f t="shared" si="33"/>
        <v>1.9572304501372</v>
      </c>
      <c r="CD58" s="3">
        <f t="shared" si="33"/>
        <v>1.9688648911625</v>
      </c>
    </row>
    <row r="59" spans="4:82" s="3" customFormat="1" x14ac:dyDescent="0.2">
      <c r="E59" s="3" t="s">
        <v>31</v>
      </c>
      <c r="F59" s="3" t="s">
        <v>7</v>
      </c>
      <c r="G59" s="3">
        <f>O303</f>
        <v>18.350999999999999</v>
      </c>
      <c r="H59" s="3">
        <f t="shared" si="34"/>
        <v>18.350999999999999</v>
      </c>
      <c r="I59" s="3">
        <f t="shared" si="34"/>
        <v>19.567</v>
      </c>
      <c r="J59" s="3">
        <f t="shared" si="34"/>
        <v>21.216999999999999</v>
      </c>
      <c r="K59" s="3">
        <f t="shared" si="34"/>
        <v>22.751999999999999</v>
      </c>
      <c r="L59" s="3">
        <f t="shared" si="34"/>
        <v>21.372</v>
      </c>
      <c r="M59" s="3">
        <f t="shared" si="34"/>
        <v>22.113</v>
      </c>
      <c r="N59" s="3">
        <f t="shared" si="34"/>
        <v>22.853999999999999</v>
      </c>
      <c r="O59" s="3">
        <f t="shared" si="34"/>
        <v>21.885999999999999</v>
      </c>
      <c r="P59" s="3">
        <f t="shared" si="34"/>
        <v>20.917999999999999</v>
      </c>
      <c r="Q59" s="3">
        <f t="shared" si="34"/>
        <v>19.544</v>
      </c>
      <c r="R59" s="3">
        <f t="shared" si="34"/>
        <v>22.247</v>
      </c>
      <c r="S59" s="3">
        <f t="shared" si="34"/>
        <v>21.527000000000001</v>
      </c>
      <c r="T59" s="3">
        <f t="shared" si="34"/>
        <v>28.606999999999999</v>
      </c>
      <c r="U59" s="3">
        <f t="shared" si="34"/>
        <v>33.155000000000001</v>
      </c>
      <c r="V59" s="3">
        <f t="shared" si="34"/>
        <v>34.847000000000001</v>
      </c>
      <c r="W59" s="3">
        <f t="shared" si="34"/>
        <v>66.328000000000003</v>
      </c>
      <c r="X59" s="3">
        <f t="shared" si="34"/>
        <v>88.234999999999999</v>
      </c>
      <c r="Y59" s="3">
        <f t="shared" si="34"/>
        <v>86.635000000000005</v>
      </c>
      <c r="Z59" s="3">
        <f t="shared" si="34"/>
        <v>99.275000000000006</v>
      </c>
      <c r="AA59" s="3">
        <f t="shared" si="34"/>
        <v>129.773</v>
      </c>
      <c r="AB59" s="3">
        <f t="shared" si="34"/>
        <v>149.22200000000001</v>
      </c>
      <c r="AC59" s="3">
        <f t="shared" si="34"/>
        <v>157.988</v>
      </c>
      <c r="AD59" s="3">
        <f t="shared" si="34"/>
        <v>170.315</v>
      </c>
      <c r="AE59" s="3">
        <f t="shared" si="34"/>
        <v>185.113</v>
      </c>
      <c r="AF59" s="3">
        <f t="shared" si="34"/>
        <v>181.14641683321699</v>
      </c>
      <c r="AG59" s="3">
        <f t="shared" si="34"/>
        <v>183.717925101628</v>
      </c>
      <c r="AH59" s="3">
        <f t="shared" si="34"/>
        <v>188.187552984354</v>
      </c>
      <c r="AI59" s="3">
        <f t="shared" si="34"/>
        <v>194.07032011573699</v>
      </c>
      <c r="AJ59" s="3">
        <f t="shared" si="34"/>
        <v>201.47416040411599</v>
      </c>
      <c r="AK59" s="3">
        <f t="shared" si="34"/>
        <v>209.969456138108</v>
      </c>
      <c r="AL59" s="3">
        <f t="shared" si="34"/>
        <v>220.22741052228301</v>
      </c>
      <c r="AM59" s="3">
        <f t="shared" si="34"/>
        <v>234.70349439990201</v>
      </c>
      <c r="AN59" s="3">
        <f t="shared" si="34"/>
        <v>251.672803622327</v>
      </c>
      <c r="AO59" s="3">
        <f t="shared" si="34"/>
        <v>270.81739062938999</v>
      </c>
      <c r="AP59" s="3">
        <f t="shared" si="34"/>
        <v>290.20029090484002</v>
      </c>
      <c r="AQ59" s="3">
        <f t="shared" si="34"/>
        <v>304.67668010474603</v>
      </c>
      <c r="AR59" s="3">
        <f t="shared" si="34"/>
        <v>319.12674574978797</v>
      </c>
      <c r="AS59" s="3">
        <f t="shared" si="34"/>
        <v>333.57492312376201</v>
      </c>
      <c r="AT59" s="3">
        <f t="shared" si="34"/>
        <v>348.07573981119299</v>
      </c>
      <c r="AU59" s="3">
        <f t="shared" si="34"/>
        <v>362.70883607488997</v>
      </c>
      <c r="AV59" s="3">
        <f t="shared" si="34"/>
        <v>377.55410586097901</v>
      </c>
      <c r="AW59" s="3">
        <f t="shared" si="34"/>
        <v>392.68968359763301</v>
      </c>
      <c r="AX59" s="3">
        <f t="shared" si="34"/>
        <v>408.185262554742</v>
      </c>
      <c r="AY59" s="3">
        <f t="shared" si="34"/>
        <v>424.09716938961901</v>
      </c>
      <c r="AZ59" s="3">
        <f t="shared" si="34"/>
        <v>438.07304650651298</v>
      </c>
      <c r="BA59" s="3">
        <f t="shared" si="34"/>
        <v>449.88354931060201</v>
      </c>
      <c r="BB59" s="3">
        <f t="shared" si="34"/>
        <v>459.40924923618502</v>
      </c>
      <c r="BC59" s="3">
        <f t="shared" si="34"/>
        <v>466.34687792155597</v>
      </c>
      <c r="BD59" s="3">
        <f t="shared" si="34"/>
        <v>470.51711188538098</v>
      </c>
      <c r="BE59" s="3">
        <f t="shared" si="34"/>
        <v>471.77372915378999</v>
      </c>
      <c r="BF59" s="3">
        <f t="shared" si="34"/>
        <v>470.00395326395397</v>
      </c>
      <c r="BG59" s="3">
        <f t="shared" si="34"/>
        <v>467.07916337689898</v>
      </c>
      <c r="BH59" s="3">
        <f t="shared" si="34"/>
        <v>462.936282032772</v>
      </c>
      <c r="BI59" s="3">
        <f t="shared" si="34"/>
        <v>457.52352909255501</v>
      </c>
      <c r="BJ59" s="3">
        <f t="shared" si="34"/>
        <v>450.79719343979502</v>
      </c>
      <c r="BK59" s="3">
        <f t="shared" si="34"/>
        <v>457.99819546710802</v>
      </c>
      <c r="BL59" s="3">
        <f t="shared" si="34"/>
        <v>464.28312647253398</v>
      </c>
      <c r="BM59" s="3">
        <f t="shared" si="34"/>
        <v>469.58420055385398</v>
      </c>
      <c r="BN59" s="3">
        <f t="shared" si="34"/>
        <v>473.85328938477198</v>
      </c>
      <c r="BO59" s="3">
        <f t="shared" si="34"/>
        <v>477.05474056327802</v>
      </c>
      <c r="BP59" s="3">
        <f t="shared" si="34"/>
        <v>479.16179878727701</v>
      </c>
      <c r="BQ59" s="3">
        <f t="shared" si="34"/>
        <v>481.16140907119399</v>
      </c>
      <c r="BR59" s="3">
        <f t="shared" si="34"/>
        <v>483.057637586022</v>
      </c>
      <c r="BS59" s="3">
        <f t="shared" ref="BS59:CD62" si="35">CA303</f>
        <v>484.860361989495</v>
      </c>
      <c r="BT59" s="3">
        <f t="shared" si="35"/>
        <v>486.58339131919701</v>
      </c>
      <c r="BU59" s="3">
        <f t="shared" si="35"/>
        <v>488.23619007420899</v>
      </c>
      <c r="BV59" s="3">
        <f t="shared" si="35"/>
        <v>489.838245295386</v>
      </c>
      <c r="BW59" s="3">
        <f t="shared" si="35"/>
        <v>491.42390690739597</v>
      </c>
      <c r="BX59" s="3">
        <f t="shared" si="35"/>
        <v>493.02798931501201</v>
      </c>
      <c r="BY59" s="3">
        <f t="shared" si="35"/>
        <v>494.69869690968699</v>
      </c>
      <c r="BZ59" s="3">
        <f t="shared" si="35"/>
        <v>496.49318118969097</v>
      </c>
      <c r="CA59" s="3">
        <f t="shared" si="35"/>
        <v>498.47715570952897</v>
      </c>
      <c r="CB59" s="3">
        <f t="shared" si="35"/>
        <v>500.72620248001601</v>
      </c>
      <c r="CC59" s="3">
        <f t="shared" si="35"/>
        <v>503.31562143864102</v>
      </c>
      <c r="CD59" s="3">
        <f t="shared" si="35"/>
        <v>506.30750004667101</v>
      </c>
    </row>
    <row r="60" spans="4:82" s="3" customFormat="1" x14ac:dyDescent="0.2">
      <c r="E60" s="3" t="s">
        <v>31</v>
      </c>
      <c r="F60" s="3" t="s">
        <v>8</v>
      </c>
      <c r="G60" s="3">
        <f>O304</f>
        <v>0.27300000000000002</v>
      </c>
      <c r="H60" s="3">
        <f t="shared" ref="H60:BS63" si="36">P304</f>
        <v>0.27300000000000002</v>
      </c>
      <c r="I60" s="3">
        <f t="shared" si="36"/>
        <v>0.27300000000000002</v>
      </c>
      <c r="J60" s="3">
        <f t="shared" si="36"/>
        <v>0.27300000000000002</v>
      </c>
      <c r="K60" s="3">
        <f t="shared" si="36"/>
        <v>0.27300000000000002</v>
      </c>
      <c r="L60" s="3">
        <f t="shared" si="36"/>
        <v>0.27300000000000002</v>
      </c>
      <c r="M60" s="3">
        <f t="shared" si="36"/>
        <v>0.27300000000000002</v>
      </c>
      <c r="N60" s="3">
        <f t="shared" si="36"/>
        <v>0.27300000000000002</v>
      </c>
      <c r="O60" s="3">
        <f t="shared" si="36"/>
        <v>0.27300000000000002</v>
      </c>
      <c r="P60" s="3">
        <f t="shared" si="36"/>
        <v>0.27300000000000002</v>
      </c>
      <c r="Q60" s="3">
        <f t="shared" si="36"/>
        <v>0.27300000000000002</v>
      </c>
      <c r="R60" s="3">
        <f t="shared" si="36"/>
        <v>0.27300000000000002</v>
      </c>
      <c r="S60" s="3">
        <f t="shared" si="36"/>
        <v>0.27300000000000002</v>
      </c>
      <c r="T60" s="3">
        <f t="shared" si="36"/>
        <v>0.27300000000000002</v>
      </c>
      <c r="U60" s="3">
        <f t="shared" si="36"/>
        <v>0.54600000000000004</v>
      </c>
      <c r="V60" s="3">
        <f t="shared" si="36"/>
        <v>0.54600000000000004</v>
      </c>
      <c r="W60" s="3">
        <f t="shared" si="36"/>
        <v>0.81900000000000006</v>
      </c>
      <c r="X60" s="3">
        <f t="shared" si="36"/>
        <v>1.0920000000000001</v>
      </c>
      <c r="Y60" s="3">
        <f t="shared" si="36"/>
        <v>1.0920000000000001</v>
      </c>
      <c r="Z60" s="3">
        <f t="shared" si="36"/>
        <v>1.365</v>
      </c>
      <c r="AA60" s="3">
        <f t="shared" si="36"/>
        <v>1.6379999999999999</v>
      </c>
      <c r="AB60" s="3">
        <f t="shared" si="36"/>
        <v>1.911</v>
      </c>
      <c r="AC60" s="3">
        <f t="shared" si="36"/>
        <v>1.911</v>
      </c>
      <c r="AD60" s="3">
        <f t="shared" si="36"/>
        <v>2.1840000000000002</v>
      </c>
      <c r="AE60" s="3">
        <f t="shared" si="36"/>
        <v>2.4569999999999999</v>
      </c>
      <c r="AF60" s="3">
        <f t="shared" si="36"/>
        <v>1.2467030187192001</v>
      </c>
      <c r="AG60" s="3">
        <f t="shared" si="36"/>
        <v>1.2644008963639</v>
      </c>
      <c r="AH60" s="3">
        <f t="shared" si="36"/>
        <v>1.2951621925096</v>
      </c>
      <c r="AI60" s="3">
        <f t="shared" si="36"/>
        <v>1.3356491293717001</v>
      </c>
      <c r="AJ60" s="3">
        <f t="shared" si="36"/>
        <v>1.3866045399119999</v>
      </c>
      <c r="AK60" s="3">
        <f t="shared" si="36"/>
        <v>1.4450716684461</v>
      </c>
      <c r="AL60" s="3">
        <f t="shared" si="36"/>
        <v>1.5156699332101</v>
      </c>
      <c r="AM60" s="3">
        <f t="shared" si="36"/>
        <v>1.6152986080962</v>
      </c>
      <c r="AN60" s="3">
        <f t="shared" si="36"/>
        <v>1.7320863944792999</v>
      </c>
      <c r="AO60" s="3">
        <f t="shared" si="36"/>
        <v>1.8638450835611999</v>
      </c>
      <c r="AP60" s="3">
        <f t="shared" si="36"/>
        <v>1.9972439147795</v>
      </c>
      <c r="AQ60" s="3">
        <f t="shared" si="36"/>
        <v>2.0968746909835998</v>
      </c>
      <c r="AR60" s="3">
        <f t="shared" si="36"/>
        <v>2.1963243007263999</v>
      </c>
      <c r="AS60" s="3">
        <f t="shared" si="36"/>
        <v>2.2957609148312002</v>
      </c>
      <c r="AT60" s="3">
        <f t="shared" si="36"/>
        <v>2.3955598082025</v>
      </c>
      <c r="AU60" s="3">
        <f t="shared" si="36"/>
        <v>2.4962690885961001</v>
      </c>
      <c r="AV60" s="3">
        <f t="shared" si="36"/>
        <v>2.5984386096916001</v>
      </c>
      <c r="AW60" s="3">
        <f t="shared" si="36"/>
        <v>2.7026061156473999</v>
      </c>
      <c r="AX60" s="3">
        <f t="shared" si="36"/>
        <v>2.8092512560833001</v>
      </c>
      <c r="AY60" s="3">
        <f t="shared" si="36"/>
        <v>2.9187616876525002</v>
      </c>
      <c r="AZ60" s="3">
        <f t="shared" si="36"/>
        <v>3.0149477922162999</v>
      </c>
      <c r="BA60" s="3">
        <f t="shared" si="36"/>
        <v>3.0962311526925999</v>
      </c>
      <c r="BB60" s="3">
        <f t="shared" si="36"/>
        <v>3.1617898265006001</v>
      </c>
      <c r="BC60" s="3">
        <f t="shared" si="36"/>
        <v>3.2095366314112002</v>
      </c>
      <c r="BD60" s="3">
        <f t="shared" si="36"/>
        <v>3.2382374103853002</v>
      </c>
      <c r="BE60" s="3">
        <f t="shared" si="36"/>
        <v>3.2468858207114999</v>
      </c>
      <c r="BF60" s="3">
        <f t="shared" si="36"/>
        <v>3.2347057015410998</v>
      </c>
      <c r="BG60" s="3">
        <f t="shared" si="36"/>
        <v>3.2145764356961002</v>
      </c>
      <c r="BH60" s="3">
        <f t="shared" si="36"/>
        <v>3.1860639055107001</v>
      </c>
      <c r="BI60" s="3">
        <f t="shared" si="36"/>
        <v>3.1488117448105002</v>
      </c>
      <c r="BJ60" s="3">
        <f t="shared" si="36"/>
        <v>3.1025191208114999</v>
      </c>
      <c r="BK60" s="3">
        <f t="shared" si="36"/>
        <v>3.1520785386691998</v>
      </c>
      <c r="BL60" s="3">
        <f t="shared" si="36"/>
        <v>3.1953332858172998</v>
      </c>
      <c r="BM60" s="3">
        <f t="shared" si="36"/>
        <v>3.2318168397025002</v>
      </c>
      <c r="BN60" s="3">
        <f t="shared" si="36"/>
        <v>3.2611979670012001</v>
      </c>
      <c r="BO60" s="3">
        <f t="shared" si="36"/>
        <v>3.2832312973772999</v>
      </c>
      <c r="BP60" s="3">
        <f t="shared" si="36"/>
        <v>3.2977326929577</v>
      </c>
      <c r="BQ60" s="3">
        <f t="shared" si="36"/>
        <v>3.3114946001529999</v>
      </c>
      <c r="BR60" s="3">
        <f t="shared" si="36"/>
        <v>3.3245450035500999</v>
      </c>
      <c r="BS60" s="3">
        <f t="shared" si="36"/>
        <v>3.3369518841002002</v>
      </c>
      <c r="BT60" s="3">
        <f t="shared" si="35"/>
        <v>3.3488102796689998</v>
      </c>
      <c r="BU60" s="3">
        <f t="shared" si="35"/>
        <v>3.3601853277281002</v>
      </c>
      <c r="BV60" s="3">
        <f t="shared" si="35"/>
        <v>3.3712111438347998</v>
      </c>
      <c r="BW60" s="3">
        <f t="shared" si="35"/>
        <v>3.3821241342925998</v>
      </c>
      <c r="BX60" s="3">
        <f t="shared" si="35"/>
        <v>3.3931639020938</v>
      </c>
      <c r="BY60" s="3">
        <f t="shared" si="35"/>
        <v>3.4046622040646</v>
      </c>
      <c r="BZ60" s="3">
        <f t="shared" si="35"/>
        <v>3.4170123736568998</v>
      </c>
      <c r="CA60" s="3">
        <f t="shared" si="35"/>
        <v>3.4306666709164002</v>
      </c>
      <c r="CB60" s="3">
        <f t="shared" si="35"/>
        <v>3.4461452735133</v>
      </c>
      <c r="CC60" s="3">
        <f t="shared" si="35"/>
        <v>3.4639664178057998</v>
      </c>
      <c r="CD60" s="3">
        <f t="shared" si="35"/>
        <v>3.4845574079974</v>
      </c>
    </row>
    <row r="61" spans="4:82" s="3" customFormat="1" x14ac:dyDescent="0.2">
      <c r="D61" s="3" t="s">
        <v>32</v>
      </c>
      <c r="F61" s="3" t="s">
        <v>6</v>
      </c>
      <c r="G61" s="3">
        <f>O305</f>
        <v>0</v>
      </c>
      <c r="H61" s="3">
        <f t="shared" si="36"/>
        <v>0</v>
      </c>
      <c r="I61" s="3">
        <f t="shared" si="36"/>
        <v>0</v>
      </c>
      <c r="J61" s="3">
        <f t="shared" si="36"/>
        <v>0</v>
      </c>
      <c r="K61" s="3">
        <f t="shared" si="36"/>
        <v>0</v>
      </c>
      <c r="L61" s="3">
        <f t="shared" si="36"/>
        <v>0</v>
      </c>
      <c r="M61" s="3">
        <f t="shared" si="36"/>
        <v>0</v>
      </c>
      <c r="N61" s="3">
        <f t="shared" si="36"/>
        <v>0</v>
      </c>
      <c r="O61" s="3">
        <f t="shared" si="36"/>
        <v>0</v>
      </c>
      <c r="P61" s="3">
        <f t="shared" si="36"/>
        <v>0</v>
      </c>
      <c r="Q61" s="3">
        <f t="shared" si="36"/>
        <v>0</v>
      </c>
      <c r="R61" s="3">
        <f t="shared" si="36"/>
        <v>0</v>
      </c>
      <c r="S61" s="3">
        <f t="shared" si="36"/>
        <v>0</v>
      </c>
      <c r="T61" s="3">
        <f t="shared" si="36"/>
        <v>0</v>
      </c>
      <c r="U61" s="3">
        <f t="shared" si="36"/>
        <v>0</v>
      </c>
      <c r="V61" s="3">
        <f t="shared" si="36"/>
        <v>0</v>
      </c>
      <c r="W61" s="3">
        <f t="shared" si="36"/>
        <v>0</v>
      </c>
      <c r="X61" s="3">
        <f t="shared" si="36"/>
        <v>0</v>
      </c>
      <c r="Y61" s="3">
        <f t="shared" si="36"/>
        <v>0</v>
      </c>
      <c r="Z61" s="3">
        <f t="shared" si="36"/>
        <v>0</v>
      </c>
      <c r="AA61" s="3">
        <f t="shared" si="36"/>
        <v>0</v>
      </c>
      <c r="AB61" s="3">
        <f t="shared" si="36"/>
        <v>0</v>
      </c>
      <c r="AC61" s="3">
        <f t="shared" si="36"/>
        <v>0</v>
      </c>
      <c r="AD61" s="3">
        <f t="shared" si="36"/>
        <v>0</v>
      </c>
      <c r="AE61" s="3">
        <f t="shared" si="36"/>
        <v>0</v>
      </c>
      <c r="AF61" s="3">
        <f t="shared" si="36"/>
        <v>0.1717686803805773</v>
      </c>
      <c r="AG61" s="3">
        <f t="shared" si="36"/>
        <v>0.15457247282975101</v>
      </c>
      <c r="AH61" s="3">
        <f t="shared" si="36"/>
        <v>0.16617851259536601</v>
      </c>
      <c r="AI61" s="3">
        <f t="shared" si="36"/>
        <v>0.18098676796199811</v>
      </c>
      <c r="AJ61" s="3">
        <f t="shared" si="36"/>
        <v>0.19970278406151251</v>
      </c>
      <c r="AK61" s="3">
        <f t="shared" si="36"/>
        <v>0.2222514833260682</v>
      </c>
      <c r="AL61" s="3">
        <f t="shared" si="36"/>
        <v>0.25069218595975279</v>
      </c>
      <c r="AM61" s="3">
        <f t="shared" si="36"/>
        <v>0.29150658020620002</v>
      </c>
      <c r="AN61" s="3">
        <f t="shared" si="36"/>
        <v>0.34391467925149999</v>
      </c>
      <c r="AO61" s="3">
        <f t="shared" si="36"/>
        <v>0.41005722463880001</v>
      </c>
      <c r="AP61" s="3">
        <f t="shared" si="36"/>
        <v>0.48764571367280002</v>
      </c>
      <c r="AQ61" s="3">
        <f t="shared" si="36"/>
        <v>0.56138950580470004</v>
      </c>
      <c r="AR61" s="3">
        <f t="shared" si="36"/>
        <v>0.64591140441070005</v>
      </c>
      <c r="AS61" s="3">
        <f t="shared" si="36"/>
        <v>0.7428422211293001</v>
      </c>
      <c r="AT61" s="3">
        <f t="shared" si="36"/>
        <v>0.85411371440430006</v>
      </c>
      <c r="AU61" s="3">
        <f t="shared" si="36"/>
        <v>0.98203971953750002</v>
      </c>
      <c r="AV61" s="3">
        <f t="shared" si="36"/>
        <v>1.1293035688988</v>
      </c>
      <c r="AW61" s="3">
        <f t="shared" si="36"/>
        <v>1.2990368387954001</v>
      </c>
      <c r="AX61" s="3">
        <f t="shared" si="36"/>
        <v>1.4948805117563999</v>
      </c>
      <c r="AY61" s="3">
        <f t="shared" si="36"/>
        <v>1.7210537892636</v>
      </c>
      <c r="AZ61" s="3">
        <f t="shared" si="36"/>
        <v>1.9609887153196</v>
      </c>
      <c r="BA61" s="3">
        <f t="shared" si="36"/>
        <v>2.2105524146436002</v>
      </c>
      <c r="BB61" s="3">
        <f t="shared" si="36"/>
        <v>2.4705046996724001</v>
      </c>
      <c r="BC61" s="3">
        <f t="shared" si="36"/>
        <v>2.7297928664381002</v>
      </c>
      <c r="BD61" s="3">
        <f t="shared" si="36"/>
        <v>2.9813559747945</v>
      </c>
      <c r="BE61" s="3">
        <f t="shared" si="36"/>
        <v>3.2176030500212001</v>
      </c>
      <c r="BF61" s="3">
        <f t="shared" si="36"/>
        <v>3.430110945629</v>
      </c>
      <c r="BG61" s="3">
        <f t="shared" si="36"/>
        <v>3.6425950348562002</v>
      </c>
      <c r="BH61" s="3">
        <f t="shared" si="36"/>
        <v>3.8530217776578999</v>
      </c>
      <c r="BI61" s="3">
        <f t="shared" si="36"/>
        <v>4.0595753335931004</v>
      </c>
      <c r="BJ61" s="3">
        <f t="shared" si="36"/>
        <v>4.2598230816701994</v>
      </c>
      <c r="BK61" s="3">
        <f t="shared" si="36"/>
        <v>4.4020484579626009</v>
      </c>
      <c r="BL61" s="3">
        <f t="shared" si="36"/>
        <v>4.5296316973391004</v>
      </c>
      <c r="BM61" s="3">
        <f t="shared" si="36"/>
        <v>4.6406004138938002</v>
      </c>
      <c r="BN61" s="3">
        <f t="shared" si="36"/>
        <v>4.7337659460622001</v>
      </c>
      <c r="BO61" s="3">
        <f t="shared" si="36"/>
        <v>4.8080640379527004</v>
      </c>
      <c r="BP61" s="3">
        <f t="shared" si="36"/>
        <v>4.8622696252136999</v>
      </c>
      <c r="BQ61" s="3">
        <f t="shared" si="36"/>
        <v>4.9177913633551</v>
      </c>
      <c r="BR61" s="3">
        <f t="shared" si="36"/>
        <v>4.9746552281182996</v>
      </c>
      <c r="BS61" s="3">
        <f t="shared" si="36"/>
        <v>5.0332551961901997</v>
      </c>
      <c r="BT61" s="3">
        <f t="shared" si="35"/>
        <v>5.0940846292421993</v>
      </c>
      <c r="BU61" s="3">
        <f t="shared" si="35"/>
        <v>5.1565699067864994</v>
      </c>
      <c r="BV61" s="3">
        <f t="shared" si="35"/>
        <v>5.2207308027759014</v>
      </c>
      <c r="BW61" s="3">
        <f t="shared" si="35"/>
        <v>5.2876534655393996</v>
      </c>
      <c r="BX61" s="3">
        <f t="shared" si="35"/>
        <v>5.3574413211499996</v>
      </c>
      <c r="BY61" s="3">
        <f t="shared" si="35"/>
        <v>5.4307393570376004</v>
      </c>
      <c r="BZ61" s="3">
        <f t="shared" si="35"/>
        <v>5.5080976443579006</v>
      </c>
      <c r="CA61" s="3">
        <f t="shared" si="35"/>
        <v>5.5900215065801007</v>
      </c>
      <c r="CB61" s="3">
        <f t="shared" si="35"/>
        <v>5.6775308561422992</v>
      </c>
      <c r="CC61" s="3">
        <f t="shared" si="35"/>
        <v>5.7715469740736998</v>
      </c>
      <c r="CD61" s="3">
        <f t="shared" si="35"/>
        <v>5.8723801812649006</v>
      </c>
    </row>
    <row r="62" spans="4:82" s="3" customFormat="1" x14ac:dyDescent="0.2">
      <c r="D62" s="3" t="s">
        <v>32</v>
      </c>
      <c r="F62" s="3" t="s">
        <v>7</v>
      </c>
      <c r="G62" s="3">
        <f>O306</f>
        <v>0</v>
      </c>
      <c r="H62" s="3">
        <f t="shared" si="36"/>
        <v>0</v>
      </c>
      <c r="I62" s="3">
        <f t="shared" si="36"/>
        <v>0</v>
      </c>
      <c r="J62" s="3">
        <f t="shared" si="36"/>
        <v>0</v>
      </c>
      <c r="K62" s="3">
        <f t="shared" si="36"/>
        <v>0</v>
      </c>
      <c r="L62" s="3">
        <f t="shared" si="36"/>
        <v>0</v>
      </c>
      <c r="M62" s="3">
        <f t="shared" si="36"/>
        <v>0</v>
      </c>
      <c r="N62" s="3">
        <f t="shared" si="36"/>
        <v>0</v>
      </c>
      <c r="O62" s="3">
        <f t="shared" si="36"/>
        <v>0</v>
      </c>
      <c r="P62" s="3">
        <f t="shared" si="36"/>
        <v>0</v>
      </c>
      <c r="Q62" s="3">
        <f t="shared" si="36"/>
        <v>0</v>
      </c>
      <c r="R62" s="3">
        <f t="shared" si="36"/>
        <v>0</v>
      </c>
      <c r="S62" s="3">
        <f t="shared" si="36"/>
        <v>0</v>
      </c>
      <c r="T62" s="3">
        <f t="shared" si="36"/>
        <v>0</v>
      </c>
      <c r="U62" s="3">
        <f t="shared" si="36"/>
        <v>0</v>
      </c>
      <c r="V62" s="3">
        <f t="shared" si="36"/>
        <v>0</v>
      </c>
      <c r="W62" s="3">
        <f t="shared" si="36"/>
        <v>0</v>
      </c>
      <c r="X62" s="3">
        <f t="shared" si="36"/>
        <v>0</v>
      </c>
      <c r="Y62" s="3">
        <f t="shared" si="36"/>
        <v>0</v>
      </c>
      <c r="Z62" s="3">
        <f t="shared" si="36"/>
        <v>0</v>
      </c>
      <c r="AA62" s="3">
        <f t="shared" si="36"/>
        <v>7.0000000000000001E-3</v>
      </c>
      <c r="AB62" s="3">
        <f t="shared" si="36"/>
        <v>7.0000000000000001E-3</v>
      </c>
      <c r="AC62" s="3">
        <f t="shared" si="36"/>
        <v>7.0000000000000001E-3</v>
      </c>
      <c r="AD62" s="3">
        <f t="shared" si="36"/>
        <v>7.0000000000000001E-3</v>
      </c>
      <c r="AE62" s="3">
        <f t="shared" si="36"/>
        <v>7.0000000000000001E-3</v>
      </c>
      <c r="AF62" s="3">
        <f t="shared" si="36"/>
        <v>150.52399409095551</v>
      </c>
      <c r="AG62" s="3">
        <f t="shared" si="36"/>
        <v>135.4546471178848</v>
      </c>
      <c r="AH62" s="3">
        <f t="shared" si="36"/>
        <v>145.62522918920561</v>
      </c>
      <c r="AI62" s="3">
        <f t="shared" si="36"/>
        <v>158.60197057406771</v>
      </c>
      <c r="AJ62" s="3">
        <f t="shared" si="36"/>
        <v>175.00315320254171</v>
      </c>
      <c r="AK62" s="3">
        <f t="shared" si="36"/>
        <v>194.7629852472013</v>
      </c>
      <c r="AL62" s="3">
        <f t="shared" si="36"/>
        <v>219.68608616225151</v>
      </c>
      <c r="AM62" s="3">
        <f t="shared" si="36"/>
        <v>255.45247631426429</v>
      </c>
      <c r="AN62" s="3">
        <f t="shared" si="36"/>
        <v>301.378639183556</v>
      </c>
      <c r="AO62" s="3">
        <f t="shared" si="36"/>
        <v>359.34054521315801</v>
      </c>
      <c r="AP62" s="3">
        <f t="shared" si="36"/>
        <v>427.33273819619899</v>
      </c>
      <c r="AQ62" s="3">
        <f t="shared" si="36"/>
        <v>491.95575390844812</v>
      </c>
      <c r="AR62" s="3">
        <f t="shared" si="36"/>
        <v>566.02381880909707</v>
      </c>
      <c r="AS62" s="3">
        <f t="shared" si="36"/>
        <v>650.96604256393698</v>
      </c>
      <c r="AT62" s="3">
        <f t="shared" si="36"/>
        <v>748.47525995507806</v>
      </c>
      <c r="AU62" s="3">
        <f t="shared" si="36"/>
        <v>860.57912660928207</v>
      </c>
      <c r="AV62" s="3">
        <f t="shared" si="36"/>
        <v>989.62909510160205</v>
      </c>
      <c r="AW62" s="3">
        <f t="shared" si="36"/>
        <v>1138.3694222574791</v>
      </c>
      <c r="AX62" s="3">
        <f t="shared" si="36"/>
        <v>1309.9907667669179</v>
      </c>
      <c r="AY62" s="3">
        <f t="shared" si="36"/>
        <v>1508.190491021646</v>
      </c>
      <c r="AZ62" s="3">
        <f t="shared" si="36"/>
        <v>1718.449796221081</v>
      </c>
      <c r="BA62" s="3">
        <f t="shared" si="36"/>
        <v>1937.1469691814659</v>
      </c>
      <c r="BB62" s="3">
        <f t="shared" si="36"/>
        <v>2164.9478472512578</v>
      </c>
      <c r="BC62" s="3">
        <f t="shared" si="36"/>
        <v>2392.1667465036548</v>
      </c>
      <c r="BD62" s="3">
        <f t="shared" si="36"/>
        <v>2612.6160376771918</v>
      </c>
      <c r="BE62" s="3">
        <f t="shared" si="36"/>
        <v>2819.643612649857</v>
      </c>
      <c r="BF62" s="3">
        <f t="shared" si="36"/>
        <v>3005.8681161615882</v>
      </c>
      <c r="BG62" s="3">
        <f t="shared" si="36"/>
        <v>3192.0717577124669</v>
      </c>
      <c r="BH62" s="3">
        <f t="shared" si="36"/>
        <v>3376.4725094669338</v>
      </c>
      <c r="BI62" s="3">
        <f t="shared" si="36"/>
        <v>3557.4791176808139</v>
      </c>
      <c r="BJ62" s="3">
        <f t="shared" si="36"/>
        <v>3732.9598326835981</v>
      </c>
      <c r="BK62" s="3">
        <f t="shared" si="36"/>
        <v>3857.5944963090542</v>
      </c>
      <c r="BL62" s="3">
        <f t="shared" si="36"/>
        <v>3969.3979911456108</v>
      </c>
      <c r="BM62" s="3">
        <f t="shared" si="36"/>
        <v>4066.641879833322</v>
      </c>
      <c r="BN62" s="3">
        <f t="shared" si="36"/>
        <v>4148.2845167943015</v>
      </c>
      <c r="BO62" s="3">
        <f t="shared" si="36"/>
        <v>4213.3932753870458</v>
      </c>
      <c r="BP62" s="3">
        <f t="shared" si="36"/>
        <v>4260.8946096146028</v>
      </c>
      <c r="BQ62" s="3">
        <f t="shared" si="36"/>
        <v>4309.5493106077256</v>
      </c>
      <c r="BR62" s="3">
        <f t="shared" si="36"/>
        <v>4359.3801413776018</v>
      </c>
      <c r="BS62" s="3">
        <f t="shared" si="36"/>
        <v>4410.7323508039563</v>
      </c>
      <c r="BT62" s="3">
        <f t="shared" si="35"/>
        <v>4464.0382806217867</v>
      </c>
      <c r="BU62" s="3">
        <f t="shared" si="35"/>
        <v>4518.7952568470291</v>
      </c>
      <c r="BV62" s="3">
        <f t="shared" si="35"/>
        <v>4575.0206077514786</v>
      </c>
      <c r="BW62" s="3">
        <f t="shared" si="35"/>
        <v>4633.6661447144988</v>
      </c>
      <c r="BX62" s="3">
        <f t="shared" si="35"/>
        <v>4694.8225018704397</v>
      </c>
      <c r="BY62" s="3">
        <f t="shared" si="35"/>
        <v>4759.0548933423242</v>
      </c>
      <c r="BZ62" s="3">
        <f t="shared" si="35"/>
        <v>4826.84535640985</v>
      </c>
      <c r="CA62" s="3">
        <f t="shared" si="35"/>
        <v>4898.6367151471759</v>
      </c>
      <c r="CB62" s="3">
        <f t="shared" si="35"/>
        <v>4975.322737227697</v>
      </c>
      <c r="CC62" s="3">
        <f t="shared" si="35"/>
        <v>5057.7107578412379</v>
      </c>
      <c r="CD62" s="3">
        <f t="shared" si="35"/>
        <v>5146.072716783744</v>
      </c>
    </row>
    <row r="63" spans="4:82" s="3" customFormat="1" x14ac:dyDescent="0.2">
      <c r="D63" s="3" t="s">
        <v>32</v>
      </c>
      <c r="F63" s="3" t="s">
        <v>8</v>
      </c>
      <c r="G63" s="3">
        <f>O307</f>
        <v>0</v>
      </c>
      <c r="H63" s="3">
        <f t="shared" si="36"/>
        <v>0</v>
      </c>
      <c r="I63" s="3">
        <f t="shared" si="36"/>
        <v>0</v>
      </c>
      <c r="J63" s="3">
        <f t="shared" si="36"/>
        <v>0</v>
      </c>
      <c r="K63" s="3">
        <f t="shared" si="36"/>
        <v>0</v>
      </c>
      <c r="L63" s="3">
        <f t="shared" si="36"/>
        <v>0</v>
      </c>
      <c r="M63" s="3">
        <f t="shared" si="36"/>
        <v>0</v>
      </c>
      <c r="N63" s="3">
        <f t="shared" si="36"/>
        <v>0</v>
      </c>
      <c r="O63" s="3">
        <f t="shared" si="36"/>
        <v>0</v>
      </c>
      <c r="P63" s="3">
        <f t="shared" si="36"/>
        <v>0</v>
      </c>
      <c r="Q63" s="3">
        <f t="shared" si="36"/>
        <v>0</v>
      </c>
      <c r="R63" s="3">
        <f t="shared" si="36"/>
        <v>0</v>
      </c>
      <c r="S63" s="3">
        <f t="shared" si="36"/>
        <v>0</v>
      </c>
      <c r="T63" s="3">
        <f t="shared" si="36"/>
        <v>0</v>
      </c>
      <c r="U63" s="3">
        <f t="shared" si="36"/>
        <v>0</v>
      </c>
      <c r="V63" s="3">
        <f t="shared" si="36"/>
        <v>0</v>
      </c>
      <c r="W63" s="3">
        <f t="shared" si="36"/>
        <v>0</v>
      </c>
      <c r="X63" s="3">
        <f t="shared" si="36"/>
        <v>0</v>
      </c>
      <c r="Y63" s="3">
        <f t="shared" si="36"/>
        <v>0</v>
      </c>
      <c r="Z63" s="3">
        <f t="shared" si="36"/>
        <v>0</v>
      </c>
      <c r="AA63" s="3">
        <f t="shared" si="36"/>
        <v>0</v>
      </c>
      <c r="AB63" s="3">
        <f t="shared" si="36"/>
        <v>0</v>
      </c>
      <c r="AC63" s="3">
        <f t="shared" si="36"/>
        <v>0</v>
      </c>
      <c r="AD63" s="3">
        <f t="shared" si="36"/>
        <v>0</v>
      </c>
      <c r="AE63" s="3">
        <f t="shared" si="36"/>
        <v>0</v>
      </c>
      <c r="AF63" s="3">
        <f t="shared" si="36"/>
        <v>7.5190138702731</v>
      </c>
      <c r="AG63" s="3">
        <f t="shared" si="36"/>
        <v>6.7662659141033004</v>
      </c>
      <c r="AH63" s="3">
        <f t="shared" si="36"/>
        <v>7.2743094863247997</v>
      </c>
      <c r="AI63" s="3">
        <f t="shared" si="36"/>
        <v>7.922527061555801</v>
      </c>
      <c r="AJ63" s="3">
        <f t="shared" si="36"/>
        <v>8.7418032202646998</v>
      </c>
      <c r="AK63" s="3">
        <f t="shared" si="36"/>
        <v>9.7288515119032013</v>
      </c>
      <c r="AL63" s="3">
        <f t="shared" si="36"/>
        <v>10.973816758820799</v>
      </c>
      <c r="AM63" s="3">
        <f t="shared" si="36"/>
        <v>12.7604288220118</v>
      </c>
      <c r="AN63" s="3">
        <f t="shared" si="36"/>
        <v>15.054544505747799</v>
      </c>
      <c r="AO63" s="3">
        <f t="shared" si="36"/>
        <v>17.949872775609499</v>
      </c>
      <c r="AP63" s="3">
        <f t="shared" si="36"/>
        <v>21.3462365593188</v>
      </c>
      <c r="AQ63" s="3">
        <f t="shared" si="36"/>
        <v>24.5743023199554</v>
      </c>
      <c r="AR63" s="3">
        <f t="shared" si="36"/>
        <v>28.274169644733799</v>
      </c>
      <c r="AS63" s="3">
        <f t="shared" si="36"/>
        <v>32.517225792968603</v>
      </c>
      <c r="AT63" s="3">
        <f t="shared" si="36"/>
        <v>37.388031689870601</v>
      </c>
      <c r="AU63" s="3">
        <f t="shared" si="36"/>
        <v>42.9878733189393</v>
      </c>
      <c r="AV63" s="3">
        <f t="shared" si="36"/>
        <v>49.434211053412099</v>
      </c>
      <c r="AW63" s="3">
        <f t="shared" si="36"/>
        <v>56.864126727043697</v>
      </c>
      <c r="AX63" s="3">
        <f t="shared" si="36"/>
        <v>65.437000956129197</v>
      </c>
      <c r="AY63" s="3">
        <f t="shared" si="36"/>
        <v>75.337525352625903</v>
      </c>
      <c r="AZ63" s="3">
        <f t="shared" si="36"/>
        <v>85.840453086481403</v>
      </c>
      <c r="BA63" s="3">
        <f t="shared" si="36"/>
        <v>96.764871394734797</v>
      </c>
      <c r="BB63" s="3">
        <f t="shared" si="36"/>
        <v>108.14404035853551</v>
      </c>
      <c r="BC63" s="3">
        <f t="shared" si="36"/>
        <v>119.4941381644359</v>
      </c>
      <c r="BD63" s="3">
        <f t="shared" si="36"/>
        <v>130.5060787393322</v>
      </c>
      <c r="BE63" s="3">
        <f t="shared" si="36"/>
        <v>140.84757424075909</v>
      </c>
      <c r="BF63" s="3">
        <f t="shared" si="36"/>
        <v>150.14990928272891</v>
      </c>
      <c r="BG63" s="3">
        <f t="shared" si="36"/>
        <v>159.45120222258021</v>
      </c>
      <c r="BH63" s="3">
        <f t="shared" si="36"/>
        <v>168.66243674039919</v>
      </c>
      <c r="BI63" s="3">
        <f t="shared" si="36"/>
        <v>177.7041261135156</v>
      </c>
      <c r="BJ63" s="3">
        <f t="shared" si="36"/>
        <v>186.46978462556751</v>
      </c>
      <c r="BK63" s="3">
        <f t="shared" si="36"/>
        <v>192.69556789803659</v>
      </c>
      <c r="BL63" s="3">
        <f t="shared" si="36"/>
        <v>198.28040527561129</v>
      </c>
      <c r="BM63" s="3">
        <f t="shared" si="36"/>
        <v>203.13795740381539</v>
      </c>
      <c r="BN63" s="3">
        <f t="shared" si="36"/>
        <v>207.2161917306581</v>
      </c>
      <c r="BO63" s="3">
        <f t="shared" si="36"/>
        <v>210.46852144653889</v>
      </c>
      <c r="BP63" s="3">
        <f t="shared" si="36"/>
        <v>212.8413205014042</v>
      </c>
      <c r="BQ63" s="3">
        <f t="shared" si="36"/>
        <v>215.27173283420629</v>
      </c>
      <c r="BR63" s="3">
        <f t="shared" si="36"/>
        <v>217.7608955088258</v>
      </c>
      <c r="BS63" s="3">
        <f t="shared" ref="BS63:CD66" si="37">CA307</f>
        <v>220.3260544874845</v>
      </c>
      <c r="BT63" s="3">
        <f t="shared" si="37"/>
        <v>222.9888062174567</v>
      </c>
      <c r="BU63" s="3">
        <f t="shared" si="37"/>
        <v>225.72404099659181</v>
      </c>
      <c r="BV63" s="3">
        <f t="shared" si="37"/>
        <v>228.53262441124679</v>
      </c>
      <c r="BW63" s="3">
        <f t="shared" si="37"/>
        <v>231.46210159206171</v>
      </c>
      <c r="BX63" s="3">
        <f t="shared" si="37"/>
        <v>234.5169999189892</v>
      </c>
      <c r="BY63" s="3">
        <f t="shared" si="37"/>
        <v>237.72555311553879</v>
      </c>
      <c r="BZ63" s="3">
        <f t="shared" si="37"/>
        <v>241.1118400338153</v>
      </c>
      <c r="CA63" s="3">
        <f t="shared" si="37"/>
        <v>244.69798073763971</v>
      </c>
      <c r="CB63" s="3">
        <f t="shared" si="37"/>
        <v>248.52862094328731</v>
      </c>
      <c r="CC63" s="3">
        <f t="shared" si="37"/>
        <v>252.6440888690405</v>
      </c>
      <c r="CD63" s="3">
        <f t="shared" si="37"/>
        <v>257.0579685226171</v>
      </c>
    </row>
    <row r="64" spans="4:82" s="3" customFormat="1" x14ac:dyDescent="0.2">
      <c r="D64" s="3" t="s">
        <v>33</v>
      </c>
      <c r="F64" s="3" t="s">
        <v>6</v>
      </c>
      <c r="G64" s="3">
        <f>O308</f>
        <v>0</v>
      </c>
      <c r="H64" s="3">
        <f t="shared" ref="H64:BS67" si="38">P308</f>
        <v>0</v>
      </c>
      <c r="I64" s="3">
        <f t="shared" si="38"/>
        <v>0</v>
      </c>
      <c r="J64" s="3">
        <f t="shared" si="38"/>
        <v>0</v>
      </c>
      <c r="K64" s="3">
        <f t="shared" si="38"/>
        <v>0</v>
      </c>
      <c r="L64" s="3">
        <f t="shared" si="38"/>
        <v>0</v>
      </c>
      <c r="M64" s="3">
        <f t="shared" si="38"/>
        <v>0</v>
      </c>
      <c r="N64" s="3">
        <f t="shared" si="38"/>
        <v>0</v>
      </c>
      <c r="O64" s="3">
        <f t="shared" si="38"/>
        <v>0</v>
      </c>
      <c r="P64" s="3">
        <f t="shared" si="38"/>
        <v>0</v>
      </c>
      <c r="Q64" s="3">
        <f t="shared" si="38"/>
        <v>0</v>
      </c>
      <c r="R64" s="3">
        <f t="shared" si="38"/>
        <v>0</v>
      </c>
      <c r="S64" s="3">
        <f t="shared" si="38"/>
        <v>0</v>
      </c>
      <c r="T64" s="3">
        <f t="shared" si="38"/>
        <v>0</v>
      </c>
      <c r="U64" s="3">
        <f t="shared" si="38"/>
        <v>0</v>
      </c>
      <c r="V64" s="3">
        <f t="shared" si="38"/>
        <v>0</v>
      </c>
      <c r="W64" s="3">
        <f t="shared" si="38"/>
        <v>0</v>
      </c>
      <c r="X64" s="3">
        <f t="shared" si="38"/>
        <v>0</v>
      </c>
      <c r="Y64" s="3">
        <f t="shared" si="38"/>
        <v>0</v>
      </c>
      <c r="Z64" s="3">
        <f t="shared" si="38"/>
        <v>0</v>
      </c>
      <c r="AA64" s="3">
        <f t="shared" si="38"/>
        <v>0</v>
      </c>
      <c r="AB64" s="3">
        <f t="shared" si="38"/>
        <v>0</v>
      </c>
      <c r="AC64" s="3">
        <f t="shared" si="38"/>
        <v>0</v>
      </c>
      <c r="AD64" s="3">
        <f t="shared" si="38"/>
        <v>0</v>
      </c>
      <c r="AE64" s="3">
        <f t="shared" si="38"/>
        <v>0</v>
      </c>
      <c r="AF64" s="3">
        <f t="shared" si="38"/>
        <v>0.45465482215460001</v>
      </c>
      <c r="AG64" s="3">
        <f t="shared" si="38"/>
        <v>0.47109676648359999</v>
      </c>
      <c r="AH64" s="3">
        <f t="shared" si="38"/>
        <v>0.49373423725589999</v>
      </c>
      <c r="AI64" s="3">
        <f t="shared" si="38"/>
        <v>0.52172858010310008</v>
      </c>
      <c r="AJ64" s="3">
        <f t="shared" si="38"/>
        <v>0.55582587436469999</v>
      </c>
      <c r="AK64" s="3">
        <f t="shared" si="38"/>
        <v>0.59532865407489999</v>
      </c>
      <c r="AL64" s="3">
        <f t="shared" si="38"/>
        <v>0.64277076254650001</v>
      </c>
      <c r="AM64" s="3">
        <f t="shared" si="38"/>
        <v>0.70652443603170001</v>
      </c>
      <c r="AN64" s="3">
        <f t="shared" si="38"/>
        <v>0.7829134547544</v>
      </c>
      <c r="AO64" s="3">
        <f t="shared" si="38"/>
        <v>0.87244234421239997</v>
      </c>
      <c r="AP64" s="3">
        <f t="shared" si="38"/>
        <v>0.97017557377489994</v>
      </c>
      <c r="AQ64" s="3">
        <f t="shared" si="38"/>
        <v>1.0588241701884999</v>
      </c>
      <c r="AR64" s="3">
        <f t="shared" si="38"/>
        <v>1.1550987691306001</v>
      </c>
      <c r="AS64" s="3">
        <f t="shared" si="38"/>
        <v>1.2596142147803999</v>
      </c>
      <c r="AT64" s="3">
        <f t="shared" si="38"/>
        <v>1.3730317101978</v>
      </c>
      <c r="AU64" s="3">
        <f t="shared" si="38"/>
        <v>1.4960943093184</v>
      </c>
      <c r="AV64" s="3">
        <f t="shared" si="38"/>
        <v>1.6295748594805</v>
      </c>
      <c r="AW64" s="3">
        <f t="shared" si="38"/>
        <v>1.7743046023483999</v>
      </c>
      <c r="AX64" s="3">
        <f t="shared" si="38"/>
        <v>1.9311773941046999</v>
      </c>
      <c r="AY64" s="3">
        <f t="shared" si="38"/>
        <v>2.1011541384419998</v>
      </c>
      <c r="AZ64" s="3">
        <f t="shared" si="38"/>
        <v>2.2723044688674001</v>
      </c>
      <c r="BA64" s="3">
        <f t="shared" si="38"/>
        <v>2.4423945116680001</v>
      </c>
      <c r="BB64" s="3">
        <f t="shared" si="38"/>
        <v>2.6098469358792999</v>
      </c>
      <c r="BC64" s="3">
        <f t="shared" si="38"/>
        <v>2.7713609600633</v>
      </c>
      <c r="BD64" s="3">
        <f t="shared" si="38"/>
        <v>2.9243084856912001</v>
      </c>
      <c r="BE64" s="3">
        <f t="shared" si="38"/>
        <v>3.0660675183602999</v>
      </c>
      <c r="BF64" s="3">
        <f t="shared" si="38"/>
        <v>3.1940187156815001</v>
      </c>
      <c r="BG64" s="3">
        <f t="shared" si="38"/>
        <v>3.3202375283536001</v>
      </c>
      <c r="BH64" s="3">
        <f t="shared" si="38"/>
        <v>3.4440979175302</v>
      </c>
      <c r="BI64" s="3">
        <f t="shared" si="38"/>
        <v>3.5650104329293</v>
      </c>
      <c r="BJ64" s="3">
        <f t="shared" si="38"/>
        <v>3.6823235383495998</v>
      </c>
      <c r="BK64" s="3">
        <f t="shared" si="38"/>
        <v>3.7982607318273001</v>
      </c>
      <c r="BL64" s="3">
        <f t="shared" si="38"/>
        <v>3.9094926551523002</v>
      </c>
      <c r="BM64" s="3">
        <f t="shared" si="38"/>
        <v>4.0153489828237996</v>
      </c>
      <c r="BN64" s="3">
        <f t="shared" si="38"/>
        <v>4.1152390116542001</v>
      </c>
      <c r="BO64" s="3">
        <f t="shared" si="38"/>
        <v>4.2085814752326014</v>
      </c>
      <c r="BP64" s="3">
        <f t="shared" si="38"/>
        <v>4.2947756422978998</v>
      </c>
      <c r="BQ64" s="3">
        <f t="shared" si="38"/>
        <v>4.3829656204975</v>
      </c>
      <c r="BR64" s="3">
        <f t="shared" si="38"/>
        <v>4.4731974095288001</v>
      </c>
      <c r="BS64" s="3">
        <f t="shared" si="38"/>
        <v>4.5655590550004002</v>
      </c>
      <c r="BT64" s="3">
        <f t="shared" si="37"/>
        <v>4.6601496242683993</v>
      </c>
      <c r="BU64" s="3">
        <f t="shared" si="37"/>
        <v>4.7569360555091</v>
      </c>
      <c r="BV64" s="3">
        <f t="shared" si="37"/>
        <v>4.8559494072880014</v>
      </c>
      <c r="BW64" s="3">
        <f t="shared" si="37"/>
        <v>4.9573449600766999</v>
      </c>
      <c r="BX64" s="3">
        <f t="shared" si="37"/>
        <v>5.061148402782</v>
      </c>
      <c r="BY64" s="3">
        <f t="shared" si="37"/>
        <v>5.1674407939071001</v>
      </c>
      <c r="BZ64" s="3">
        <f t="shared" si="37"/>
        <v>5.2762783161962004</v>
      </c>
      <c r="CA64" s="3">
        <f t="shared" si="37"/>
        <v>5.3876977136124999</v>
      </c>
      <c r="CB64" s="3">
        <f t="shared" si="37"/>
        <v>5.5017910341595</v>
      </c>
      <c r="CC64" s="3">
        <f t="shared" si="37"/>
        <v>5.6186339267121994</v>
      </c>
      <c r="CD64" s="3">
        <f t="shared" si="37"/>
        <v>5.7382293258099999</v>
      </c>
    </row>
    <row r="65" spans="3:82" s="3" customFormat="1" x14ac:dyDescent="0.2">
      <c r="D65" s="3" t="s">
        <v>33</v>
      </c>
      <c r="F65" s="3" t="s">
        <v>7</v>
      </c>
      <c r="G65" s="3">
        <f>O309</f>
        <v>0</v>
      </c>
      <c r="H65" s="3">
        <f t="shared" si="38"/>
        <v>0</v>
      </c>
      <c r="I65" s="3">
        <f t="shared" si="38"/>
        <v>0</v>
      </c>
      <c r="J65" s="3">
        <f t="shared" si="38"/>
        <v>0</v>
      </c>
      <c r="K65" s="3">
        <f t="shared" si="38"/>
        <v>0</v>
      </c>
      <c r="L65" s="3">
        <f t="shared" si="38"/>
        <v>0</v>
      </c>
      <c r="M65" s="3">
        <f t="shared" si="38"/>
        <v>0</v>
      </c>
      <c r="N65" s="3">
        <f t="shared" si="38"/>
        <v>0</v>
      </c>
      <c r="O65" s="3">
        <f t="shared" si="38"/>
        <v>0</v>
      </c>
      <c r="P65" s="3">
        <f t="shared" si="38"/>
        <v>0</v>
      </c>
      <c r="Q65" s="3">
        <f t="shared" si="38"/>
        <v>0</v>
      </c>
      <c r="R65" s="3">
        <f t="shared" si="38"/>
        <v>0</v>
      </c>
      <c r="S65" s="3">
        <f t="shared" si="38"/>
        <v>0</v>
      </c>
      <c r="T65" s="3">
        <f t="shared" si="38"/>
        <v>0</v>
      </c>
      <c r="U65" s="3">
        <f t="shared" si="38"/>
        <v>0</v>
      </c>
      <c r="V65" s="3">
        <f t="shared" si="38"/>
        <v>0</v>
      </c>
      <c r="W65" s="3">
        <f t="shared" si="38"/>
        <v>0</v>
      </c>
      <c r="X65" s="3">
        <f t="shared" si="38"/>
        <v>0</v>
      </c>
      <c r="Y65" s="3">
        <f t="shared" si="38"/>
        <v>0</v>
      </c>
      <c r="Z65" s="3">
        <f t="shared" si="38"/>
        <v>0</v>
      </c>
      <c r="AA65" s="3">
        <f t="shared" si="38"/>
        <v>0</v>
      </c>
      <c r="AB65" s="3">
        <f t="shared" si="38"/>
        <v>0</v>
      </c>
      <c r="AC65" s="3">
        <f t="shared" si="38"/>
        <v>0</v>
      </c>
      <c r="AD65" s="3">
        <f t="shared" si="38"/>
        <v>0</v>
      </c>
      <c r="AE65" s="3">
        <f t="shared" si="38"/>
        <v>0</v>
      </c>
      <c r="AF65" s="3">
        <f t="shared" si="38"/>
        <v>236.20746176025199</v>
      </c>
      <c r="AG65" s="3">
        <f t="shared" si="38"/>
        <v>244.749568314751</v>
      </c>
      <c r="AH65" s="3">
        <f t="shared" si="38"/>
        <v>256.51044547083302</v>
      </c>
      <c r="AI65" s="3">
        <f t="shared" si="38"/>
        <v>271.05438594032699</v>
      </c>
      <c r="AJ65" s="3">
        <f t="shared" si="38"/>
        <v>288.76900137597499</v>
      </c>
      <c r="AK65" s="3">
        <f t="shared" si="38"/>
        <v>309.29193629964698</v>
      </c>
      <c r="AL65" s="3">
        <f t="shared" si="38"/>
        <v>333.93960190569197</v>
      </c>
      <c r="AM65" s="3">
        <f t="shared" si="38"/>
        <v>367.06163791632599</v>
      </c>
      <c r="AN65" s="3">
        <f t="shared" si="38"/>
        <v>406.74813268024701</v>
      </c>
      <c r="AO65" s="3">
        <f t="shared" si="38"/>
        <v>453.261203041805</v>
      </c>
      <c r="AP65" s="3">
        <f t="shared" si="38"/>
        <v>504.03668580296898</v>
      </c>
      <c r="AQ65" s="3">
        <f t="shared" si="38"/>
        <v>550.09241627606298</v>
      </c>
      <c r="AR65" s="3">
        <f t="shared" si="38"/>
        <v>600.11009461128992</v>
      </c>
      <c r="AS65" s="3">
        <f t="shared" si="38"/>
        <v>654.40915167328797</v>
      </c>
      <c r="AT65" s="3">
        <f t="shared" si="38"/>
        <v>713.33310322138504</v>
      </c>
      <c r="AU65" s="3">
        <f t="shared" si="38"/>
        <v>777.26798911597905</v>
      </c>
      <c r="AV65" s="3">
        <f t="shared" si="38"/>
        <v>846.61532782611107</v>
      </c>
      <c r="AW65" s="3">
        <f t="shared" si="38"/>
        <v>921.80697550738898</v>
      </c>
      <c r="AX65" s="3">
        <f t="shared" si="38"/>
        <v>1003.30731852452</v>
      </c>
      <c r="AY65" s="3">
        <f t="shared" si="38"/>
        <v>1091.6155765297899</v>
      </c>
      <c r="AZ65" s="3">
        <f t="shared" si="38"/>
        <v>1180.53354937257</v>
      </c>
      <c r="BA65" s="3">
        <f t="shared" si="38"/>
        <v>1268.9006694884999</v>
      </c>
      <c r="BB65" s="3">
        <f t="shared" si="38"/>
        <v>1355.89746389423</v>
      </c>
      <c r="BC65" s="3">
        <f t="shared" si="38"/>
        <v>1439.8090729482701</v>
      </c>
      <c r="BD65" s="3">
        <f t="shared" si="38"/>
        <v>1519.27011691092</v>
      </c>
      <c r="BE65" s="3">
        <f t="shared" si="38"/>
        <v>1592.91838732776</v>
      </c>
      <c r="BF65" s="3">
        <f t="shared" si="38"/>
        <v>1659.3930535485699</v>
      </c>
      <c r="BG65" s="3">
        <f t="shared" si="38"/>
        <v>1724.9676915263899</v>
      </c>
      <c r="BH65" s="3">
        <f t="shared" si="38"/>
        <v>1789.31705441536</v>
      </c>
      <c r="BI65" s="3">
        <f t="shared" si="38"/>
        <v>1852.13490427805</v>
      </c>
      <c r="BJ65" s="3">
        <f t="shared" si="38"/>
        <v>1913.08274759184</v>
      </c>
      <c r="BK65" s="3">
        <f t="shared" si="38"/>
        <v>1973.3157614312199</v>
      </c>
      <c r="BL65" s="3">
        <f t="shared" si="38"/>
        <v>2031.10423962397</v>
      </c>
      <c r="BM65" s="3">
        <f t="shared" si="38"/>
        <v>2086.0999270160501</v>
      </c>
      <c r="BN65" s="3">
        <f t="shared" si="38"/>
        <v>2137.9959347464001</v>
      </c>
      <c r="BO65" s="3">
        <f t="shared" si="38"/>
        <v>2186.4902766557602</v>
      </c>
      <c r="BP65" s="3">
        <f t="shared" si="38"/>
        <v>2231.2708539837399</v>
      </c>
      <c r="BQ65" s="3">
        <f t="shared" si="38"/>
        <v>2277.0883178885601</v>
      </c>
      <c r="BR65" s="3">
        <f t="shared" si="38"/>
        <v>2323.9665666579599</v>
      </c>
      <c r="BS65" s="3">
        <f t="shared" si="38"/>
        <v>2371.9513427512602</v>
      </c>
      <c r="BT65" s="3">
        <f t="shared" si="37"/>
        <v>2421.09411477199</v>
      </c>
      <c r="BU65" s="3">
        <f t="shared" si="37"/>
        <v>2471.37770606402</v>
      </c>
      <c r="BV65" s="3">
        <f t="shared" si="37"/>
        <v>2522.8182525278899</v>
      </c>
      <c r="BW65" s="3">
        <f t="shared" si="37"/>
        <v>2575.4964272462298</v>
      </c>
      <c r="BX65" s="3">
        <f t="shared" si="37"/>
        <v>2629.4255764130698</v>
      </c>
      <c r="BY65" s="3">
        <f t="shared" si="37"/>
        <v>2684.6478124669802</v>
      </c>
      <c r="BZ65" s="3">
        <f t="shared" si="37"/>
        <v>2741.1923241084801</v>
      </c>
      <c r="CA65" s="3">
        <f t="shared" si="37"/>
        <v>2799.0782009805898</v>
      </c>
      <c r="CB65" s="3">
        <f t="shared" si="37"/>
        <v>2858.35326491254</v>
      </c>
      <c r="CC65" s="3">
        <f t="shared" si="37"/>
        <v>2919.0568178712501</v>
      </c>
      <c r="CD65" s="3">
        <f t="shared" si="37"/>
        <v>2981.1903844420999</v>
      </c>
    </row>
    <row r="66" spans="3:82" s="3" customFormat="1" x14ac:dyDescent="0.2">
      <c r="D66" s="3" t="s">
        <v>33</v>
      </c>
      <c r="F66" s="3" t="s">
        <v>8</v>
      </c>
      <c r="G66" s="3">
        <f>O310</f>
        <v>0</v>
      </c>
      <c r="H66" s="3">
        <f t="shared" si="38"/>
        <v>0</v>
      </c>
      <c r="I66" s="3">
        <f t="shared" si="38"/>
        <v>0</v>
      </c>
      <c r="J66" s="3">
        <f t="shared" si="38"/>
        <v>0</v>
      </c>
      <c r="K66" s="3">
        <f t="shared" si="38"/>
        <v>0</v>
      </c>
      <c r="L66" s="3">
        <f t="shared" si="38"/>
        <v>0</v>
      </c>
      <c r="M66" s="3">
        <f t="shared" si="38"/>
        <v>0</v>
      </c>
      <c r="N66" s="3">
        <f t="shared" si="38"/>
        <v>0</v>
      </c>
      <c r="O66" s="3">
        <f t="shared" si="38"/>
        <v>0</v>
      </c>
      <c r="P66" s="3">
        <f t="shared" si="38"/>
        <v>0</v>
      </c>
      <c r="Q66" s="3">
        <f t="shared" si="38"/>
        <v>0</v>
      </c>
      <c r="R66" s="3">
        <f t="shared" si="38"/>
        <v>0</v>
      </c>
      <c r="S66" s="3">
        <f t="shared" si="38"/>
        <v>0</v>
      </c>
      <c r="T66" s="3">
        <f t="shared" si="38"/>
        <v>0</v>
      </c>
      <c r="U66" s="3">
        <f t="shared" si="38"/>
        <v>0</v>
      </c>
      <c r="V66" s="3">
        <f t="shared" si="38"/>
        <v>0</v>
      </c>
      <c r="W66" s="3">
        <f t="shared" si="38"/>
        <v>0</v>
      </c>
      <c r="X66" s="3">
        <f t="shared" si="38"/>
        <v>0</v>
      </c>
      <c r="Y66" s="3">
        <f t="shared" si="38"/>
        <v>0</v>
      </c>
      <c r="Z66" s="3">
        <f t="shared" si="38"/>
        <v>0</v>
      </c>
      <c r="AA66" s="3">
        <f t="shared" si="38"/>
        <v>0</v>
      </c>
      <c r="AB66" s="3">
        <f t="shared" si="38"/>
        <v>0</v>
      </c>
      <c r="AC66" s="3">
        <f t="shared" si="38"/>
        <v>0</v>
      </c>
      <c r="AD66" s="3">
        <f t="shared" si="38"/>
        <v>0</v>
      </c>
      <c r="AE66" s="3">
        <f t="shared" si="38"/>
        <v>0</v>
      </c>
      <c r="AF66" s="3">
        <f t="shared" si="38"/>
        <v>0.82511166630330002</v>
      </c>
      <c r="AG66" s="3">
        <f t="shared" si="38"/>
        <v>0.85495065496360001</v>
      </c>
      <c r="AH66" s="3">
        <f t="shared" si="38"/>
        <v>0.89603334081579999</v>
      </c>
      <c r="AI66" s="3">
        <f t="shared" si="38"/>
        <v>0.94683772635880004</v>
      </c>
      <c r="AJ66" s="3">
        <f t="shared" si="38"/>
        <v>1.0087178030977</v>
      </c>
      <c r="AK66" s="3">
        <f t="shared" si="38"/>
        <v>1.0804078035156</v>
      </c>
      <c r="AL66" s="3">
        <f t="shared" si="38"/>
        <v>1.1665061692790999</v>
      </c>
      <c r="AM66" s="3">
        <f t="shared" si="38"/>
        <v>1.2822069101466</v>
      </c>
      <c r="AN66" s="3">
        <f t="shared" si="38"/>
        <v>1.4208383893572001</v>
      </c>
      <c r="AO66" s="3">
        <f t="shared" si="38"/>
        <v>1.5833162243286001</v>
      </c>
      <c r="AP66" s="3">
        <f t="shared" si="38"/>
        <v>1.7606833696177999</v>
      </c>
      <c r="AQ66" s="3">
        <f t="shared" si="38"/>
        <v>1.9215636408432999</v>
      </c>
      <c r="AR66" s="3">
        <f t="shared" si="38"/>
        <v>2.0962836501447</v>
      </c>
      <c r="AS66" s="3">
        <f t="shared" si="38"/>
        <v>2.2859592222763001</v>
      </c>
      <c r="AT66" s="3">
        <f t="shared" si="38"/>
        <v>2.4917903145064999</v>
      </c>
      <c r="AU66" s="3">
        <f t="shared" si="38"/>
        <v>2.7151254278102002</v>
      </c>
      <c r="AV66" s="3">
        <f t="shared" si="38"/>
        <v>2.9573671324982</v>
      </c>
      <c r="AW66" s="3">
        <f t="shared" si="38"/>
        <v>3.2200239734296998</v>
      </c>
      <c r="AX66" s="3">
        <f t="shared" si="38"/>
        <v>3.5047181288556999</v>
      </c>
      <c r="AY66" s="3">
        <f t="shared" si="38"/>
        <v>3.8131934554525002</v>
      </c>
      <c r="AZ66" s="3">
        <f t="shared" si="38"/>
        <v>4.1237986166522003</v>
      </c>
      <c r="BA66" s="3">
        <f t="shared" si="38"/>
        <v>4.4324795583206997</v>
      </c>
      <c r="BB66" s="3">
        <f t="shared" si="38"/>
        <v>4.7363737260164998</v>
      </c>
      <c r="BC66" s="3">
        <f t="shared" si="38"/>
        <v>5.0294908318556999</v>
      </c>
      <c r="BD66" s="3">
        <f t="shared" si="38"/>
        <v>5.3070613789571004</v>
      </c>
      <c r="BE66" s="3">
        <f t="shared" si="38"/>
        <v>5.5643269482628002</v>
      </c>
      <c r="BF66" s="3">
        <f t="shared" si="38"/>
        <v>5.7965339336124</v>
      </c>
      <c r="BG66" s="3">
        <f t="shared" si="38"/>
        <v>6.0255969716972002</v>
      </c>
      <c r="BH66" s="3">
        <f t="shared" si="38"/>
        <v>6.2503799215803006</v>
      </c>
      <c r="BI66" s="3">
        <f t="shared" si="38"/>
        <v>6.4698130435805998</v>
      </c>
      <c r="BJ66" s="3">
        <f t="shared" si="38"/>
        <v>6.6827139239316002</v>
      </c>
      <c r="BK66" s="3">
        <f t="shared" si="38"/>
        <v>6.8931177868965001</v>
      </c>
      <c r="BL66" s="3">
        <f t="shared" si="38"/>
        <v>7.0949824832081001</v>
      </c>
      <c r="BM66" s="3">
        <f t="shared" si="38"/>
        <v>7.2870915001096002</v>
      </c>
      <c r="BN66" s="3">
        <f t="shared" si="38"/>
        <v>7.4683728241363001</v>
      </c>
      <c r="BO66" s="3">
        <f t="shared" si="38"/>
        <v>7.6377715677701996</v>
      </c>
      <c r="BP66" s="3">
        <f t="shared" si="38"/>
        <v>7.7941975185076</v>
      </c>
      <c r="BQ66" s="3">
        <f t="shared" si="38"/>
        <v>7.9542454852677</v>
      </c>
      <c r="BR66" s="3">
        <f t="shared" si="38"/>
        <v>8.1179989487156998</v>
      </c>
      <c r="BS66" s="3">
        <f t="shared" si="38"/>
        <v>8.2856176948149987</v>
      </c>
      <c r="BT66" s="3">
        <f t="shared" si="37"/>
        <v>8.4572815118959994</v>
      </c>
      <c r="BU66" s="3">
        <f t="shared" si="37"/>
        <v>8.6329303990628006</v>
      </c>
      <c r="BV66" s="3">
        <f t="shared" si="37"/>
        <v>8.8126207216803003</v>
      </c>
      <c r="BW66" s="3">
        <f t="shared" si="37"/>
        <v>8.9966342841468006</v>
      </c>
      <c r="BX66" s="3">
        <f t="shared" si="37"/>
        <v>9.1850177069218013</v>
      </c>
      <c r="BY66" s="3">
        <f t="shared" si="37"/>
        <v>9.3779180957067005</v>
      </c>
      <c r="BZ66" s="3">
        <f t="shared" si="37"/>
        <v>9.5754374114520004</v>
      </c>
      <c r="CA66" s="3">
        <f t="shared" si="37"/>
        <v>9.7776423374329013</v>
      </c>
      <c r="CB66" s="3">
        <f t="shared" si="37"/>
        <v>9.9846999231952989</v>
      </c>
      <c r="CC66" s="3">
        <f t="shared" si="37"/>
        <v>10.1967474569991</v>
      </c>
      <c r="CD66" s="3">
        <f t="shared" si="37"/>
        <v>10.413790264472601</v>
      </c>
    </row>
    <row r="67" spans="3:82" s="3" customFormat="1" x14ac:dyDescent="0.2">
      <c r="D67" s="3" t="s">
        <v>34</v>
      </c>
      <c r="F67" s="3" t="s">
        <v>6</v>
      </c>
      <c r="G67" s="3">
        <f>O311</f>
        <v>0</v>
      </c>
      <c r="H67" s="3">
        <f t="shared" si="38"/>
        <v>0</v>
      </c>
      <c r="I67" s="3">
        <f t="shared" si="38"/>
        <v>0</v>
      </c>
      <c r="J67" s="3">
        <f t="shared" si="38"/>
        <v>0</v>
      </c>
      <c r="K67" s="3">
        <f t="shared" si="38"/>
        <v>0</v>
      </c>
      <c r="L67" s="3">
        <f t="shared" si="38"/>
        <v>0</v>
      </c>
      <c r="M67" s="3">
        <f t="shared" si="38"/>
        <v>0</v>
      </c>
      <c r="N67" s="3">
        <f t="shared" si="38"/>
        <v>0</v>
      </c>
      <c r="O67" s="3">
        <f t="shared" si="38"/>
        <v>0</v>
      </c>
      <c r="P67" s="3">
        <f t="shared" si="38"/>
        <v>0</v>
      </c>
      <c r="Q67" s="3">
        <f t="shared" si="38"/>
        <v>0</v>
      </c>
      <c r="R67" s="3">
        <f t="shared" si="38"/>
        <v>0</v>
      </c>
      <c r="S67" s="3">
        <f t="shared" si="38"/>
        <v>0</v>
      </c>
      <c r="T67" s="3">
        <f t="shared" si="38"/>
        <v>0</v>
      </c>
      <c r="U67" s="3">
        <f t="shared" si="38"/>
        <v>0</v>
      </c>
      <c r="V67" s="3">
        <f t="shared" si="38"/>
        <v>0</v>
      </c>
      <c r="W67" s="3">
        <f t="shared" si="38"/>
        <v>0</v>
      </c>
      <c r="X67" s="3">
        <f t="shared" si="38"/>
        <v>0</v>
      </c>
      <c r="Y67" s="3">
        <f t="shared" si="38"/>
        <v>0</v>
      </c>
      <c r="Z67" s="3">
        <f t="shared" si="38"/>
        <v>0</v>
      </c>
      <c r="AA67" s="3">
        <f t="shared" si="38"/>
        <v>0</v>
      </c>
      <c r="AB67" s="3">
        <f t="shared" si="38"/>
        <v>0</v>
      </c>
      <c r="AC67" s="3">
        <f t="shared" si="38"/>
        <v>0</v>
      </c>
      <c r="AD67" s="3">
        <f t="shared" si="38"/>
        <v>0</v>
      </c>
      <c r="AE67" s="3">
        <f t="shared" si="38"/>
        <v>0</v>
      </c>
      <c r="AF67" s="3">
        <f t="shared" si="38"/>
        <v>0</v>
      </c>
      <c r="AG67" s="3">
        <f t="shared" si="38"/>
        <v>0</v>
      </c>
      <c r="AH67" s="3">
        <f t="shared" si="38"/>
        <v>0</v>
      </c>
      <c r="AI67" s="3">
        <f t="shared" si="38"/>
        <v>0</v>
      </c>
      <c r="AJ67" s="3">
        <f t="shared" si="38"/>
        <v>0</v>
      </c>
      <c r="AK67" s="3">
        <f t="shared" si="38"/>
        <v>0</v>
      </c>
      <c r="AL67" s="3">
        <f t="shared" si="38"/>
        <v>0</v>
      </c>
      <c r="AM67" s="3">
        <f t="shared" si="38"/>
        <v>0</v>
      </c>
      <c r="AN67" s="3">
        <f t="shared" si="38"/>
        <v>0</v>
      </c>
      <c r="AO67" s="3">
        <f t="shared" si="38"/>
        <v>0</v>
      </c>
      <c r="AP67" s="3">
        <f t="shared" si="38"/>
        <v>0</v>
      </c>
      <c r="AQ67" s="3">
        <f t="shared" si="38"/>
        <v>0</v>
      </c>
      <c r="AR67" s="3">
        <f t="shared" si="38"/>
        <v>0</v>
      </c>
      <c r="AS67" s="3">
        <f t="shared" si="38"/>
        <v>0</v>
      </c>
      <c r="AT67" s="3">
        <f t="shared" si="38"/>
        <v>0</v>
      </c>
      <c r="AU67" s="3">
        <f t="shared" si="38"/>
        <v>0</v>
      </c>
      <c r="AV67" s="3">
        <f t="shared" si="38"/>
        <v>0</v>
      </c>
      <c r="AW67" s="3">
        <f t="shared" si="38"/>
        <v>0</v>
      </c>
      <c r="AX67" s="3">
        <f t="shared" si="38"/>
        <v>0</v>
      </c>
      <c r="AY67" s="3">
        <f t="shared" si="38"/>
        <v>0</v>
      </c>
      <c r="AZ67" s="3">
        <f t="shared" si="38"/>
        <v>0</v>
      </c>
      <c r="BA67" s="3">
        <f t="shared" si="38"/>
        <v>0</v>
      </c>
      <c r="BB67" s="3">
        <f t="shared" si="38"/>
        <v>0</v>
      </c>
      <c r="BC67" s="3">
        <f t="shared" si="38"/>
        <v>0</v>
      </c>
      <c r="BD67" s="3">
        <f t="shared" si="38"/>
        <v>0</v>
      </c>
      <c r="BE67" s="3">
        <f t="shared" si="38"/>
        <v>0</v>
      </c>
      <c r="BF67" s="3">
        <f t="shared" si="38"/>
        <v>0</v>
      </c>
      <c r="BG67" s="3">
        <f t="shared" si="38"/>
        <v>0</v>
      </c>
      <c r="BH67" s="3">
        <f t="shared" si="38"/>
        <v>0</v>
      </c>
      <c r="BI67" s="3">
        <f t="shared" si="38"/>
        <v>0</v>
      </c>
      <c r="BJ67" s="3">
        <f t="shared" si="38"/>
        <v>0</v>
      </c>
      <c r="BK67" s="3">
        <f t="shared" si="38"/>
        <v>0</v>
      </c>
      <c r="BL67" s="3">
        <f t="shared" si="38"/>
        <v>0</v>
      </c>
      <c r="BM67" s="3">
        <f t="shared" si="38"/>
        <v>0</v>
      </c>
      <c r="BN67" s="3">
        <f t="shared" si="38"/>
        <v>0</v>
      </c>
      <c r="BO67" s="3">
        <f t="shared" si="38"/>
        <v>0</v>
      </c>
      <c r="BP67" s="3">
        <f t="shared" si="38"/>
        <v>0</v>
      </c>
      <c r="BQ67" s="3">
        <f t="shared" si="38"/>
        <v>0</v>
      </c>
      <c r="BR67" s="3">
        <f t="shared" si="38"/>
        <v>0</v>
      </c>
      <c r="BS67" s="3">
        <f>CA311</f>
        <v>0</v>
      </c>
      <c r="BT67" s="3">
        <f>CB311</f>
        <v>0</v>
      </c>
      <c r="BU67" s="3">
        <f>CC311</f>
        <v>0</v>
      </c>
      <c r="BV67" s="3">
        <f>CD311</f>
        <v>0</v>
      </c>
      <c r="BW67" s="3">
        <f>CE311</f>
        <v>0</v>
      </c>
      <c r="BX67" s="3">
        <f>CF311</f>
        <v>0</v>
      </c>
      <c r="BY67" s="3">
        <f>CG311</f>
        <v>0</v>
      </c>
      <c r="BZ67" s="3">
        <f>CH311</f>
        <v>0</v>
      </c>
      <c r="CA67" s="3">
        <f>CI311</f>
        <v>0</v>
      </c>
      <c r="CB67" s="3">
        <f>CJ311</f>
        <v>0</v>
      </c>
      <c r="CC67" s="3">
        <f>CK311</f>
        <v>0</v>
      </c>
      <c r="CD67" s="3">
        <f>CL311</f>
        <v>0</v>
      </c>
    </row>
    <row r="68" spans="3:82" s="3" customFormat="1" x14ac:dyDescent="0.2">
      <c r="D68" s="3" t="s">
        <v>34</v>
      </c>
      <c r="F68" s="3" t="s">
        <v>7</v>
      </c>
      <c r="G68" s="3">
        <f>O312</f>
        <v>0</v>
      </c>
      <c r="H68" s="3">
        <f>P312</f>
        <v>0</v>
      </c>
      <c r="I68" s="3">
        <f>Q312</f>
        <v>0</v>
      </c>
      <c r="J68" s="3">
        <f>R312</f>
        <v>0</v>
      </c>
      <c r="K68" s="3">
        <f>S312</f>
        <v>0</v>
      </c>
      <c r="L68" s="3">
        <f>T312</f>
        <v>0</v>
      </c>
      <c r="M68" s="3">
        <f>U312</f>
        <v>0</v>
      </c>
      <c r="N68" s="3">
        <f>V312</f>
        <v>0</v>
      </c>
      <c r="O68" s="3">
        <f>W312</f>
        <v>0</v>
      </c>
      <c r="P68" s="3">
        <f>X312</f>
        <v>0</v>
      </c>
      <c r="Q68" s="3">
        <f>Y312</f>
        <v>0</v>
      </c>
      <c r="R68" s="3">
        <f>Z312</f>
        <v>0</v>
      </c>
      <c r="S68" s="3">
        <f>AA312</f>
        <v>0</v>
      </c>
      <c r="T68" s="3">
        <f>AB312</f>
        <v>0</v>
      </c>
      <c r="U68" s="3">
        <f>AC312</f>
        <v>0</v>
      </c>
      <c r="V68" s="3">
        <f>AD312</f>
        <v>0</v>
      </c>
      <c r="W68" s="3">
        <f>AE312</f>
        <v>0</v>
      </c>
      <c r="X68" s="3">
        <f>AF312</f>
        <v>0</v>
      </c>
      <c r="Y68" s="3">
        <f>AG312</f>
        <v>0</v>
      </c>
      <c r="Z68" s="3">
        <f>AH312</f>
        <v>0</v>
      </c>
      <c r="AA68" s="3">
        <f>AI312</f>
        <v>0</v>
      </c>
      <c r="AB68" s="3">
        <f>AJ312</f>
        <v>0</v>
      </c>
      <c r="AC68" s="3">
        <f>AK312</f>
        <v>0</v>
      </c>
      <c r="AD68" s="3">
        <f>AL312</f>
        <v>0</v>
      </c>
      <c r="AE68" s="3">
        <f>AM312</f>
        <v>0</v>
      </c>
      <c r="AF68" s="3">
        <f>AN312</f>
        <v>0</v>
      </c>
      <c r="AG68" s="3">
        <f>AO312</f>
        <v>0</v>
      </c>
      <c r="AH68" s="3">
        <f>AP312</f>
        <v>0</v>
      </c>
      <c r="AI68" s="3">
        <f>AQ312</f>
        <v>0</v>
      </c>
      <c r="AJ68" s="3">
        <f>AR312</f>
        <v>0</v>
      </c>
      <c r="AK68" s="3">
        <f>AS312</f>
        <v>0</v>
      </c>
      <c r="AL68" s="3">
        <f>AT312</f>
        <v>0</v>
      </c>
      <c r="AM68" s="3">
        <f>AU312</f>
        <v>0</v>
      </c>
      <c r="AN68" s="3">
        <f>AV312</f>
        <v>0</v>
      </c>
      <c r="AO68" s="3">
        <f>AW312</f>
        <v>0</v>
      </c>
      <c r="AP68" s="3">
        <f>AX312</f>
        <v>0</v>
      </c>
      <c r="AQ68" s="3">
        <f>AY312</f>
        <v>0</v>
      </c>
      <c r="AR68" s="3">
        <f>AZ312</f>
        <v>0</v>
      </c>
      <c r="AS68" s="3">
        <f>BA312</f>
        <v>0</v>
      </c>
      <c r="AT68" s="3">
        <f>BB312</f>
        <v>0</v>
      </c>
      <c r="AU68" s="3">
        <f>BC312</f>
        <v>0</v>
      </c>
      <c r="AV68" s="3">
        <f>BD312</f>
        <v>0</v>
      </c>
      <c r="AW68" s="3">
        <f>BE312</f>
        <v>0</v>
      </c>
      <c r="AX68" s="3">
        <f>BF312</f>
        <v>0</v>
      </c>
      <c r="AY68" s="3">
        <f>BG312</f>
        <v>0</v>
      </c>
      <c r="AZ68" s="3">
        <f>BH312</f>
        <v>0</v>
      </c>
      <c r="BA68" s="3">
        <f>BI312</f>
        <v>0</v>
      </c>
      <c r="BB68" s="3">
        <f>BJ312</f>
        <v>0</v>
      </c>
      <c r="BC68" s="3">
        <f>BK312</f>
        <v>0</v>
      </c>
      <c r="BD68" s="3">
        <f>BL312</f>
        <v>0</v>
      </c>
      <c r="BE68" s="3">
        <f>BM312</f>
        <v>0</v>
      </c>
      <c r="BF68" s="3">
        <f>BN312</f>
        <v>0</v>
      </c>
      <c r="BG68" s="3">
        <f>BO312</f>
        <v>0</v>
      </c>
      <c r="BH68" s="3">
        <f>BP312</f>
        <v>0</v>
      </c>
      <c r="BI68" s="3">
        <f>BQ312</f>
        <v>0</v>
      </c>
      <c r="BJ68" s="3">
        <f>BR312</f>
        <v>0</v>
      </c>
      <c r="BK68" s="3">
        <f>BS312</f>
        <v>0</v>
      </c>
      <c r="BL68" s="3">
        <f>BT312</f>
        <v>0</v>
      </c>
      <c r="BM68" s="3">
        <f>BU312</f>
        <v>0</v>
      </c>
      <c r="BN68" s="3">
        <f>BV312</f>
        <v>0</v>
      </c>
      <c r="BO68" s="3">
        <f>BW312</f>
        <v>0</v>
      </c>
      <c r="BP68" s="3">
        <f>BX312</f>
        <v>0</v>
      </c>
      <c r="BQ68" s="3">
        <f>BY312</f>
        <v>0</v>
      </c>
      <c r="BR68" s="3">
        <f>BZ312</f>
        <v>0</v>
      </c>
      <c r="BS68" s="3">
        <f>CA312</f>
        <v>0</v>
      </c>
      <c r="BT68" s="3">
        <f>CB312</f>
        <v>0</v>
      </c>
      <c r="BU68" s="3">
        <f>CC312</f>
        <v>0</v>
      </c>
      <c r="BV68" s="3">
        <f>CD312</f>
        <v>0</v>
      </c>
      <c r="BW68" s="3">
        <f>CE312</f>
        <v>0</v>
      </c>
      <c r="BX68" s="3">
        <f>CF312</f>
        <v>0</v>
      </c>
      <c r="BY68" s="3">
        <f>CG312</f>
        <v>0</v>
      </c>
      <c r="BZ68" s="3">
        <f>CH312</f>
        <v>0</v>
      </c>
      <c r="CA68" s="3">
        <f>CI312</f>
        <v>0</v>
      </c>
      <c r="CB68" s="3">
        <f>CJ312</f>
        <v>0</v>
      </c>
      <c r="CC68" s="3">
        <f>CK312</f>
        <v>0</v>
      </c>
      <c r="CD68" s="3">
        <f>CL312</f>
        <v>0</v>
      </c>
    </row>
    <row r="69" spans="3:82" s="3" customFormat="1" x14ac:dyDescent="0.2">
      <c r="D69" s="3" t="s">
        <v>34</v>
      </c>
      <c r="F69" s="3" t="s">
        <v>8</v>
      </c>
      <c r="G69" s="3">
        <f>O313</f>
        <v>0</v>
      </c>
      <c r="H69" s="3">
        <f>P313</f>
        <v>0</v>
      </c>
      <c r="I69" s="3">
        <f>Q313</f>
        <v>0</v>
      </c>
      <c r="J69" s="3">
        <f>R313</f>
        <v>0</v>
      </c>
      <c r="K69" s="3">
        <f>S313</f>
        <v>0</v>
      </c>
      <c r="L69" s="3">
        <f>T313</f>
        <v>0</v>
      </c>
      <c r="M69" s="3">
        <f>U313</f>
        <v>0</v>
      </c>
      <c r="N69" s="3">
        <f>V313</f>
        <v>0</v>
      </c>
      <c r="O69" s="3">
        <f>W313</f>
        <v>0</v>
      </c>
      <c r="P69" s="3">
        <f>X313</f>
        <v>0</v>
      </c>
      <c r="Q69" s="3">
        <f>Y313</f>
        <v>0</v>
      </c>
      <c r="R69" s="3">
        <f>Z313</f>
        <v>0</v>
      </c>
      <c r="S69" s="3">
        <f>AA313</f>
        <v>0</v>
      </c>
      <c r="T69" s="3">
        <f>AB313</f>
        <v>0</v>
      </c>
      <c r="U69" s="3">
        <f>AC313</f>
        <v>0</v>
      </c>
      <c r="V69" s="3">
        <f>AD313</f>
        <v>0</v>
      </c>
      <c r="W69" s="3">
        <f>AE313</f>
        <v>0</v>
      </c>
      <c r="X69" s="3">
        <f>AF313</f>
        <v>0</v>
      </c>
      <c r="Y69" s="3">
        <f>AG313</f>
        <v>0</v>
      </c>
      <c r="Z69" s="3">
        <f>AH313</f>
        <v>0</v>
      </c>
      <c r="AA69" s="3">
        <f>AI313</f>
        <v>0</v>
      </c>
      <c r="AB69" s="3">
        <f>AJ313</f>
        <v>0</v>
      </c>
      <c r="AC69" s="3">
        <f>AK313</f>
        <v>0</v>
      </c>
      <c r="AD69" s="3">
        <f>AL313</f>
        <v>0</v>
      </c>
      <c r="AE69" s="3">
        <f>AM313</f>
        <v>0</v>
      </c>
      <c r="AF69" s="3">
        <f>AN313</f>
        <v>0</v>
      </c>
      <c r="AG69" s="3">
        <f>AO313</f>
        <v>0</v>
      </c>
      <c r="AH69" s="3">
        <f>AP313</f>
        <v>0</v>
      </c>
      <c r="AI69" s="3">
        <f>AQ313</f>
        <v>0</v>
      </c>
      <c r="AJ69" s="3">
        <f>AR313</f>
        <v>0</v>
      </c>
      <c r="AK69" s="3">
        <f>AS313</f>
        <v>0</v>
      </c>
      <c r="AL69" s="3">
        <f>AT313</f>
        <v>0</v>
      </c>
      <c r="AM69" s="3">
        <f>AU313</f>
        <v>0</v>
      </c>
      <c r="AN69" s="3">
        <f>AV313</f>
        <v>0</v>
      </c>
      <c r="AO69" s="3">
        <f>AW313</f>
        <v>0</v>
      </c>
      <c r="AP69" s="3">
        <f>AX313</f>
        <v>0</v>
      </c>
      <c r="AQ69" s="3">
        <f>AY313</f>
        <v>0</v>
      </c>
      <c r="AR69" s="3">
        <f>AZ313</f>
        <v>0</v>
      </c>
      <c r="AS69" s="3">
        <f>BA313</f>
        <v>0</v>
      </c>
      <c r="AT69" s="3">
        <f>BB313</f>
        <v>0</v>
      </c>
      <c r="AU69" s="3">
        <f>BC313</f>
        <v>0</v>
      </c>
      <c r="AV69" s="3">
        <f>BD313</f>
        <v>0</v>
      </c>
      <c r="AW69" s="3">
        <f>BE313</f>
        <v>0</v>
      </c>
      <c r="AX69" s="3">
        <f>BF313</f>
        <v>0</v>
      </c>
      <c r="AY69" s="3">
        <f>BG313</f>
        <v>0</v>
      </c>
      <c r="AZ69" s="3">
        <f>BH313</f>
        <v>0</v>
      </c>
      <c r="BA69" s="3">
        <f>BI313</f>
        <v>0</v>
      </c>
      <c r="BB69" s="3">
        <f>BJ313</f>
        <v>0</v>
      </c>
      <c r="BC69" s="3">
        <f>BK313</f>
        <v>0</v>
      </c>
      <c r="BD69" s="3">
        <f>BL313</f>
        <v>0</v>
      </c>
      <c r="BE69" s="3">
        <f>BM313</f>
        <v>0</v>
      </c>
      <c r="BF69" s="3">
        <f>BN313</f>
        <v>0</v>
      </c>
      <c r="BG69" s="3">
        <f>BO313</f>
        <v>0</v>
      </c>
      <c r="BH69" s="3">
        <f>BP313</f>
        <v>0</v>
      </c>
      <c r="BI69" s="3">
        <f>BQ313</f>
        <v>0</v>
      </c>
      <c r="BJ69" s="3">
        <f>BR313</f>
        <v>0</v>
      </c>
      <c r="BK69" s="3">
        <f>BS313</f>
        <v>0</v>
      </c>
      <c r="BL69" s="3">
        <f>BT313</f>
        <v>0</v>
      </c>
      <c r="BM69" s="3">
        <f>BU313</f>
        <v>0</v>
      </c>
      <c r="BN69" s="3">
        <f>BV313</f>
        <v>0</v>
      </c>
      <c r="BO69" s="3">
        <f>BW313</f>
        <v>0</v>
      </c>
      <c r="BP69" s="3">
        <f>BX313</f>
        <v>0</v>
      </c>
      <c r="BQ69" s="3">
        <f>BY313</f>
        <v>0</v>
      </c>
      <c r="BR69" s="3">
        <f>BZ313</f>
        <v>0</v>
      </c>
      <c r="BS69" s="3">
        <f>CA313</f>
        <v>0</v>
      </c>
      <c r="BT69" s="3">
        <f>CB313</f>
        <v>0</v>
      </c>
      <c r="BU69" s="3">
        <f>CC313</f>
        <v>0</v>
      </c>
      <c r="BV69" s="3">
        <f>CD313</f>
        <v>0</v>
      </c>
      <c r="BW69" s="3">
        <f>CE313</f>
        <v>0</v>
      </c>
      <c r="BX69" s="3">
        <f>CF313</f>
        <v>0</v>
      </c>
      <c r="BY69" s="3">
        <f>CG313</f>
        <v>0</v>
      </c>
      <c r="BZ69" s="3">
        <f>CH313</f>
        <v>0</v>
      </c>
      <c r="CA69" s="3">
        <f>CI313</f>
        <v>0</v>
      </c>
      <c r="CB69" s="3">
        <f>CJ313</f>
        <v>0</v>
      </c>
      <c r="CC69" s="3">
        <f>CK313</f>
        <v>0</v>
      </c>
      <c r="CD69" s="3">
        <f>CL313</f>
        <v>0</v>
      </c>
    </row>
    <row r="70" spans="3:82" s="4" customFormat="1" x14ac:dyDescent="0.2">
      <c r="C70" s="4" t="s">
        <v>35</v>
      </c>
      <c r="G70" s="4">
        <f>SUM(G71:G79)</f>
        <v>2120.7742000000003</v>
      </c>
      <c r="H70" s="4">
        <f t="shared" ref="H70:BS70" si="39">SUM(H71:H79)</f>
        <v>2120.7742000000003</v>
      </c>
      <c r="I70" s="4">
        <f t="shared" si="39"/>
        <v>2266.7864</v>
      </c>
      <c r="J70" s="4">
        <f t="shared" si="39"/>
        <v>2368.7652000000003</v>
      </c>
      <c r="K70" s="4">
        <f t="shared" si="39"/>
        <v>2357.2707</v>
      </c>
      <c r="L70" s="4">
        <f t="shared" si="39"/>
        <v>2510.4497999999999</v>
      </c>
      <c r="M70" s="4">
        <f t="shared" si="39"/>
        <v>2718.2145</v>
      </c>
      <c r="N70" s="4">
        <f t="shared" si="39"/>
        <v>2969.1118999999999</v>
      </c>
      <c r="O70" s="4">
        <f t="shared" si="39"/>
        <v>2967.6062999999999</v>
      </c>
      <c r="P70" s="4">
        <f t="shared" si="39"/>
        <v>2980.6027999999997</v>
      </c>
      <c r="Q70" s="4">
        <f t="shared" si="39"/>
        <v>3074.8195000000001</v>
      </c>
      <c r="R70" s="4">
        <f t="shared" si="39"/>
        <v>3180.3850000000007</v>
      </c>
      <c r="S70" s="4">
        <f t="shared" si="39"/>
        <v>3298.6086</v>
      </c>
      <c r="T70" s="4">
        <f t="shared" si="39"/>
        <v>3538.9854999999998</v>
      </c>
      <c r="U70" s="4">
        <f t="shared" si="39"/>
        <v>3628.3495000000003</v>
      </c>
      <c r="V70" s="4">
        <f t="shared" si="39"/>
        <v>3720.4114000000004</v>
      </c>
      <c r="W70" s="4">
        <f t="shared" si="39"/>
        <v>3862.8874000000001</v>
      </c>
      <c r="X70" s="4">
        <f t="shared" si="39"/>
        <v>3943.2185000000004</v>
      </c>
      <c r="Y70" s="4">
        <f t="shared" si="39"/>
        <v>3504.1935000000003</v>
      </c>
      <c r="Z70" s="4">
        <f t="shared" si="39"/>
        <v>3745.4776999999995</v>
      </c>
      <c r="AA70" s="4">
        <f t="shared" si="39"/>
        <v>4134.6539000000012</v>
      </c>
      <c r="AB70" s="4">
        <f t="shared" si="39"/>
        <v>3865.3852000000002</v>
      </c>
      <c r="AC70" s="4">
        <f t="shared" si="39"/>
        <v>4014.7552999999998</v>
      </c>
      <c r="AD70" s="4">
        <f t="shared" si="39"/>
        <v>4343.6018000000004</v>
      </c>
      <c r="AE70" s="4">
        <f t="shared" si="39"/>
        <v>4576.8445999999994</v>
      </c>
      <c r="AF70" s="4">
        <f t="shared" si="39"/>
        <v>5931.7827908600084</v>
      </c>
      <c r="AG70" s="4">
        <f t="shared" si="39"/>
        <v>6139.948329136635</v>
      </c>
      <c r="AH70" s="4">
        <f t="shared" si="39"/>
        <v>6348.6035682774818</v>
      </c>
      <c r="AI70" s="4">
        <f t="shared" si="39"/>
        <v>6582.978319739479</v>
      </c>
      <c r="AJ70" s="4">
        <f t="shared" si="39"/>
        <v>6871.7405668115516</v>
      </c>
      <c r="AK70" s="4">
        <f t="shared" si="39"/>
        <v>7192.0818632191376</v>
      </c>
      <c r="AL70" s="4">
        <f t="shared" si="39"/>
        <v>7556.9267413010884</v>
      </c>
      <c r="AM70" s="4">
        <f t="shared" si="39"/>
        <v>8090.3931848340944</v>
      </c>
      <c r="AN70" s="4">
        <f t="shared" si="39"/>
        <v>8742.3592158846477</v>
      </c>
      <c r="AO70" s="4">
        <f t="shared" si="39"/>
        <v>9543.790462237459</v>
      </c>
      <c r="AP70" s="4">
        <f t="shared" si="39"/>
        <v>10512.466828212626</v>
      </c>
      <c r="AQ70" s="4">
        <f t="shared" si="39"/>
        <v>11616.360353481236</v>
      </c>
      <c r="AR70" s="4">
        <f t="shared" si="39"/>
        <v>13000.128382434732</v>
      </c>
      <c r="AS70" s="4">
        <f t="shared" si="39"/>
        <v>14727.849628571905</v>
      </c>
      <c r="AT70" s="4">
        <f t="shared" si="39"/>
        <v>16839.902034906467</v>
      </c>
      <c r="AU70" s="4">
        <f t="shared" si="39"/>
        <v>19327.528389598905</v>
      </c>
      <c r="AV70" s="4">
        <f t="shared" si="39"/>
        <v>22119.605979754466</v>
      </c>
      <c r="AW70" s="4">
        <f t="shared" si="39"/>
        <v>25098.152281252907</v>
      </c>
      <c r="AX70" s="4">
        <f t="shared" si="39"/>
        <v>28138.00704816532</v>
      </c>
      <c r="AY70" s="4">
        <f t="shared" si="39"/>
        <v>31146.304921825904</v>
      </c>
      <c r="AZ70" s="4">
        <f t="shared" si="39"/>
        <v>33973.595272507766</v>
      </c>
      <c r="BA70" s="4">
        <f t="shared" si="39"/>
        <v>36589.373765210941</v>
      </c>
      <c r="BB70" s="4">
        <f t="shared" si="39"/>
        <v>38968.12065607703</v>
      </c>
      <c r="BC70" s="4">
        <f t="shared" si="39"/>
        <v>41143.119470149228</v>
      </c>
      <c r="BD70" s="4">
        <f t="shared" si="39"/>
        <v>43125.553408560285</v>
      </c>
      <c r="BE70" s="4">
        <f t="shared" si="39"/>
        <v>44921.250908064147</v>
      </c>
      <c r="BF70" s="4">
        <f t="shared" si="39"/>
        <v>46384.06813865999</v>
      </c>
      <c r="BG70" s="4">
        <f t="shared" si="39"/>
        <v>47836.473241737702</v>
      </c>
      <c r="BH70" s="4">
        <f t="shared" si="39"/>
        <v>49272.990112487772</v>
      </c>
      <c r="BI70" s="4">
        <f t="shared" si="39"/>
        <v>50686.978260740383</v>
      </c>
      <c r="BJ70" s="4">
        <f t="shared" si="39"/>
        <v>52073.216283952839</v>
      </c>
      <c r="BK70" s="4">
        <f t="shared" si="39"/>
        <v>53427.235081463637</v>
      </c>
      <c r="BL70" s="4">
        <f t="shared" si="39"/>
        <v>54744.416174157988</v>
      </c>
      <c r="BM70" s="4">
        <f t="shared" si="39"/>
        <v>56020.02722388025</v>
      </c>
      <c r="BN70" s="4">
        <f t="shared" si="39"/>
        <v>57248.058812486786</v>
      </c>
      <c r="BO70" s="4">
        <f t="shared" si="39"/>
        <v>58422.959112850294</v>
      </c>
      <c r="BP70" s="4">
        <f t="shared" si="39"/>
        <v>59540.399684265823</v>
      </c>
      <c r="BQ70" s="4">
        <f t="shared" si="39"/>
        <v>60674.445077346027</v>
      </c>
      <c r="BR70" s="4">
        <f t="shared" si="39"/>
        <v>61825.456215403996</v>
      </c>
      <c r="BS70" s="4">
        <f t="shared" si="39"/>
        <v>62992.90825178074</v>
      </c>
      <c r="BT70" s="4">
        <f t="shared" ref="BT70:CD70" si="40">SUM(BT71:BT79)</f>
        <v>64176.065548997205</v>
      </c>
      <c r="BU70" s="4">
        <f t="shared" si="40"/>
        <v>65376.999305990605</v>
      </c>
      <c r="BV70" s="4">
        <f t="shared" si="40"/>
        <v>66596.442459156751</v>
      </c>
      <c r="BW70" s="4">
        <f t="shared" si="40"/>
        <v>67832.563836950445</v>
      </c>
      <c r="BX70" s="4">
        <f t="shared" si="40"/>
        <v>69086.307230242775</v>
      </c>
      <c r="BY70" s="4">
        <f t="shared" si="40"/>
        <v>70357.513865348927</v>
      </c>
      <c r="BZ70" s="4">
        <f t="shared" si="40"/>
        <v>71646.573967829405</v>
      </c>
      <c r="CA70" s="4">
        <f t="shared" si="40"/>
        <v>72954.306384141659</v>
      </c>
      <c r="CB70" s="4">
        <f t="shared" si="40"/>
        <v>74280.545965343437</v>
      </c>
      <c r="CC70" s="4">
        <f t="shared" si="40"/>
        <v>75625.689864114946</v>
      </c>
      <c r="CD70" s="4">
        <f t="shared" si="40"/>
        <v>76991.49620991874</v>
      </c>
    </row>
    <row r="71" spans="3:82" s="3" customFormat="1" x14ac:dyDescent="0.2">
      <c r="D71" s="3" t="s">
        <v>36</v>
      </c>
      <c r="F71" s="3" t="s">
        <v>6</v>
      </c>
      <c r="G71" s="3">
        <f>O314</f>
        <v>252.94139999999999</v>
      </c>
      <c r="H71" s="3">
        <f t="shared" ref="H71:BS72" si="41">P314</f>
        <v>252.94139999999999</v>
      </c>
      <c r="I71" s="3">
        <f t="shared" si="41"/>
        <v>273.42</v>
      </c>
      <c r="J71" s="3">
        <f t="shared" si="41"/>
        <v>283.91039999999998</v>
      </c>
      <c r="K71" s="3">
        <f t="shared" si="41"/>
        <v>198.4248</v>
      </c>
      <c r="L71" s="3">
        <f t="shared" si="41"/>
        <v>329.63850000000002</v>
      </c>
      <c r="M71" s="3">
        <f t="shared" si="41"/>
        <v>379.9701</v>
      </c>
      <c r="N71" s="3">
        <f t="shared" si="41"/>
        <v>415.87740000000002</v>
      </c>
      <c r="O71" s="3">
        <f t="shared" si="41"/>
        <v>415.87740000000002</v>
      </c>
      <c r="P71" s="3">
        <f t="shared" si="41"/>
        <v>401.39729999999997</v>
      </c>
      <c r="Q71" s="3">
        <f t="shared" si="41"/>
        <v>421.37369999999999</v>
      </c>
      <c r="R71" s="3">
        <f t="shared" si="41"/>
        <v>420.73200000000003</v>
      </c>
      <c r="S71" s="3">
        <f t="shared" si="41"/>
        <v>461.07539999999989</v>
      </c>
      <c r="T71" s="3">
        <f t="shared" si="41"/>
        <v>481.13549999999998</v>
      </c>
      <c r="U71" s="3">
        <f t="shared" si="41"/>
        <v>501.02819999999991</v>
      </c>
      <c r="V71" s="3">
        <f t="shared" si="41"/>
        <v>520.72559999999999</v>
      </c>
      <c r="W71" s="3">
        <f t="shared" si="41"/>
        <v>518.1309</v>
      </c>
      <c r="X71" s="3">
        <f t="shared" si="41"/>
        <v>515.45249999999999</v>
      </c>
      <c r="Y71" s="3">
        <f t="shared" si="41"/>
        <v>279.30689999999998</v>
      </c>
      <c r="Z71" s="3">
        <f t="shared" si="41"/>
        <v>129.40020000000001</v>
      </c>
      <c r="AA71" s="3">
        <f t="shared" si="41"/>
        <v>120.69540000000001</v>
      </c>
      <c r="AB71" s="3">
        <f t="shared" si="41"/>
        <v>0.4743</v>
      </c>
      <c r="AC71" s="3">
        <f t="shared" si="41"/>
        <v>115.3107</v>
      </c>
      <c r="AD71" s="3">
        <f t="shared" si="41"/>
        <v>327.18329999999997</v>
      </c>
      <c r="AE71" s="3">
        <f t="shared" si="41"/>
        <v>362.9511</v>
      </c>
      <c r="AF71" s="3">
        <f t="shared" si="41"/>
        <v>1504.67938428345</v>
      </c>
      <c r="AG71" s="3">
        <f t="shared" si="41"/>
        <v>1505.32405436098</v>
      </c>
      <c r="AH71" s="3">
        <f t="shared" si="41"/>
        <v>1575.3487155048699</v>
      </c>
      <c r="AI71" s="3">
        <f t="shared" si="41"/>
        <v>1661.08477718626</v>
      </c>
      <c r="AJ71" s="3">
        <f t="shared" si="41"/>
        <v>1764.62612195724</v>
      </c>
      <c r="AK71" s="3">
        <f t="shared" si="41"/>
        <v>1883.8215199251399</v>
      </c>
      <c r="AL71" s="3">
        <f t="shared" si="41"/>
        <v>2025.8300978269699</v>
      </c>
      <c r="AM71" s="3">
        <f t="shared" si="41"/>
        <v>2193.7531328557002</v>
      </c>
      <c r="AN71" s="3">
        <f t="shared" si="41"/>
        <v>2381.7280147598899</v>
      </c>
      <c r="AO71" s="3">
        <f t="shared" si="41"/>
        <v>2580.5808952713701</v>
      </c>
      <c r="AP71" s="3">
        <f t="shared" si="41"/>
        <v>2761.6868257779101</v>
      </c>
      <c r="AQ71" s="3">
        <f t="shared" si="41"/>
        <v>2862.4733502609502</v>
      </c>
      <c r="AR71" s="3">
        <f t="shared" si="41"/>
        <v>2905.6839201562598</v>
      </c>
      <c r="AS71" s="3">
        <f t="shared" si="41"/>
        <v>2869.1876979814101</v>
      </c>
      <c r="AT71" s="3">
        <f t="shared" si="41"/>
        <v>2736.39192107499</v>
      </c>
      <c r="AU71" s="3">
        <f t="shared" si="41"/>
        <v>2505.0134160129601</v>
      </c>
      <c r="AV71" s="3">
        <f t="shared" si="41"/>
        <v>2192.73773142852</v>
      </c>
      <c r="AW71" s="3">
        <f t="shared" si="41"/>
        <v>1834.50826868779</v>
      </c>
      <c r="AX71" s="3">
        <f t="shared" si="41"/>
        <v>1471.17045279536</v>
      </c>
      <c r="AY71" s="3">
        <f t="shared" si="41"/>
        <v>1136.55314061427</v>
      </c>
      <c r="AZ71" s="3">
        <f t="shared" si="41"/>
        <v>846.09949507415206</v>
      </c>
      <c r="BA71" s="3">
        <f t="shared" si="41"/>
        <v>609.42324610609205</v>
      </c>
      <c r="BB71" s="3">
        <f t="shared" si="41"/>
        <v>425.31356751366201</v>
      </c>
      <c r="BC71" s="3">
        <f t="shared" si="41"/>
        <v>286.76189148232203</v>
      </c>
      <c r="BD71" s="3">
        <f t="shared" si="41"/>
        <v>184.974768641194</v>
      </c>
      <c r="BE71" s="3">
        <f t="shared" si="41"/>
        <v>111.49148756178499</v>
      </c>
      <c r="BF71" s="3">
        <f t="shared" si="41"/>
        <v>115.923777168283</v>
      </c>
      <c r="BG71" s="3">
        <f t="shared" si="41"/>
        <v>120.304031747482</v>
      </c>
      <c r="BH71" s="3">
        <f t="shared" si="41"/>
        <v>124.613094636835</v>
      </c>
      <c r="BI71" s="3">
        <f t="shared" si="41"/>
        <v>128.83182988611401</v>
      </c>
      <c r="BJ71" s="3">
        <f t="shared" si="41"/>
        <v>132.94042870674701</v>
      </c>
      <c r="BK71" s="3">
        <f t="shared" si="41"/>
        <v>136.918756468689</v>
      </c>
      <c r="BL71" s="3">
        <f t="shared" si="41"/>
        <v>140.74684420904001</v>
      </c>
      <c r="BM71" s="3">
        <f t="shared" si="41"/>
        <v>144.40504738476599</v>
      </c>
      <c r="BN71" s="3">
        <f t="shared" si="41"/>
        <v>147.87462822811699</v>
      </c>
      <c r="BO71" s="3">
        <f t="shared" si="41"/>
        <v>151.13732086114001</v>
      </c>
      <c r="BP71" s="3">
        <f t="shared" si="41"/>
        <v>154.17523210924301</v>
      </c>
      <c r="BQ71" s="3">
        <f t="shared" si="41"/>
        <v>157.27591572308401</v>
      </c>
      <c r="BR71" s="3">
        <f t="shared" si="41"/>
        <v>160.440662993822</v>
      </c>
      <c r="BS71" s="3">
        <f t="shared" si="41"/>
        <v>163.67109753907101</v>
      </c>
      <c r="BT71" s="3">
        <f t="shared" ref="BT71:CD71" si="42">CB314</f>
        <v>166.96894093576401</v>
      </c>
      <c r="BU71" s="3">
        <f t="shared" si="42"/>
        <v>170.334943801408</v>
      </c>
      <c r="BV71" s="3">
        <f t="shared" si="42"/>
        <v>173.77035766353799</v>
      </c>
      <c r="BW71" s="3">
        <f t="shared" si="42"/>
        <v>177.27737670842501</v>
      </c>
      <c r="BX71" s="3">
        <f t="shared" si="42"/>
        <v>180.85724642876201</v>
      </c>
      <c r="BY71" s="3">
        <f t="shared" si="42"/>
        <v>184.51164256600401</v>
      </c>
      <c r="BZ71" s="3">
        <f t="shared" si="42"/>
        <v>188.24207477482599</v>
      </c>
      <c r="CA71" s="3">
        <f t="shared" si="42"/>
        <v>192.049929773537</v>
      </c>
      <c r="CB71" s="3">
        <f t="shared" si="42"/>
        <v>195.93702115088601</v>
      </c>
      <c r="CC71" s="3">
        <f t="shared" si="42"/>
        <v>199.90506005039799</v>
      </c>
      <c r="CD71" s="3">
        <f t="shared" si="42"/>
        <v>203.95524897957</v>
      </c>
    </row>
    <row r="72" spans="3:82" s="3" customFormat="1" x14ac:dyDescent="0.2">
      <c r="D72" s="3" t="s">
        <v>36</v>
      </c>
      <c r="F72" s="3" t="s">
        <v>7</v>
      </c>
      <c r="G72" s="3">
        <f>O315</f>
        <v>10.254</v>
      </c>
      <c r="H72" s="3">
        <f t="shared" si="41"/>
        <v>10.254</v>
      </c>
      <c r="I72" s="3">
        <f t="shared" si="41"/>
        <v>11.4</v>
      </c>
      <c r="J72" s="3">
        <f t="shared" si="41"/>
        <v>13.965</v>
      </c>
      <c r="K72" s="3">
        <f t="shared" si="41"/>
        <v>12.101000000000001</v>
      </c>
      <c r="L72" s="3">
        <f t="shared" si="41"/>
        <v>27.969000000000001</v>
      </c>
      <c r="M72" s="3">
        <f t="shared" si="41"/>
        <v>15.304</v>
      </c>
      <c r="N72" s="3">
        <f t="shared" si="41"/>
        <v>15.164</v>
      </c>
      <c r="O72" s="3">
        <f t="shared" si="41"/>
        <v>15.387</v>
      </c>
      <c r="P72" s="3">
        <f t="shared" si="41"/>
        <v>11.069000000000001</v>
      </c>
      <c r="Q72" s="3">
        <f t="shared" si="41"/>
        <v>13.372999999999999</v>
      </c>
      <c r="R72" s="3">
        <f t="shared" si="41"/>
        <v>9.6229999999999993</v>
      </c>
      <c r="S72" s="3">
        <f t="shared" si="41"/>
        <v>7.6980000000000004</v>
      </c>
      <c r="T72" s="3">
        <f t="shared" si="41"/>
        <v>14.151</v>
      </c>
      <c r="U72" s="3">
        <f t="shared" si="41"/>
        <v>16.689</v>
      </c>
      <c r="V72" s="3">
        <f t="shared" si="41"/>
        <v>13.688000000000001</v>
      </c>
      <c r="W72" s="3">
        <f t="shared" si="41"/>
        <v>17.754999999999999</v>
      </c>
      <c r="X72" s="3">
        <f t="shared" si="41"/>
        <v>17.754999999999999</v>
      </c>
      <c r="Y72" s="3">
        <f t="shared" si="41"/>
        <v>27.61</v>
      </c>
      <c r="Z72" s="3">
        <f t="shared" si="41"/>
        <v>12.941000000000001</v>
      </c>
      <c r="AA72" s="3">
        <f t="shared" si="41"/>
        <v>118.306</v>
      </c>
      <c r="AB72" s="3">
        <f t="shared" si="41"/>
        <v>124.795</v>
      </c>
      <c r="AC72" s="3">
        <f t="shared" si="41"/>
        <v>131.46899999999999</v>
      </c>
      <c r="AD72" s="3">
        <f t="shared" si="41"/>
        <v>178.38200000000001</v>
      </c>
      <c r="AE72" s="3">
        <f t="shared" si="41"/>
        <v>66.046999999999997</v>
      </c>
      <c r="AF72" s="3">
        <f t="shared" si="41"/>
        <v>126.340504695568</v>
      </c>
      <c r="AG72" s="3">
        <f t="shared" si="41"/>
        <v>196.95812602212899</v>
      </c>
      <c r="AH72" s="3">
        <f t="shared" si="41"/>
        <v>206.12022370752601</v>
      </c>
      <c r="AI72" s="3">
        <f t="shared" si="41"/>
        <v>217.33801697427401</v>
      </c>
      <c r="AJ72" s="3">
        <f t="shared" si="41"/>
        <v>230.88547153917199</v>
      </c>
      <c r="AK72" s="3">
        <f t="shared" si="41"/>
        <v>246.481118301214</v>
      </c>
      <c r="AL72" s="3">
        <f t="shared" si="41"/>
        <v>265.06166466369598</v>
      </c>
      <c r="AM72" s="3">
        <f t="shared" si="41"/>
        <v>347.12419052112398</v>
      </c>
      <c r="AN72" s="3">
        <f t="shared" si="41"/>
        <v>476.27920785397299</v>
      </c>
      <c r="AO72" s="3">
        <f t="shared" si="41"/>
        <v>680.18268438249697</v>
      </c>
      <c r="AP72" s="3">
        <f t="shared" si="41"/>
        <v>995.62748787499095</v>
      </c>
      <c r="AQ72" s="3">
        <f t="shared" si="41"/>
        <v>1454.9211313611499</v>
      </c>
      <c r="AR72" s="3">
        <f t="shared" si="41"/>
        <v>2131.4905112951001</v>
      </c>
      <c r="AS72" s="3">
        <f t="shared" si="41"/>
        <v>3090.61514910094</v>
      </c>
      <c r="AT72" s="3">
        <f t="shared" si="41"/>
        <v>4382.5413633652397</v>
      </c>
      <c r="AU72" s="3">
        <f t="shared" si="41"/>
        <v>6018.5256283194603</v>
      </c>
      <c r="AV72" s="3">
        <f t="shared" si="41"/>
        <v>7954.7791095636103</v>
      </c>
      <c r="AW72" s="3">
        <f t="shared" si="41"/>
        <v>10100.166431121201</v>
      </c>
      <c r="AX72" s="3">
        <f t="shared" si="41"/>
        <v>12347.5798167393</v>
      </c>
      <c r="AY72" s="3">
        <f t="shared" si="41"/>
        <v>14609.629056022701</v>
      </c>
      <c r="AZ72" s="3">
        <f t="shared" si="41"/>
        <v>16752.548533253699</v>
      </c>
      <c r="BA72" s="3">
        <f t="shared" si="41"/>
        <v>18734.007649405699</v>
      </c>
      <c r="BB72" s="3">
        <f t="shared" si="41"/>
        <v>20542.237990377798</v>
      </c>
      <c r="BC72" s="3">
        <f t="shared" si="41"/>
        <v>22177.474789544802</v>
      </c>
      <c r="BD72" s="3">
        <f t="shared" si="41"/>
        <v>23646.112273867599</v>
      </c>
      <c r="BE72" s="3">
        <f t="shared" si="41"/>
        <v>24953.686870994901</v>
      </c>
      <c r="BF72" s="3">
        <f t="shared" si="41"/>
        <v>25945.708498662501</v>
      </c>
      <c r="BG72" s="3">
        <f t="shared" si="41"/>
        <v>26926.083804212201</v>
      </c>
      <c r="BH72" s="3">
        <f t="shared" si="41"/>
        <v>27890.5252014871</v>
      </c>
      <c r="BI72" s="3">
        <f t="shared" si="41"/>
        <v>28834.749740098501</v>
      </c>
      <c r="BJ72" s="3">
        <f t="shared" si="41"/>
        <v>29754.323877019098</v>
      </c>
      <c r="BK72" s="3">
        <f t="shared" si="41"/>
        <v>30644.741140369999</v>
      </c>
      <c r="BL72" s="3">
        <f t="shared" si="41"/>
        <v>31501.532137390801</v>
      </c>
      <c r="BM72" s="3">
        <f t="shared" si="41"/>
        <v>32320.3000859928</v>
      </c>
      <c r="BN72" s="3">
        <f t="shared" si="41"/>
        <v>33096.851155782999</v>
      </c>
      <c r="BO72" s="3">
        <f t="shared" si="41"/>
        <v>33827.097133312098</v>
      </c>
      <c r="BP72" s="3">
        <f t="shared" si="41"/>
        <v>34507.033222468999</v>
      </c>
      <c r="BQ72" s="3">
        <f t="shared" si="41"/>
        <v>35201.018832293703</v>
      </c>
      <c r="BR72" s="3">
        <f t="shared" si="41"/>
        <v>35909.342975660002</v>
      </c>
      <c r="BS72" s="3">
        <f t="shared" ref="BS72:CD79" si="43">CA315</f>
        <v>36632.369045742002</v>
      </c>
      <c r="BT72" s="3">
        <f t="shared" si="43"/>
        <v>37370.482360671413</v>
      </c>
      <c r="BU72" s="3">
        <f t="shared" si="43"/>
        <v>38123.850921384197</v>
      </c>
      <c r="BV72" s="3">
        <f t="shared" si="43"/>
        <v>38892.754840980502</v>
      </c>
      <c r="BW72" s="3">
        <f t="shared" si="43"/>
        <v>39677.685215581703</v>
      </c>
      <c r="BX72" s="3">
        <f t="shared" si="43"/>
        <v>40478.920807588103</v>
      </c>
      <c r="BY72" s="3">
        <f t="shared" si="43"/>
        <v>41296.836676373903</v>
      </c>
      <c r="BZ72" s="3">
        <f t="shared" si="43"/>
        <v>42131.770708273303</v>
      </c>
      <c r="CA72" s="3">
        <f t="shared" si="43"/>
        <v>42984.033274375601</v>
      </c>
      <c r="CB72" s="3">
        <f t="shared" si="43"/>
        <v>43854.030286619003</v>
      </c>
      <c r="CC72" s="3">
        <f t="shared" si="43"/>
        <v>44742.144727961087</v>
      </c>
      <c r="CD72" s="3">
        <f t="shared" si="43"/>
        <v>45648.645739986103</v>
      </c>
    </row>
    <row r="73" spans="3:82" s="3" customFormat="1" x14ac:dyDescent="0.2">
      <c r="D73" s="3" t="s">
        <v>36</v>
      </c>
      <c r="F73" s="3" t="s">
        <v>8</v>
      </c>
      <c r="G73" s="3">
        <f>O316</f>
        <v>31.940999999999999</v>
      </c>
      <c r="H73" s="3">
        <f t="shared" ref="H73:BS76" si="44">P316</f>
        <v>31.940999999999999</v>
      </c>
      <c r="I73" s="3">
        <f t="shared" si="44"/>
        <v>34.125</v>
      </c>
      <c r="J73" s="3">
        <f t="shared" si="44"/>
        <v>35.49</v>
      </c>
      <c r="K73" s="3">
        <f t="shared" si="44"/>
        <v>24.843</v>
      </c>
      <c r="L73" s="3">
        <f t="shared" si="44"/>
        <v>42.314999999999998</v>
      </c>
      <c r="M73" s="3">
        <f t="shared" si="44"/>
        <v>48.320999999999998</v>
      </c>
      <c r="N73" s="3">
        <f t="shared" si="44"/>
        <v>52.143000000000001</v>
      </c>
      <c r="O73" s="3">
        <f t="shared" si="44"/>
        <v>52.143000000000001</v>
      </c>
      <c r="P73" s="3">
        <f t="shared" si="44"/>
        <v>49.959000000000003</v>
      </c>
      <c r="Q73" s="3">
        <f t="shared" si="44"/>
        <v>52.143000000000001</v>
      </c>
      <c r="R73" s="3">
        <f t="shared" si="44"/>
        <v>52.143000000000001</v>
      </c>
      <c r="S73" s="3">
        <f t="shared" si="44"/>
        <v>56.783999999999999</v>
      </c>
      <c r="T73" s="3">
        <f t="shared" si="44"/>
        <v>58.968000000000004</v>
      </c>
      <c r="U73" s="3">
        <f t="shared" si="44"/>
        <v>61.424999999999997</v>
      </c>
      <c r="V73" s="3">
        <f t="shared" si="44"/>
        <v>63.609000000000002</v>
      </c>
      <c r="W73" s="3">
        <f t="shared" si="44"/>
        <v>63.609000000000002</v>
      </c>
      <c r="X73" s="3">
        <f t="shared" si="44"/>
        <v>63.336000000000013</v>
      </c>
      <c r="Y73" s="3">
        <f t="shared" si="44"/>
        <v>35.762999999999998</v>
      </c>
      <c r="Z73" s="3">
        <f t="shared" si="44"/>
        <v>16.106999999999999</v>
      </c>
      <c r="AA73" s="3">
        <f t="shared" si="44"/>
        <v>11.739000000000001</v>
      </c>
      <c r="AB73" s="3">
        <f t="shared" si="44"/>
        <v>0.27300000000000002</v>
      </c>
      <c r="AC73" s="3">
        <f t="shared" si="44"/>
        <v>11.193</v>
      </c>
      <c r="AD73" s="3">
        <f t="shared" si="44"/>
        <v>40.131</v>
      </c>
      <c r="AE73" s="3">
        <f t="shared" si="44"/>
        <v>42.042000000000002</v>
      </c>
      <c r="AF73" s="3">
        <f t="shared" si="44"/>
        <v>202.89531601137799</v>
      </c>
      <c r="AG73" s="3">
        <f t="shared" si="44"/>
        <v>203.042097771638</v>
      </c>
      <c r="AH73" s="3">
        <f t="shared" si="44"/>
        <v>212.487209641878</v>
      </c>
      <c r="AI73" s="3">
        <f t="shared" si="44"/>
        <v>224.051516854027</v>
      </c>
      <c r="AJ73" s="3">
        <f t="shared" si="44"/>
        <v>238.01744783579201</v>
      </c>
      <c r="AK73" s="3">
        <f t="shared" si="44"/>
        <v>254.094838998189</v>
      </c>
      <c r="AL73" s="3">
        <f t="shared" si="44"/>
        <v>273.24933232819598</v>
      </c>
      <c r="AM73" s="3">
        <f t="shared" si="44"/>
        <v>295.95020629492802</v>
      </c>
      <c r="AN73" s="3">
        <f t="shared" si="44"/>
        <v>321.39344541623598</v>
      </c>
      <c r="AO73" s="3">
        <f t="shared" si="44"/>
        <v>348.36613288315402</v>
      </c>
      <c r="AP73" s="3">
        <f t="shared" si="44"/>
        <v>373.041644617636</v>
      </c>
      <c r="AQ73" s="3">
        <f t="shared" si="44"/>
        <v>387.01438977099502</v>
      </c>
      <c r="AR73" s="3">
        <f t="shared" si="44"/>
        <v>393.41182261603001</v>
      </c>
      <c r="AS73" s="3">
        <f t="shared" si="44"/>
        <v>389.30670390860399</v>
      </c>
      <c r="AT73" s="3">
        <f t="shared" si="44"/>
        <v>372.50541869769302</v>
      </c>
      <c r="AU73" s="3">
        <f t="shared" si="44"/>
        <v>342.709807730953</v>
      </c>
      <c r="AV73" s="3">
        <f t="shared" si="44"/>
        <v>302.26623984515999</v>
      </c>
      <c r="AW73" s="3">
        <f t="shared" si="44"/>
        <v>255.80679374428601</v>
      </c>
      <c r="AX73" s="3">
        <f t="shared" si="44"/>
        <v>208.74542577953201</v>
      </c>
      <c r="AY73" s="3">
        <f t="shared" si="44"/>
        <v>165.56718231423699</v>
      </c>
      <c r="AZ73" s="3">
        <f t="shared" si="44"/>
        <v>128.23990300989001</v>
      </c>
      <c r="BA73" s="3">
        <f t="shared" si="44"/>
        <v>98.023341108176396</v>
      </c>
      <c r="BB73" s="3">
        <f t="shared" si="44"/>
        <v>74.744329466960991</v>
      </c>
      <c r="BC73" s="3">
        <f t="shared" si="44"/>
        <v>57.458511227267799</v>
      </c>
      <c r="BD73" s="3">
        <f t="shared" si="44"/>
        <v>44.986202176101003</v>
      </c>
      <c r="BE73" s="3">
        <f t="shared" si="44"/>
        <v>36.191834155464299</v>
      </c>
      <c r="BF73" s="3">
        <f t="shared" si="44"/>
        <v>37.6306228367838</v>
      </c>
      <c r="BG73" s="3">
        <f t="shared" si="44"/>
        <v>39.052520156085798</v>
      </c>
      <c r="BH73" s="3">
        <f t="shared" si="44"/>
        <v>40.451307569075702</v>
      </c>
      <c r="BI73" s="3">
        <f t="shared" si="44"/>
        <v>41.820773254992503</v>
      </c>
      <c r="BJ73" s="3">
        <f t="shared" si="44"/>
        <v>43.154486979507098</v>
      </c>
      <c r="BK73" s="3">
        <f t="shared" si="44"/>
        <v>44.445912735186397</v>
      </c>
      <c r="BL73" s="3">
        <f t="shared" si="44"/>
        <v>45.6885682926751</v>
      </c>
      <c r="BM73" s="3">
        <f t="shared" si="44"/>
        <v>46.876076734245601</v>
      </c>
      <c r="BN73" s="3">
        <f t="shared" si="44"/>
        <v>48.002355495231399</v>
      </c>
      <c r="BO73" s="3">
        <f t="shared" si="44"/>
        <v>49.0614751935776</v>
      </c>
      <c r="BP73" s="3">
        <f t="shared" si="44"/>
        <v>50.047627432414998</v>
      </c>
      <c r="BQ73" s="3">
        <f t="shared" si="44"/>
        <v>51.054156536787502</v>
      </c>
      <c r="BR73" s="3">
        <f t="shared" si="44"/>
        <v>52.081481679462897</v>
      </c>
      <c r="BS73" s="3">
        <f t="shared" si="44"/>
        <v>53.1301299114362</v>
      </c>
      <c r="BT73" s="3">
        <f t="shared" si="43"/>
        <v>54.200660082788097</v>
      </c>
      <c r="BU73" s="3">
        <f t="shared" si="43"/>
        <v>55.293315855388499</v>
      </c>
      <c r="BV73" s="3">
        <f t="shared" si="43"/>
        <v>56.408503494128297</v>
      </c>
      <c r="BW73" s="3">
        <f t="shared" si="43"/>
        <v>57.546935265273603</v>
      </c>
      <c r="BX73" s="3">
        <f t="shared" si="43"/>
        <v>58.709015474713802</v>
      </c>
      <c r="BY73" s="3">
        <f t="shared" si="43"/>
        <v>59.895288093635997</v>
      </c>
      <c r="BZ73" s="3">
        <f t="shared" si="43"/>
        <v>61.106243178929702</v>
      </c>
      <c r="CA73" s="3">
        <f t="shared" si="43"/>
        <v>62.342330880468303</v>
      </c>
      <c r="CB73" s="3">
        <f t="shared" si="43"/>
        <v>63.604139916770087</v>
      </c>
      <c r="CC73" s="3">
        <f t="shared" si="43"/>
        <v>64.892225751071493</v>
      </c>
      <c r="CD73" s="3">
        <f t="shared" si="43"/>
        <v>66.206978735613689</v>
      </c>
    </row>
    <row r="74" spans="3:82" s="3" customFormat="1" x14ac:dyDescent="0.2">
      <c r="D74" s="3" t="s">
        <v>38</v>
      </c>
      <c r="F74" s="3" t="s">
        <v>6</v>
      </c>
      <c r="G74" s="3">
        <f>O317</f>
        <v>1506.8232</v>
      </c>
      <c r="H74" s="3">
        <f t="shared" si="44"/>
        <v>1506.8232</v>
      </c>
      <c r="I74" s="3">
        <f t="shared" si="44"/>
        <v>1603.9989</v>
      </c>
      <c r="J74" s="3">
        <f t="shared" si="44"/>
        <v>1654.9443000000001</v>
      </c>
      <c r="K74" s="3">
        <f t="shared" si="44"/>
        <v>1740.8205</v>
      </c>
      <c r="L74" s="3">
        <f t="shared" si="44"/>
        <v>1726.173</v>
      </c>
      <c r="M74" s="3">
        <f t="shared" si="44"/>
        <v>1853.0900999999999</v>
      </c>
      <c r="N74" s="3">
        <f t="shared" si="44"/>
        <v>2031.3153</v>
      </c>
      <c r="O74" s="3">
        <f t="shared" si="44"/>
        <v>2029.8087</v>
      </c>
      <c r="P74" s="3">
        <f t="shared" si="44"/>
        <v>2079.5544</v>
      </c>
      <c r="Q74" s="3">
        <f t="shared" si="44"/>
        <v>2144.9798999999998</v>
      </c>
      <c r="R74" s="3">
        <f t="shared" si="44"/>
        <v>2212.6095</v>
      </c>
      <c r="S74" s="3">
        <f t="shared" si="44"/>
        <v>2282.2757999999999</v>
      </c>
      <c r="T74" s="3">
        <f t="shared" si="44"/>
        <v>2407.2678000000001</v>
      </c>
      <c r="U74" s="3">
        <f t="shared" si="44"/>
        <v>2428.6113</v>
      </c>
      <c r="V74" s="3">
        <f t="shared" si="44"/>
        <v>2505.42</v>
      </c>
      <c r="W74" s="3">
        <f t="shared" si="44"/>
        <v>2584.7118</v>
      </c>
      <c r="X74" s="3">
        <f t="shared" si="44"/>
        <v>2666.3472000000002</v>
      </c>
      <c r="Y74" s="3">
        <f t="shared" si="44"/>
        <v>2574.9747000000002</v>
      </c>
      <c r="Z74" s="3">
        <f t="shared" si="44"/>
        <v>2837.43</v>
      </c>
      <c r="AA74" s="3">
        <f t="shared" si="44"/>
        <v>3161.3490000000002</v>
      </c>
      <c r="AB74" s="3">
        <f t="shared" si="44"/>
        <v>2935.1358</v>
      </c>
      <c r="AC74" s="3">
        <f t="shared" si="44"/>
        <v>2935.1637000000001</v>
      </c>
      <c r="AD74" s="3">
        <f t="shared" si="44"/>
        <v>3099.1320000000001</v>
      </c>
      <c r="AE74" s="3">
        <f t="shared" si="44"/>
        <v>3083.3406</v>
      </c>
      <c r="AF74" s="3">
        <f t="shared" si="44"/>
        <v>2821.5983020181402</v>
      </c>
      <c r="AG74" s="3">
        <f t="shared" si="44"/>
        <v>2807.5176683939399</v>
      </c>
      <c r="AH74" s="3">
        <f t="shared" si="44"/>
        <v>2897.66993443915</v>
      </c>
      <c r="AI74" s="3">
        <f t="shared" si="44"/>
        <v>2995.1333962693898</v>
      </c>
      <c r="AJ74" s="3">
        <f t="shared" si="44"/>
        <v>3100.4467902359402</v>
      </c>
      <c r="AK74" s="3">
        <f t="shared" si="44"/>
        <v>3212.5845778028602</v>
      </c>
      <c r="AL74" s="3">
        <f t="shared" si="44"/>
        <v>3332.9195562174</v>
      </c>
      <c r="AM74" s="3">
        <f t="shared" si="44"/>
        <v>3435.9316310657</v>
      </c>
      <c r="AN74" s="3">
        <f t="shared" si="44"/>
        <v>3529.80862673511</v>
      </c>
      <c r="AO74" s="3">
        <f t="shared" si="44"/>
        <v>3603.70184097016</v>
      </c>
      <c r="AP74" s="3">
        <f t="shared" si="44"/>
        <v>3639.137043228</v>
      </c>
      <c r="AQ74" s="3">
        <f t="shared" si="44"/>
        <v>3607.7681660613598</v>
      </c>
      <c r="AR74" s="3">
        <f t="shared" si="44"/>
        <v>3503.3426618755402</v>
      </c>
      <c r="AS74" s="3">
        <f t="shared" si="44"/>
        <v>3309.74552346066</v>
      </c>
      <c r="AT74" s="3">
        <f t="shared" si="44"/>
        <v>3020.5101630112299</v>
      </c>
      <c r="AU74" s="3">
        <f t="shared" si="44"/>
        <v>2646.2907890186102</v>
      </c>
      <c r="AV74" s="3">
        <f t="shared" si="44"/>
        <v>2217.1764400883699</v>
      </c>
      <c r="AW74" s="3">
        <f t="shared" si="44"/>
        <v>1775.75059218363</v>
      </c>
      <c r="AX74" s="3">
        <f t="shared" si="44"/>
        <v>1363.4526913234299</v>
      </c>
      <c r="AY74" s="3">
        <f t="shared" si="44"/>
        <v>1008.67874187731</v>
      </c>
      <c r="AZ74" s="3">
        <f t="shared" si="44"/>
        <v>722.13228750063695</v>
      </c>
      <c r="BA74" s="3">
        <f t="shared" si="44"/>
        <v>502.36439047847801</v>
      </c>
      <c r="BB74" s="3">
        <f t="shared" si="44"/>
        <v>339.57255114446599</v>
      </c>
      <c r="BC74" s="3">
        <f t="shared" si="44"/>
        <v>222.76534245270801</v>
      </c>
      <c r="BD74" s="3">
        <f t="shared" si="44"/>
        <v>140.47733141488499</v>
      </c>
      <c r="BE74" s="3">
        <f t="shared" si="44"/>
        <v>83.210023136516597</v>
      </c>
      <c r="BF74" s="3">
        <f t="shared" si="44"/>
        <v>85.222507337036689</v>
      </c>
      <c r="BG74" s="3">
        <f t="shared" si="44"/>
        <v>87.235093529500801</v>
      </c>
      <c r="BH74" s="3">
        <f t="shared" si="44"/>
        <v>89.24360873467981</v>
      </c>
      <c r="BI74" s="3">
        <f t="shared" si="44"/>
        <v>91.238846732881498</v>
      </c>
      <c r="BJ74" s="3">
        <f t="shared" si="44"/>
        <v>93.218265467614302</v>
      </c>
      <c r="BK74" s="3">
        <f t="shared" si="44"/>
        <v>95.182972427801701</v>
      </c>
      <c r="BL74" s="3">
        <f t="shared" si="44"/>
        <v>97.132998133953194</v>
      </c>
      <c r="BM74" s="3">
        <f t="shared" si="44"/>
        <v>99.067373766406106</v>
      </c>
      <c r="BN74" s="3">
        <f t="shared" si="44"/>
        <v>100.978485262666</v>
      </c>
      <c r="BO74" s="3">
        <f t="shared" si="44"/>
        <v>102.860239995448</v>
      </c>
      <c r="BP74" s="3">
        <f t="shared" si="44"/>
        <v>104.71154807965399</v>
      </c>
      <c r="BQ74" s="3">
        <f t="shared" si="44"/>
        <v>106.57308170290899</v>
      </c>
      <c r="BR74" s="3">
        <f t="shared" si="44"/>
        <v>108.44474180902201</v>
      </c>
      <c r="BS74" s="3">
        <f t="shared" si="44"/>
        <v>110.32234177161099</v>
      </c>
      <c r="BT74" s="3">
        <f t="shared" si="43"/>
        <v>112.200793563571</v>
      </c>
      <c r="BU74" s="3">
        <f t="shared" si="43"/>
        <v>114.088416647325</v>
      </c>
      <c r="BV74" s="3">
        <f t="shared" si="43"/>
        <v>115.98714504066299</v>
      </c>
      <c r="BW74" s="3">
        <f t="shared" si="43"/>
        <v>117.886807717373</v>
      </c>
      <c r="BX74" s="3">
        <f t="shared" si="43"/>
        <v>119.790278619695</v>
      </c>
      <c r="BY74" s="3">
        <f t="shared" si="43"/>
        <v>121.695160978651</v>
      </c>
      <c r="BZ74" s="3">
        <f t="shared" si="43"/>
        <v>123.601677806438</v>
      </c>
      <c r="CA74" s="3">
        <f t="shared" si="43"/>
        <v>125.51207419863</v>
      </c>
      <c r="CB74" s="3">
        <f t="shared" si="43"/>
        <v>127.423459913286</v>
      </c>
      <c r="CC74" s="3">
        <f t="shared" si="43"/>
        <v>129.33475099715</v>
      </c>
      <c r="CD74" s="3">
        <f t="shared" si="43"/>
        <v>131.2518366285</v>
      </c>
    </row>
    <row r="75" spans="3:82" s="3" customFormat="1" x14ac:dyDescent="0.2">
      <c r="D75" s="3" t="s">
        <v>38</v>
      </c>
      <c r="F75" s="3" t="s">
        <v>7</v>
      </c>
      <c r="G75" s="3">
        <f>O318</f>
        <v>93.631</v>
      </c>
      <c r="H75" s="3">
        <f t="shared" si="44"/>
        <v>93.631</v>
      </c>
      <c r="I75" s="3">
        <f t="shared" si="44"/>
        <v>104.931</v>
      </c>
      <c r="J75" s="3">
        <f t="shared" si="44"/>
        <v>128.51599999999999</v>
      </c>
      <c r="K75" s="3">
        <f t="shared" si="44"/>
        <v>111.69</v>
      </c>
      <c r="L75" s="3">
        <f t="shared" si="44"/>
        <v>115.485</v>
      </c>
      <c r="M75" s="3">
        <f t="shared" si="44"/>
        <v>135.05000000000001</v>
      </c>
      <c r="N75" s="3">
        <f t="shared" si="44"/>
        <v>135.911</v>
      </c>
      <c r="O75" s="3">
        <f t="shared" si="44"/>
        <v>135.911</v>
      </c>
      <c r="P75" s="3">
        <f t="shared" si="44"/>
        <v>105.316</v>
      </c>
      <c r="Q75" s="3">
        <f t="shared" si="44"/>
        <v>86.063999999999993</v>
      </c>
      <c r="R75" s="3">
        <f t="shared" si="44"/>
        <v>93.945999999999998</v>
      </c>
      <c r="S75" s="3">
        <f t="shared" si="44"/>
        <v>78.474999999999994</v>
      </c>
      <c r="T75" s="3">
        <f t="shared" si="44"/>
        <v>137.85300000000001</v>
      </c>
      <c r="U75" s="3">
        <f t="shared" si="44"/>
        <v>161.75399999999999</v>
      </c>
      <c r="V75" s="3">
        <f t="shared" si="44"/>
        <v>133.11600000000001</v>
      </c>
      <c r="W75" s="3">
        <f t="shared" si="44"/>
        <v>176.39699999999999</v>
      </c>
      <c r="X75" s="3">
        <f t="shared" si="44"/>
        <v>174.52</v>
      </c>
      <c r="Y75" s="3">
        <f t="shared" si="44"/>
        <v>111.93899999999999</v>
      </c>
      <c r="Z75" s="3">
        <f t="shared" si="44"/>
        <v>131.52199999999999</v>
      </c>
      <c r="AA75" s="3">
        <f t="shared" si="44"/>
        <v>155.762</v>
      </c>
      <c r="AB75" s="3">
        <f t="shared" si="44"/>
        <v>167.34399999999999</v>
      </c>
      <c r="AC75" s="3">
        <f t="shared" si="44"/>
        <v>173.274</v>
      </c>
      <c r="AD75" s="3">
        <f t="shared" si="44"/>
        <v>135.779</v>
      </c>
      <c r="AE75" s="3">
        <f t="shared" si="44"/>
        <v>134.14699999999999</v>
      </c>
      <c r="AF75" s="3">
        <f t="shared" si="44"/>
        <v>244.73382868094899</v>
      </c>
      <c r="AG75" s="3">
        <f t="shared" si="44"/>
        <v>379.45215682592197</v>
      </c>
      <c r="AH75" s="3">
        <f t="shared" si="44"/>
        <v>391.63675398044899</v>
      </c>
      <c r="AI75" s="3">
        <f t="shared" si="44"/>
        <v>404.809501286564</v>
      </c>
      <c r="AJ75" s="3">
        <f t="shared" si="44"/>
        <v>419.04321206001202</v>
      </c>
      <c r="AK75" s="3">
        <f t="shared" si="44"/>
        <v>434.19927887055297</v>
      </c>
      <c r="AL75" s="3">
        <f t="shared" si="44"/>
        <v>450.46324316008901</v>
      </c>
      <c r="AM75" s="3">
        <f t="shared" si="44"/>
        <v>558.63754780629904</v>
      </c>
      <c r="AN75" s="3">
        <f t="shared" si="44"/>
        <v>721.44217838129794</v>
      </c>
      <c r="AO75" s="3">
        <f t="shared" si="44"/>
        <v>966.08603718896404</v>
      </c>
      <c r="AP75" s="3">
        <f t="shared" si="44"/>
        <v>1328.8540948740599</v>
      </c>
      <c r="AQ75" s="3">
        <f t="shared" si="44"/>
        <v>1851.23845408754</v>
      </c>
      <c r="AR75" s="3">
        <f t="shared" si="44"/>
        <v>2588.0174798354301</v>
      </c>
      <c r="AS75" s="3">
        <f t="shared" si="44"/>
        <v>3583.8701965826299</v>
      </c>
      <c r="AT75" s="3">
        <f t="shared" si="44"/>
        <v>4856.8261549415402</v>
      </c>
      <c r="AU75" s="3">
        <f t="shared" si="44"/>
        <v>6377.6836708634301</v>
      </c>
      <c r="AV75" s="3">
        <f t="shared" si="44"/>
        <v>8063.5169909469714</v>
      </c>
      <c r="AW75" s="3">
        <f t="shared" si="44"/>
        <v>9796.88929273758</v>
      </c>
      <c r="AX75" s="3">
        <f t="shared" si="44"/>
        <v>11463.5175890747</v>
      </c>
      <c r="AY75" s="3">
        <f t="shared" si="44"/>
        <v>12985.126086927599</v>
      </c>
      <c r="AZ75" s="3">
        <f t="shared" si="44"/>
        <v>14315.5226507838</v>
      </c>
      <c r="BA75" s="3">
        <f t="shared" si="44"/>
        <v>15457.1173156369</v>
      </c>
      <c r="BB75" s="3">
        <f t="shared" si="44"/>
        <v>16409.150957562499</v>
      </c>
      <c r="BC75" s="3">
        <f t="shared" si="44"/>
        <v>17225.503535924101</v>
      </c>
      <c r="BD75" s="3">
        <f t="shared" si="44"/>
        <v>17935.492318008</v>
      </c>
      <c r="BE75" s="3">
        <f t="shared" si="44"/>
        <v>18562.673381452201</v>
      </c>
      <c r="BF75" s="3">
        <f t="shared" si="44"/>
        <v>19011.6227446593</v>
      </c>
      <c r="BG75" s="3">
        <f t="shared" si="44"/>
        <v>19460.594860451602</v>
      </c>
      <c r="BH75" s="3">
        <f t="shared" si="44"/>
        <v>19908.658811524601</v>
      </c>
      <c r="BI75" s="3">
        <f t="shared" si="44"/>
        <v>20353.760854317101</v>
      </c>
      <c r="BJ75" s="3">
        <f t="shared" si="44"/>
        <v>20795.333901324801</v>
      </c>
      <c r="BK75" s="3">
        <f t="shared" si="44"/>
        <v>21233.625013591402</v>
      </c>
      <c r="BL75" s="3">
        <f t="shared" si="44"/>
        <v>21668.6409996984</v>
      </c>
      <c r="BM75" s="3">
        <f t="shared" si="44"/>
        <v>22100.165733243499</v>
      </c>
      <c r="BN75" s="3">
        <f t="shared" si="44"/>
        <v>22526.5006525645</v>
      </c>
      <c r="BO75" s="3">
        <f t="shared" si="44"/>
        <v>22946.286601083299</v>
      </c>
      <c r="BP75" s="3">
        <f t="shared" si="44"/>
        <v>23359.2804448559</v>
      </c>
      <c r="BQ75" s="3">
        <f t="shared" si="44"/>
        <v>23774.555424173999</v>
      </c>
      <c r="BR75" s="3">
        <f t="shared" si="44"/>
        <v>24192.089441366599</v>
      </c>
      <c r="BS75" s="3">
        <f t="shared" si="44"/>
        <v>24610.948534692099</v>
      </c>
      <c r="BT75" s="3">
        <f t="shared" si="43"/>
        <v>25029.997655971201</v>
      </c>
      <c r="BU75" s="3">
        <f t="shared" si="43"/>
        <v>25451.092729019299</v>
      </c>
      <c r="BV75" s="3">
        <f t="shared" si="43"/>
        <v>25874.665198742099</v>
      </c>
      <c r="BW75" s="3">
        <f t="shared" si="43"/>
        <v>26298.446090436399</v>
      </c>
      <c r="BX75" s="3">
        <f t="shared" si="43"/>
        <v>26723.076529403301</v>
      </c>
      <c r="BY75" s="3">
        <f t="shared" si="43"/>
        <v>27148.021839193501</v>
      </c>
      <c r="BZ75" s="3">
        <f t="shared" si="43"/>
        <v>27573.331769853899</v>
      </c>
      <c r="CA75" s="3">
        <f t="shared" si="43"/>
        <v>27999.507162200502</v>
      </c>
      <c r="CB75" s="3">
        <f t="shared" si="43"/>
        <v>28425.903254759101</v>
      </c>
      <c r="CC75" s="3">
        <f t="shared" si="43"/>
        <v>28852.278236874499</v>
      </c>
      <c r="CD75" s="3">
        <f t="shared" si="43"/>
        <v>29279.9458792767</v>
      </c>
    </row>
    <row r="76" spans="3:82" s="3" customFormat="1" x14ac:dyDescent="0.2">
      <c r="D76" s="3" t="s">
        <v>38</v>
      </c>
      <c r="F76" s="3" t="s">
        <v>8</v>
      </c>
      <c r="G76" s="3">
        <f>O319</f>
        <v>192.465</v>
      </c>
      <c r="H76" s="3">
        <f>P319</f>
        <v>192.465</v>
      </c>
      <c r="I76" s="3">
        <f>Q319</f>
        <v>204.75</v>
      </c>
      <c r="J76" s="3">
        <f>R319</f>
        <v>211.30199999999999</v>
      </c>
      <c r="K76" s="3">
        <f>S319</f>
        <v>222.22200000000001</v>
      </c>
      <c r="L76" s="3">
        <f>T319</f>
        <v>220.03800000000001</v>
      </c>
      <c r="M76" s="3">
        <f>U319</f>
        <v>236.41800000000001</v>
      </c>
      <c r="N76" s="3">
        <f>V319</f>
        <v>258.80399999999997</v>
      </c>
      <c r="O76" s="3">
        <f>W319</f>
        <v>258.53100000000001</v>
      </c>
      <c r="P76" s="3">
        <f>X319</f>
        <v>264.53699999999998</v>
      </c>
      <c r="Q76" s="3">
        <f>Y319</f>
        <v>272.72699999999998</v>
      </c>
      <c r="R76" s="3">
        <f>Z319</f>
        <v>281.46300000000002</v>
      </c>
      <c r="S76" s="3">
        <f>AA319</f>
        <v>290.19900000000001</v>
      </c>
      <c r="T76" s="3">
        <f>AB319</f>
        <v>302.21100000000001</v>
      </c>
      <c r="U76" s="3">
        <f>AC319</f>
        <v>309.30900000000003</v>
      </c>
      <c r="V76" s="3">
        <f>AD319</f>
        <v>318.86399999999998</v>
      </c>
      <c r="W76" s="3">
        <f t="shared" si="44"/>
        <v>329.238</v>
      </c>
      <c r="X76" s="3">
        <f t="shared" si="44"/>
        <v>339.61200000000002</v>
      </c>
      <c r="Y76" s="3">
        <f t="shared" si="44"/>
        <v>320.50200000000001</v>
      </c>
      <c r="Z76" s="3">
        <f t="shared" si="44"/>
        <v>361.452</v>
      </c>
      <c r="AA76" s="3">
        <f t="shared" si="44"/>
        <v>391.755</v>
      </c>
      <c r="AB76" s="3">
        <f t="shared" si="44"/>
        <v>362.27100000000002</v>
      </c>
      <c r="AC76" s="3">
        <f t="shared" si="44"/>
        <v>362.27100000000002</v>
      </c>
      <c r="AD76" s="3">
        <f t="shared" si="44"/>
        <v>381.92700000000002</v>
      </c>
      <c r="AE76" s="3">
        <f t="shared" si="44"/>
        <v>377.01299999999998</v>
      </c>
      <c r="AF76" s="3">
        <f t="shared" si="44"/>
        <v>380.73851473972701</v>
      </c>
      <c r="AG76" s="3">
        <f t="shared" si="44"/>
        <v>379.09791346516289</v>
      </c>
      <c r="AH76" s="3">
        <f t="shared" si="44"/>
        <v>391.27113550278</v>
      </c>
      <c r="AI76" s="3">
        <f t="shared" si="44"/>
        <v>404.43158518930801</v>
      </c>
      <c r="AJ76" s="3">
        <f t="shared" si="44"/>
        <v>418.65200786450703</v>
      </c>
      <c r="AK76" s="3">
        <f t="shared" si="44"/>
        <v>433.793925497224</v>
      </c>
      <c r="AL76" s="3">
        <f t="shared" si="44"/>
        <v>450.04270631431001</v>
      </c>
      <c r="AM76" s="3">
        <f t="shared" si="44"/>
        <v>464.03698952589798</v>
      </c>
      <c r="AN76" s="3">
        <f t="shared" si="44"/>
        <v>476.84791510229701</v>
      </c>
      <c r="AO76" s="3">
        <f t="shared" si="44"/>
        <v>487.03632818503098</v>
      </c>
      <c r="AP76" s="3">
        <f t="shared" si="44"/>
        <v>492.14247454656697</v>
      </c>
      <c r="AQ76" s="3">
        <f t="shared" si="44"/>
        <v>488.379482008634</v>
      </c>
      <c r="AR76" s="3">
        <f t="shared" si="44"/>
        <v>474.95300311338298</v>
      </c>
      <c r="AS76" s="3">
        <f t="shared" si="44"/>
        <v>449.72909739481702</v>
      </c>
      <c r="AT76" s="3">
        <f t="shared" si="44"/>
        <v>411.85155336925698</v>
      </c>
      <c r="AU76" s="3">
        <f t="shared" si="44"/>
        <v>362.73149822564397</v>
      </c>
      <c r="AV76" s="3">
        <f t="shared" si="44"/>
        <v>306.35375166477098</v>
      </c>
      <c r="AW76" s="3">
        <f t="shared" si="44"/>
        <v>248.35775656444099</v>
      </c>
      <c r="AX76" s="3">
        <f t="shared" si="44"/>
        <v>194.23144782354001</v>
      </c>
      <c r="AY76" s="3">
        <f t="shared" si="44"/>
        <v>147.73541498012801</v>
      </c>
      <c r="AZ76" s="3">
        <f t="shared" si="44"/>
        <v>110.272189158597</v>
      </c>
      <c r="BA76" s="3">
        <f t="shared" si="44"/>
        <v>81.648460120944804</v>
      </c>
      <c r="BB76" s="3">
        <f t="shared" si="44"/>
        <v>60.541108364567599</v>
      </c>
      <c r="BC76" s="3">
        <f t="shared" si="44"/>
        <v>45.515666034776402</v>
      </c>
      <c r="BD76" s="3">
        <f t="shared" si="44"/>
        <v>35.051668821948198</v>
      </c>
      <c r="BE76" s="3">
        <f t="shared" si="44"/>
        <v>27.888836953921</v>
      </c>
      <c r="BF76" s="3">
        <f t="shared" si="44"/>
        <v>28.563345163689998</v>
      </c>
      <c r="BG76" s="3">
        <f t="shared" si="44"/>
        <v>29.237887557281901</v>
      </c>
      <c r="BH76" s="3">
        <f t="shared" si="44"/>
        <v>29.911065510673499</v>
      </c>
      <c r="BI76" s="3">
        <f t="shared" si="44"/>
        <v>30.579793448951101</v>
      </c>
      <c r="BJ76" s="3">
        <f t="shared" si="44"/>
        <v>31.243219371401899</v>
      </c>
      <c r="BK76" s="3">
        <f t="shared" si="44"/>
        <v>31.901714466217602</v>
      </c>
      <c r="BL76" s="3">
        <f t="shared" si="44"/>
        <v>32.555288962713099</v>
      </c>
      <c r="BM76" s="3">
        <f t="shared" si="44"/>
        <v>33.203618149361787</v>
      </c>
      <c r="BN76" s="3">
        <f t="shared" si="44"/>
        <v>33.8441500818249</v>
      </c>
      <c r="BO76" s="3">
        <f t="shared" si="44"/>
        <v>34.474842743017199</v>
      </c>
      <c r="BP76" s="3">
        <f t="shared" si="44"/>
        <v>35.095330844879399</v>
      </c>
      <c r="BQ76" s="3">
        <f t="shared" si="44"/>
        <v>35.719246158759603</v>
      </c>
      <c r="BR76" s="3">
        <f t="shared" si="44"/>
        <v>36.3465554847878</v>
      </c>
      <c r="BS76" s="3">
        <f t="shared" si="44"/>
        <v>36.975855624933303</v>
      </c>
      <c r="BT76" s="3">
        <f t="shared" si="43"/>
        <v>37.6054412659064</v>
      </c>
      <c r="BU76" s="3">
        <f t="shared" si="43"/>
        <v>38.238100775289098</v>
      </c>
      <c r="BV76" s="3">
        <f t="shared" si="43"/>
        <v>38.874482362333097</v>
      </c>
      <c r="BW76" s="3">
        <f t="shared" si="43"/>
        <v>39.511177085651099</v>
      </c>
      <c r="BX76" s="3">
        <f t="shared" si="43"/>
        <v>40.149148181444502</v>
      </c>
      <c r="BY76" s="3">
        <f t="shared" si="43"/>
        <v>40.787592343852502</v>
      </c>
      <c r="BZ76" s="3">
        <f t="shared" si="43"/>
        <v>41.426584318086398</v>
      </c>
      <c r="CA76" s="3">
        <f t="shared" si="43"/>
        <v>42.066876574847299</v>
      </c>
      <c r="CB76" s="3">
        <f t="shared" si="43"/>
        <v>42.707500414893801</v>
      </c>
      <c r="CC76" s="3">
        <f t="shared" si="43"/>
        <v>43.3480925382962</v>
      </c>
      <c r="CD76" s="3">
        <f t="shared" si="43"/>
        <v>43.990626773765797</v>
      </c>
    </row>
    <row r="77" spans="3:82" s="3" customFormat="1" x14ac:dyDescent="0.2">
      <c r="D77" s="3" t="s">
        <v>39</v>
      </c>
      <c r="F77" s="3" t="s">
        <v>6</v>
      </c>
      <c r="G77" s="3">
        <f>O320</f>
        <v>0.1116</v>
      </c>
      <c r="H77" s="3">
        <f>P320</f>
        <v>0.1116</v>
      </c>
      <c r="I77" s="3">
        <f>Q320</f>
        <v>0.13950000000000001</v>
      </c>
      <c r="J77" s="3">
        <f>R320</f>
        <v>0.13950000000000001</v>
      </c>
      <c r="K77" s="3">
        <f>S320</f>
        <v>0.16739999999999999</v>
      </c>
      <c r="L77" s="3">
        <f>T320</f>
        <v>0.1953</v>
      </c>
      <c r="M77" s="3">
        <f>U320</f>
        <v>0.1953</v>
      </c>
      <c r="N77" s="3">
        <f>V320</f>
        <v>0.22320000000000001</v>
      </c>
      <c r="O77" s="3">
        <f>W320</f>
        <v>0.22320000000000001</v>
      </c>
      <c r="P77" s="3">
        <f>X320</f>
        <v>0.25109999999999999</v>
      </c>
      <c r="Q77" s="3">
        <f>Y320</f>
        <v>0.30690000000000001</v>
      </c>
      <c r="R77" s="3">
        <f>Z320</f>
        <v>0.41849999999999998</v>
      </c>
      <c r="S77" s="3">
        <f>AA320</f>
        <v>0.44640000000000002</v>
      </c>
      <c r="T77" s="3">
        <f>AB320</f>
        <v>0.50219999999999998</v>
      </c>
      <c r="U77" s="3">
        <f>AC320</f>
        <v>0.55799999999999994</v>
      </c>
      <c r="V77" s="3">
        <f>AD320</f>
        <v>0.6137999999999999</v>
      </c>
      <c r="W77" s="3">
        <f>AE320</f>
        <v>0.64169999999999994</v>
      </c>
      <c r="X77" s="3">
        <f>AF320</f>
        <v>0.6137999999999999</v>
      </c>
      <c r="Y77" s="3">
        <f>AG320</f>
        <v>0.58589999999999998</v>
      </c>
      <c r="Z77" s="3">
        <f>AH320</f>
        <v>0.97650000000000003</v>
      </c>
      <c r="AA77" s="3">
        <f>AI320</f>
        <v>0.69750000000000001</v>
      </c>
      <c r="AB77" s="3">
        <f>AJ320</f>
        <v>1.0881000000000001</v>
      </c>
      <c r="AC77" s="3">
        <f>AK320</f>
        <v>1.1438999999999999</v>
      </c>
      <c r="AD77" s="3">
        <f>AL320</f>
        <v>0.69750000000000001</v>
      </c>
      <c r="AE77" s="3">
        <f>AM320</f>
        <v>1.9809000000000001</v>
      </c>
      <c r="AF77" s="3">
        <f>AN320</f>
        <v>0.86739604658589997</v>
      </c>
      <c r="AG77" s="3">
        <f>AO320</f>
        <v>0.89106611629489996</v>
      </c>
      <c r="AH77" s="3">
        <f>AP320</f>
        <v>0.89841433777199997</v>
      </c>
      <c r="AI77" s="3">
        <f>AQ320</f>
        <v>0.90115985706159996</v>
      </c>
      <c r="AJ77" s="3">
        <f>AR320</f>
        <v>0.93306758559890002</v>
      </c>
      <c r="AK77" s="3">
        <f>AS320</f>
        <v>0.96910319397919997</v>
      </c>
      <c r="AL77" s="3">
        <f>AT320</f>
        <v>1.0120913961588001</v>
      </c>
      <c r="AM77" s="3">
        <f>AU320</f>
        <v>1.1586804781782001</v>
      </c>
      <c r="AN77" s="3">
        <f>AV320</f>
        <v>1.3727334800618001</v>
      </c>
      <c r="AO77" s="3">
        <f>AW320</f>
        <v>1.6866913776254</v>
      </c>
      <c r="AP77" s="3">
        <f>AX320</f>
        <v>2.1458443629013999</v>
      </c>
      <c r="AQ77" s="3">
        <f>AY320</f>
        <v>2.8078785598096001</v>
      </c>
      <c r="AR77" s="3">
        <f>AZ320</f>
        <v>3.7393438534877999</v>
      </c>
      <c r="AS77" s="3">
        <f>BA320</f>
        <v>4.9974118033141002</v>
      </c>
      <c r="AT77" s="3">
        <f>BB320</f>
        <v>6.6032186330139</v>
      </c>
      <c r="AU77" s="3">
        <f>BC320</f>
        <v>8.5132729443071007</v>
      </c>
      <c r="AV77" s="3">
        <f>BD320</f>
        <v>10.610309080998899</v>
      </c>
      <c r="AW77" s="3">
        <f>BE320</f>
        <v>12.729942862931599</v>
      </c>
      <c r="AX77" s="3">
        <f>BF320</f>
        <v>14.713335665599899</v>
      </c>
      <c r="AY77" s="3">
        <f>BG320</f>
        <v>16.453345251337701</v>
      </c>
      <c r="AZ77" s="3">
        <f>BH320</f>
        <v>17.905628368932501</v>
      </c>
      <c r="BA77" s="3">
        <f>BI320</f>
        <v>19.080274683847598</v>
      </c>
      <c r="BB77" s="3">
        <f>BJ320</f>
        <v>20.0141476269566</v>
      </c>
      <c r="BC77" s="3">
        <f>BK320</f>
        <v>20.756823912873099</v>
      </c>
      <c r="BD77" s="3">
        <f>BL320</f>
        <v>21.333951800786899</v>
      </c>
      <c r="BE77" s="3">
        <f>BM320</f>
        <v>21.735087043844299</v>
      </c>
      <c r="BF77" s="3">
        <f>BN320</f>
        <v>21.987087196508</v>
      </c>
      <c r="BG77" s="3">
        <f>BO320</f>
        <v>22.263365992555102</v>
      </c>
      <c r="BH77" s="3">
        <f>BP320</f>
        <v>22.5596250987779</v>
      </c>
      <c r="BI77" s="3">
        <f>BQ320</f>
        <v>22.870817053979899</v>
      </c>
      <c r="BJ77" s="3">
        <f>BR320</f>
        <v>23.193317051785201</v>
      </c>
      <c r="BK77" s="3">
        <f>BS320</f>
        <v>23.523626228633699</v>
      </c>
      <c r="BL77" s="3">
        <f>BT320</f>
        <v>23.859289008285899</v>
      </c>
      <c r="BM77" s="3">
        <f>BU320</f>
        <v>24.198558505106401</v>
      </c>
      <c r="BN77" s="3">
        <f>BV320</f>
        <v>24.539878896823598</v>
      </c>
      <c r="BO77" s="3">
        <f>BW320</f>
        <v>24.8818823453066</v>
      </c>
      <c r="BP77" s="3">
        <f>BX320</f>
        <v>25.223519105285401</v>
      </c>
      <c r="BQ77" s="3">
        <f>BY320</f>
        <v>25.568519430341901</v>
      </c>
      <c r="BR77" s="3">
        <f>BZ320</f>
        <v>25.918636184206701</v>
      </c>
      <c r="BS77" s="3">
        <f>CA320</f>
        <v>26.274801669568198</v>
      </c>
      <c r="BT77" s="3">
        <f t="shared" si="43"/>
        <v>26.6373687254281</v>
      </c>
      <c r="BU77" s="3">
        <f t="shared" si="43"/>
        <v>27.007004363819501</v>
      </c>
      <c r="BV77" s="3">
        <f t="shared" si="43"/>
        <v>27.384033601075998</v>
      </c>
      <c r="BW77" s="3">
        <f t="shared" si="43"/>
        <v>27.767648191347</v>
      </c>
      <c r="BX77" s="3">
        <f t="shared" si="43"/>
        <v>28.158197383904799</v>
      </c>
      <c r="BY77" s="3">
        <f t="shared" si="43"/>
        <v>28.5557157648459</v>
      </c>
      <c r="BZ77" s="3">
        <f t="shared" si="43"/>
        <v>28.960208866240698</v>
      </c>
      <c r="CA77" s="3">
        <f t="shared" si="43"/>
        <v>29.371729790219302</v>
      </c>
      <c r="CB77" s="3">
        <f t="shared" si="43"/>
        <v>29.791703837197499</v>
      </c>
      <c r="CC77" s="3">
        <f t="shared" si="43"/>
        <v>30.224969944501701</v>
      </c>
      <c r="CD77" s="3">
        <f t="shared" si="43"/>
        <v>30.674671650430501</v>
      </c>
    </row>
    <row r="78" spans="3:82" s="3" customFormat="1" x14ac:dyDescent="0.2">
      <c r="D78" s="3" t="s">
        <v>39</v>
      </c>
      <c r="F78" s="3" t="s">
        <v>7</v>
      </c>
      <c r="G78" s="3">
        <f>O321</f>
        <v>32.606999999999999</v>
      </c>
      <c r="H78" s="3">
        <f>P321</f>
        <v>32.606999999999999</v>
      </c>
      <c r="I78" s="3">
        <f>Q321</f>
        <v>34.021999999999998</v>
      </c>
      <c r="J78" s="3">
        <f>R321</f>
        <v>40.497999999999998</v>
      </c>
      <c r="K78" s="3">
        <f>S321</f>
        <v>47.002000000000002</v>
      </c>
      <c r="L78" s="3">
        <f>T321</f>
        <v>48.636000000000003</v>
      </c>
      <c r="M78" s="3">
        <f>U321</f>
        <v>49.866</v>
      </c>
      <c r="N78" s="3">
        <f>V321</f>
        <v>59.673999999999999</v>
      </c>
      <c r="O78" s="3">
        <f>W321</f>
        <v>59.725000000000001</v>
      </c>
      <c r="P78" s="3">
        <f>X321</f>
        <v>68.245999999999995</v>
      </c>
      <c r="Q78" s="3">
        <f>Y321</f>
        <v>83.578999999999994</v>
      </c>
      <c r="R78" s="3">
        <f>Z321</f>
        <v>109.17700000000001</v>
      </c>
      <c r="S78" s="3">
        <f>AA321</f>
        <v>121.38200000000001</v>
      </c>
      <c r="T78" s="3">
        <f>AB321</f>
        <v>136.624</v>
      </c>
      <c r="U78" s="3">
        <f>AC321</f>
        <v>148.702</v>
      </c>
      <c r="V78" s="3">
        <f>AD321</f>
        <v>164.102</v>
      </c>
      <c r="W78" s="3">
        <f>AE321</f>
        <v>172.131</v>
      </c>
      <c r="X78" s="3">
        <f>AF321</f>
        <v>165.309</v>
      </c>
      <c r="Y78" s="3">
        <f>AG321</f>
        <v>153.239</v>
      </c>
      <c r="Z78" s="3">
        <f>AH321</f>
        <v>255.10300000000001</v>
      </c>
      <c r="AA78" s="3">
        <f>AI321</f>
        <v>173.804</v>
      </c>
      <c r="AB78" s="3">
        <f>AJ321</f>
        <v>273.45800000000003</v>
      </c>
      <c r="AC78" s="3">
        <f>AK321</f>
        <v>284.38400000000001</v>
      </c>
      <c r="AD78" s="3">
        <f>AL321</f>
        <v>179.82400000000001</v>
      </c>
      <c r="AE78" s="3">
        <f>AM321</f>
        <v>508.23099999999999</v>
      </c>
      <c r="AF78" s="3">
        <f>AN321</f>
        <v>646.54224341132203</v>
      </c>
      <c r="AG78" s="3">
        <f>AO321</f>
        <v>664.185510326903</v>
      </c>
      <c r="AH78" s="3">
        <f>AP321</f>
        <v>669.66274949292108</v>
      </c>
      <c r="AI78" s="3">
        <f>AQ321</f>
        <v>671.70921282166796</v>
      </c>
      <c r="AJ78" s="3">
        <f>AR321</f>
        <v>695.49269035981399</v>
      </c>
      <c r="AK78" s="3">
        <f>AS321</f>
        <v>722.35301924489909</v>
      </c>
      <c r="AL78" s="3">
        <f>AT321</f>
        <v>754.39569316166296</v>
      </c>
      <c r="AM78" s="3">
        <f>AU321</f>
        <v>789.58334159717504</v>
      </c>
      <c r="AN78" s="3">
        <f>AV321</f>
        <v>828.93243476214991</v>
      </c>
      <c r="AO78" s="3">
        <f>AW321</f>
        <v>871.16485316685794</v>
      </c>
      <c r="AP78" s="3">
        <f>AX321</f>
        <v>914.29436824045695</v>
      </c>
      <c r="AQ78" s="3">
        <f>AY321</f>
        <v>955.51148542875796</v>
      </c>
      <c r="AR78" s="3">
        <f>AZ321</f>
        <v>992.33394789315298</v>
      </c>
      <c r="AS78" s="3">
        <f>BA321</f>
        <v>1022.09637737534</v>
      </c>
      <c r="AT78" s="3">
        <f>BB321</f>
        <v>1042.97926226148</v>
      </c>
      <c r="AU78" s="3">
        <f>BC321</f>
        <v>1054.7663270283899</v>
      </c>
      <c r="AV78" s="3">
        <f>BD321</f>
        <v>1059.1492071913201</v>
      </c>
      <c r="AW78" s="3">
        <f>BE321</f>
        <v>1059.2043756273399</v>
      </c>
      <c r="AX78" s="3">
        <f>BF321</f>
        <v>1058.2497315291</v>
      </c>
      <c r="AY78" s="3">
        <f>BG321</f>
        <v>1058.79919765772</v>
      </c>
      <c r="AZ78" s="3">
        <f>BH321</f>
        <v>1061.9187716438801</v>
      </c>
      <c r="BA78" s="3">
        <f>BI321</f>
        <v>1067.77447005522</v>
      </c>
      <c r="BB78" s="3">
        <f>BJ321</f>
        <v>1075.81915123611</v>
      </c>
      <c r="BC78" s="3">
        <f>BK321</f>
        <v>1085.5123470425001</v>
      </c>
      <c r="BD78" s="3">
        <f>BL321</f>
        <v>1095.2449813461899</v>
      </c>
      <c r="BE78" s="3">
        <f>BM321</f>
        <v>1102.1389122545299</v>
      </c>
      <c r="BF78" s="3">
        <f>BN321</f>
        <v>1114.9172909923</v>
      </c>
      <c r="BG78" s="3">
        <f>BO321</f>
        <v>1128.9267868429599</v>
      </c>
      <c r="BH78" s="3">
        <f>BP321</f>
        <v>1143.94944069382</v>
      </c>
      <c r="BI78" s="3">
        <f>BQ321</f>
        <v>1159.72930678392</v>
      </c>
      <c r="BJ78" s="3">
        <f>BR321</f>
        <v>1176.0825790789099</v>
      </c>
      <c r="BK78" s="3">
        <f>BS321</f>
        <v>1192.8318378302199</v>
      </c>
      <c r="BL78" s="3">
        <f>BT321</f>
        <v>1209.8525661164099</v>
      </c>
      <c r="BM78" s="3">
        <f>BU321</f>
        <v>1227.05618317268</v>
      </c>
      <c r="BN78" s="3">
        <f>BV321</f>
        <v>1244.36379664112</v>
      </c>
      <c r="BO78" s="3">
        <f>BW321</f>
        <v>1261.70604643004</v>
      </c>
      <c r="BP78" s="3">
        <f>BX321</f>
        <v>1279.0297022437701</v>
      </c>
      <c r="BQ78" s="3">
        <f>BY321</f>
        <v>1296.52391711479</v>
      </c>
      <c r="BR78" s="3">
        <f>BZ321</f>
        <v>1314.2775749441</v>
      </c>
      <c r="BS78" s="3">
        <f>CA321</f>
        <v>1332.3379507699301</v>
      </c>
      <c r="BT78" s="3">
        <f t="shared" si="43"/>
        <v>1350.72293628936</v>
      </c>
      <c r="BU78" s="3">
        <f t="shared" si="43"/>
        <v>1369.46635422946</v>
      </c>
      <c r="BV78" s="3">
        <f t="shared" si="43"/>
        <v>1388.5846854604199</v>
      </c>
      <c r="BW78" s="3">
        <f t="shared" si="43"/>
        <v>1408.0369455959999</v>
      </c>
      <c r="BX78" s="3">
        <f t="shared" si="43"/>
        <v>1427.84084430592</v>
      </c>
      <c r="BY78" s="3">
        <f t="shared" si="43"/>
        <v>1447.9981353757901</v>
      </c>
      <c r="BZ78" s="3">
        <f t="shared" si="43"/>
        <v>1468.50909932483</v>
      </c>
      <c r="CA78" s="3">
        <f t="shared" si="43"/>
        <v>1489.3764288463899</v>
      </c>
      <c r="CB78" s="3">
        <f t="shared" si="43"/>
        <v>1510.67239781942</v>
      </c>
      <c r="CC78" s="3">
        <f t="shared" si="43"/>
        <v>1532.6423782136901</v>
      </c>
      <c r="CD78" s="3">
        <f t="shared" si="43"/>
        <v>1555.4457720078599</v>
      </c>
    </row>
    <row r="79" spans="3:82" s="3" customFormat="1" x14ac:dyDescent="0.2">
      <c r="D79" s="3" t="s">
        <v>39</v>
      </c>
      <c r="F79" s="3" t="s">
        <v>8</v>
      </c>
      <c r="G79" s="3">
        <f>O322</f>
        <v>0</v>
      </c>
      <c r="H79" s="3">
        <f>P322</f>
        <v>0</v>
      </c>
      <c r="I79" s="3">
        <f>Q322</f>
        <v>0</v>
      </c>
      <c r="J79" s="3">
        <f>R322</f>
        <v>0</v>
      </c>
      <c r="K79" s="3">
        <f>S322</f>
        <v>0</v>
      </c>
      <c r="L79" s="3">
        <f>T322</f>
        <v>0</v>
      </c>
      <c r="M79" s="3">
        <f>U322</f>
        <v>0</v>
      </c>
      <c r="N79" s="3">
        <f>V322</f>
        <v>0</v>
      </c>
      <c r="O79" s="3">
        <f>W322</f>
        <v>0</v>
      </c>
      <c r="P79" s="3">
        <f>X322</f>
        <v>0.27300000000000002</v>
      </c>
      <c r="Q79" s="3">
        <f>Y322</f>
        <v>0.27300000000000002</v>
      </c>
      <c r="R79" s="3">
        <f>Z322</f>
        <v>0.27300000000000002</v>
      </c>
      <c r="S79" s="3">
        <f>AA322</f>
        <v>0.27300000000000002</v>
      </c>
      <c r="T79" s="3">
        <f>AB322</f>
        <v>0.27300000000000002</v>
      </c>
      <c r="U79" s="3">
        <f>AC322</f>
        <v>0.27300000000000002</v>
      </c>
      <c r="V79" s="3">
        <f>AD322</f>
        <v>0.27300000000000002</v>
      </c>
      <c r="W79" s="3">
        <f>AE322</f>
        <v>0.27300000000000002</v>
      </c>
      <c r="X79" s="3">
        <f>AF322</f>
        <v>0.27300000000000002</v>
      </c>
      <c r="Y79" s="3">
        <f>AG322</f>
        <v>0.27300000000000002</v>
      </c>
      <c r="Z79" s="3">
        <f>AH322</f>
        <v>0.54600000000000004</v>
      </c>
      <c r="AA79" s="3">
        <f>AI322</f>
        <v>0.54600000000000004</v>
      </c>
      <c r="AB79" s="3">
        <f>AJ322</f>
        <v>0.54600000000000004</v>
      </c>
      <c r="AC79" s="3">
        <f>AK322</f>
        <v>0.54600000000000004</v>
      </c>
      <c r="AD79" s="3">
        <f>AL322</f>
        <v>0.54600000000000004</v>
      </c>
      <c r="AE79" s="3">
        <f>AM322</f>
        <v>1.0920000000000001</v>
      </c>
      <c r="AF79" s="3">
        <f>AN322</f>
        <v>3.3873009728887999</v>
      </c>
      <c r="AG79" s="3">
        <f>AO322</f>
        <v>3.4797358536675</v>
      </c>
      <c r="AH79" s="3">
        <f>AP322</f>
        <v>3.5084316701356002</v>
      </c>
      <c r="AI79" s="3">
        <f>AQ322</f>
        <v>3.5191533009260998</v>
      </c>
      <c r="AJ79" s="3">
        <f>AR322</f>
        <v>3.6437573734747999</v>
      </c>
      <c r="AK79" s="3">
        <f>AS322</f>
        <v>3.7844813850791001</v>
      </c>
      <c r="AL79" s="3">
        <f>AT322</f>
        <v>3.952356232605899</v>
      </c>
      <c r="AM79" s="3">
        <f>AU322</f>
        <v>4.2174646890921004</v>
      </c>
      <c r="AN79" s="3">
        <f>AV322</f>
        <v>4.554659393633</v>
      </c>
      <c r="AO79" s="3">
        <f>AW322</f>
        <v>4.9849988118006001</v>
      </c>
      <c r="AP79" s="3">
        <f>AX322</f>
        <v>5.5370446901039001</v>
      </c>
      <c r="AQ79" s="3">
        <f>AY322</f>
        <v>6.2460159420402999</v>
      </c>
      <c r="AR79" s="3">
        <f>AZ322</f>
        <v>7.1556917963483997</v>
      </c>
      <c r="AS79" s="3">
        <f>BA322</f>
        <v>8.3014709641923989</v>
      </c>
      <c r="AT79" s="3">
        <f>BB322</f>
        <v>9.6929795520221997</v>
      </c>
      <c r="AU79" s="3">
        <f>BC322</f>
        <v>11.293979455152</v>
      </c>
      <c r="AV79" s="3">
        <f>BD322</f>
        <v>13.0161999447465</v>
      </c>
      <c r="AW79" s="3">
        <f>BE322</f>
        <v>14.7388277237034</v>
      </c>
      <c r="AX79" s="3">
        <f>BF322</f>
        <v>16.346557434755901</v>
      </c>
      <c r="AY79" s="3">
        <f>BG322</f>
        <v>17.762756180597801</v>
      </c>
      <c r="AZ79" s="3">
        <f>BH322</f>
        <v>18.9558137141739</v>
      </c>
      <c r="BA79" s="3">
        <f>BI322</f>
        <v>19.934617615584799</v>
      </c>
      <c r="BB79" s="3">
        <f>BJ322</f>
        <v>20.7268527840125</v>
      </c>
      <c r="BC79" s="3">
        <f>BK322</f>
        <v>21.370562527865602</v>
      </c>
      <c r="BD79" s="3">
        <f>BL322</f>
        <v>21.879912483577598</v>
      </c>
      <c r="BE79" s="3">
        <f>BM322</f>
        <v>22.234474510987301</v>
      </c>
      <c r="BF79" s="3">
        <f>BN322</f>
        <v>22.492264643589898</v>
      </c>
      <c r="BG79" s="3">
        <f>BO322</f>
        <v>22.7748912480406</v>
      </c>
      <c r="BH79" s="3">
        <f>BP322</f>
        <v>23.077957232210299</v>
      </c>
      <c r="BI79" s="3">
        <f>BQ322</f>
        <v>23.396299163945201</v>
      </c>
      <c r="BJ79" s="3">
        <f>BR322</f>
        <v>23.726208952966498</v>
      </c>
      <c r="BK79" s="3">
        <f>BS322</f>
        <v>24.064107345485901</v>
      </c>
      <c r="BL79" s="3">
        <f>BT322</f>
        <v>24.407482345705802</v>
      </c>
      <c r="BM79" s="3">
        <f>BU322</f>
        <v>24.7545469313776</v>
      </c>
      <c r="BN79" s="3">
        <f>BV322</f>
        <v>25.103709533505999</v>
      </c>
      <c r="BO79" s="3">
        <f>BW322</f>
        <v>25.453570886378799</v>
      </c>
      <c r="BP79" s="3">
        <f>BX322</f>
        <v>25.803057125676499</v>
      </c>
      <c r="BQ79" s="3">
        <f>BY322</f>
        <v>26.155984211649599</v>
      </c>
      <c r="BR79" s="3">
        <f>BZ322</f>
        <v>26.514145281995201</v>
      </c>
      <c r="BS79" s="3">
        <f>CA322</f>
        <v>26.878494060078602</v>
      </c>
      <c r="BT79" s="3">
        <f t="shared" si="43"/>
        <v>27.249391491765099</v>
      </c>
      <c r="BU79" s="3">
        <f t="shared" si="43"/>
        <v>27.627519914420201</v>
      </c>
      <c r="BV79" s="3">
        <f t="shared" si="43"/>
        <v>28.013211811984998</v>
      </c>
      <c r="BW79" s="3">
        <f t="shared" si="43"/>
        <v>28.4056403682739</v>
      </c>
      <c r="BX79" s="3">
        <f t="shared" si="43"/>
        <v>28.8051628569436</v>
      </c>
      <c r="BY79" s="3">
        <f t="shared" si="43"/>
        <v>29.2118146587448</v>
      </c>
      <c r="BZ79" s="3">
        <f t="shared" si="43"/>
        <v>29.6256014328529</v>
      </c>
      <c r="CA79" s="3">
        <f t="shared" si="43"/>
        <v>30.046577501477799</v>
      </c>
      <c r="CB79" s="3">
        <f t="shared" si="43"/>
        <v>30.476200912876301</v>
      </c>
      <c r="CC79" s="3">
        <f t="shared" si="43"/>
        <v>30.919421784267101</v>
      </c>
      <c r="CD79" s="3">
        <f t="shared" si="43"/>
        <v>31.379455880189902</v>
      </c>
    </row>
    <row r="80" spans="3:82" s="4" customFormat="1" x14ac:dyDescent="0.2">
      <c r="C80" s="4" t="s">
        <v>40</v>
      </c>
      <c r="G80" s="4">
        <f>SUM(G81:G83)</f>
        <v>0</v>
      </c>
      <c r="H80" s="4">
        <f t="shared" ref="H80:BS80" si="45">SUM(H81:H83)</f>
        <v>0</v>
      </c>
      <c r="I80" s="4">
        <f t="shared" si="45"/>
        <v>0</v>
      </c>
      <c r="J80" s="4">
        <f t="shared" si="45"/>
        <v>0</v>
      </c>
      <c r="K80" s="4">
        <f t="shared" si="45"/>
        <v>0</v>
      </c>
      <c r="L80" s="4">
        <f t="shared" si="45"/>
        <v>0</v>
      </c>
      <c r="M80" s="4">
        <f t="shared" si="45"/>
        <v>0</v>
      </c>
      <c r="N80" s="4">
        <f t="shared" si="45"/>
        <v>0</v>
      </c>
      <c r="O80" s="4">
        <f t="shared" si="45"/>
        <v>0</v>
      </c>
      <c r="P80" s="4">
        <f t="shared" si="45"/>
        <v>0</v>
      </c>
      <c r="Q80" s="4">
        <f t="shared" si="45"/>
        <v>0</v>
      </c>
      <c r="R80" s="4">
        <f t="shared" si="45"/>
        <v>0</v>
      </c>
      <c r="S80" s="4">
        <f t="shared" si="45"/>
        <v>0</v>
      </c>
      <c r="T80" s="4">
        <f t="shared" si="45"/>
        <v>0</v>
      </c>
      <c r="U80" s="4">
        <f t="shared" si="45"/>
        <v>0</v>
      </c>
      <c r="V80" s="4">
        <f t="shared" si="45"/>
        <v>0</v>
      </c>
      <c r="W80" s="4">
        <f t="shared" si="45"/>
        <v>0</v>
      </c>
      <c r="X80" s="4">
        <f t="shared" si="45"/>
        <v>0</v>
      </c>
      <c r="Y80" s="4">
        <f t="shared" si="45"/>
        <v>0</v>
      </c>
      <c r="Z80" s="4">
        <f t="shared" si="45"/>
        <v>0</v>
      </c>
      <c r="AA80" s="4">
        <f t="shared" si="45"/>
        <v>0</v>
      </c>
      <c r="AB80" s="4">
        <f t="shared" si="45"/>
        <v>0</v>
      </c>
      <c r="AC80" s="4">
        <f t="shared" si="45"/>
        <v>0</v>
      </c>
      <c r="AD80" s="4">
        <f t="shared" si="45"/>
        <v>0</v>
      </c>
      <c r="AE80" s="4">
        <f t="shared" si="45"/>
        <v>3.1850000000000001</v>
      </c>
      <c r="AF80" s="4">
        <f t="shared" si="45"/>
        <v>0</v>
      </c>
      <c r="AG80" s="4">
        <f t="shared" si="45"/>
        <v>0</v>
      </c>
      <c r="AH80" s="4">
        <f t="shared" si="45"/>
        <v>0</v>
      </c>
      <c r="AI80" s="4">
        <f t="shared" si="45"/>
        <v>0</v>
      </c>
      <c r="AJ80" s="4">
        <f t="shared" si="45"/>
        <v>0</v>
      </c>
      <c r="AK80" s="4">
        <f t="shared" si="45"/>
        <v>0</v>
      </c>
      <c r="AL80" s="4">
        <f t="shared" si="45"/>
        <v>0</v>
      </c>
      <c r="AM80" s="4">
        <f t="shared" si="45"/>
        <v>0</v>
      </c>
      <c r="AN80" s="4">
        <f t="shared" si="45"/>
        <v>0</v>
      </c>
      <c r="AO80" s="4">
        <f t="shared" si="45"/>
        <v>0</v>
      </c>
      <c r="AP80" s="4">
        <f t="shared" si="45"/>
        <v>0</v>
      </c>
      <c r="AQ80" s="4">
        <f t="shared" si="45"/>
        <v>0</v>
      </c>
      <c r="AR80" s="4">
        <f t="shared" si="45"/>
        <v>0</v>
      </c>
      <c r="AS80" s="4">
        <f t="shared" si="45"/>
        <v>0</v>
      </c>
      <c r="AT80" s="4">
        <f t="shared" si="45"/>
        <v>0</v>
      </c>
      <c r="AU80" s="4">
        <f t="shared" si="45"/>
        <v>0</v>
      </c>
      <c r="AV80" s="4">
        <f t="shared" si="45"/>
        <v>0</v>
      </c>
      <c r="AW80" s="4">
        <f t="shared" si="45"/>
        <v>0</v>
      </c>
      <c r="AX80" s="4">
        <f t="shared" si="45"/>
        <v>0</v>
      </c>
      <c r="AY80" s="4">
        <f t="shared" si="45"/>
        <v>0</v>
      </c>
      <c r="AZ80" s="4">
        <f t="shared" si="45"/>
        <v>0</v>
      </c>
      <c r="BA80" s="4">
        <f t="shared" si="45"/>
        <v>0</v>
      </c>
      <c r="BB80" s="4">
        <f t="shared" si="45"/>
        <v>0</v>
      </c>
      <c r="BC80" s="4">
        <f t="shared" si="45"/>
        <v>0</v>
      </c>
      <c r="BD80" s="4">
        <f t="shared" si="45"/>
        <v>0</v>
      </c>
      <c r="BE80" s="4">
        <f t="shared" si="45"/>
        <v>0</v>
      </c>
      <c r="BF80" s="4">
        <f t="shared" si="45"/>
        <v>0</v>
      </c>
      <c r="BG80" s="4">
        <f t="shared" si="45"/>
        <v>0</v>
      </c>
      <c r="BH80" s="4">
        <f t="shared" si="45"/>
        <v>0</v>
      </c>
      <c r="BI80" s="4">
        <f t="shared" si="45"/>
        <v>0</v>
      </c>
      <c r="BJ80" s="4">
        <f t="shared" si="45"/>
        <v>0</v>
      </c>
      <c r="BK80" s="4">
        <f t="shared" si="45"/>
        <v>0</v>
      </c>
      <c r="BL80" s="4">
        <f t="shared" si="45"/>
        <v>0</v>
      </c>
      <c r="BM80" s="4">
        <f t="shared" si="45"/>
        <v>0</v>
      </c>
      <c r="BN80" s="4">
        <f t="shared" si="45"/>
        <v>0</v>
      </c>
      <c r="BO80" s="4">
        <f t="shared" si="45"/>
        <v>0</v>
      </c>
      <c r="BP80" s="4">
        <f t="shared" si="45"/>
        <v>0</v>
      </c>
      <c r="BQ80" s="4">
        <f t="shared" si="45"/>
        <v>0</v>
      </c>
      <c r="BR80" s="4">
        <f t="shared" si="45"/>
        <v>0</v>
      </c>
      <c r="BS80" s="4">
        <f t="shared" si="45"/>
        <v>0</v>
      </c>
      <c r="BT80" s="4">
        <f t="shared" ref="BT80:CD80" si="46">SUM(BT81:BT83)</f>
        <v>0</v>
      </c>
      <c r="BU80" s="4">
        <f t="shared" si="46"/>
        <v>0</v>
      </c>
      <c r="BV80" s="4">
        <f t="shared" si="46"/>
        <v>0</v>
      </c>
      <c r="BW80" s="4">
        <f t="shared" si="46"/>
        <v>0</v>
      </c>
      <c r="BX80" s="4">
        <f t="shared" si="46"/>
        <v>0</v>
      </c>
      <c r="BY80" s="4">
        <f t="shared" si="46"/>
        <v>0</v>
      </c>
      <c r="BZ80" s="4">
        <f t="shared" si="46"/>
        <v>0</v>
      </c>
      <c r="CA80" s="4">
        <f t="shared" si="46"/>
        <v>0</v>
      </c>
      <c r="CB80" s="4">
        <f t="shared" si="46"/>
        <v>0</v>
      </c>
      <c r="CC80" s="4">
        <f t="shared" si="46"/>
        <v>0</v>
      </c>
      <c r="CD80" s="4">
        <f t="shared" si="46"/>
        <v>0</v>
      </c>
    </row>
    <row r="81" spans="2:82" s="3" customFormat="1" x14ac:dyDescent="0.2">
      <c r="F81" s="3" t="s">
        <v>6</v>
      </c>
      <c r="G81" s="3">
        <f>O323</f>
        <v>0</v>
      </c>
      <c r="H81" s="3">
        <f t="shared" ref="H81:BR81" si="47">P323</f>
        <v>0</v>
      </c>
      <c r="I81" s="3">
        <f t="shared" si="47"/>
        <v>0</v>
      </c>
      <c r="J81" s="3">
        <f t="shared" si="47"/>
        <v>0</v>
      </c>
      <c r="K81" s="3">
        <f t="shared" si="47"/>
        <v>0</v>
      </c>
      <c r="L81" s="3">
        <f t="shared" si="47"/>
        <v>0</v>
      </c>
      <c r="M81" s="3">
        <f t="shared" si="47"/>
        <v>0</v>
      </c>
      <c r="N81" s="3">
        <f t="shared" si="47"/>
        <v>0</v>
      </c>
      <c r="O81" s="3">
        <f t="shared" si="47"/>
        <v>0</v>
      </c>
      <c r="P81" s="3">
        <f t="shared" si="47"/>
        <v>0</v>
      </c>
      <c r="Q81" s="3">
        <f t="shared" si="47"/>
        <v>0</v>
      </c>
      <c r="R81" s="3">
        <f t="shared" si="47"/>
        <v>0</v>
      </c>
      <c r="S81" s="3">
        <f t="shared" si="47"/>
        <v>0</v>
      </c>
      <c r="T81" s="3">
        <f t="shared" si="47"/>
        <v>0</v>
      </c>
      <c r="U81" s="3">
        <f t="shared" si="47"/>
        <v>0</v>
      </c>
      <c r="V81" s="3">
        <f t="shared" si="47"/>
        <v>0</v>
      </c>
      <c r="W81" s="3">
        <f t="shared" si="47"/>
        <v>0</v>
      </c>
      <c r="X81" s="3">
        <f t="shared" si="47"/>
        <v>0</v>
      </c>
      <c r="Y81" s="3">
        <f t="shared" si="47"/>
        <v>0</v>
      </c>
      <c r="Z81" s="3">
        <f t="shared" si="47"/>
        <v>0</v>
      </c>
      <c r="AA81" s="3">
        <f t="shared" si="47"/>
        <v>0</v>
      </c>
      <c r="AB81" s="3">
        <f t="shared" si="47"/>
        <v>0</v>
      </c>
      <c r="AC81" s="3">
        <f t="shared" si="47"/>
        <v>0</v>
      </c>
      <c r="AD81" s="3">
        <f t="shared" si="47"/>
        <v>0</v>
      </c>
      <c r="AE81" s="3">
        <f t="shared" si="47"/>
        <v>0</v>
      </c>
      <c r="AF81" s="3">
        <f t="shared" si="47"/>
        <v>0</v>
      </c>
      <c r="AG81" s="3">
        <f t="shared" si="47"/>
        <v>0</v>
      </c>
      <c r="AH81" s="3">
        <f t="shared" si="47"/>
        <v>0</v>
      </c>
      <c r="AI81" s="3">
        <f t="shared" si="47"/>
        <v>0</v>
      </c>
      <c r="AJ81" s="3">
        <f t="shared" si="47"/>
        <v>0</v>
      </c>
      <c r="AK81" s="3">
        <f t="shared" si="47"/>
        <v>0</v>
      </c>
      <c r="AL81" s="3">
        <f t="shared" si="47"/>
        <v>0</v>
      </c>
      <c r="AM81" s="3">
        <f t="shared" si="47"/>
        <v>0</v>
      </c>
      <c r="AN81" s="3">
        <f t="shared" si="47"/>
        <v>0</v>
      </c>
      <c r="AO81" s="3">
        <f t="shared" si="47"/>
        <v>0</v>
      </c>
      <c r="AP81" s="3">
        <f t="shared" si="47"/>
        <v>0</v>
      </c>
      <c r="AQ81" s="3">
        <f t="shared" si="47"/>
        <v>0</v>
      </c>
      <c r="AR81" s="3">
        <f t="shared" si="47"/>
        <v>0</v>
      </c>
      <c r="AS81" s="3">
        <f t="shared" si="47"/>
        <v>0</v>
      </c>
      <c r="AT81" s="3">
        <f t="shared" si="47"/>
        <v>0</v>
      </c>
      <c r="AU81" s="3">
        <f t="shared" si="47"/>
        <v>0</v>
      </c>
      <c r="AV81" s="3">
        <f t="shared" si="47"/>
        <v>0</v>
      </c>
      <c r="AW81" s="3">
        <f t="shared" si="47"/>
        <v>0</v>
      </c>
      <c r="AX81" s="3">
        <f t="shared" si="47"/>
        <v>0</v>
      </c>
      <c r="AY81" s="3">
        <f t="shared" si="47"/>
        <v>0</v>
      </c>
      <c r="AZ81" s="3">
        <f t="shared" si="47"/>
        <v>0</v>
      </c>
      <c r="BA81" s="3">
        <f t="shared" si="47"/>
        <v>0</v>
      </c>
      <c r="BB81" s="3">
        <f t="shared" si="47"/>
        <v>0</v>
      </c>
      <c r="BC81" s="3">
        <f t="shared" si="47"/>
        <v>0</v>
      </c>
      <c r="BD81" s="3">
        <f t="shared" si="47"/>
        <v>0</v>
      </c>
      <c r="BE81" s="3">
        <f t="shared" si="47"/>
        <v>0</v>
      </c>
      <c r="BF81" s="3">
        <f t="shared" si="47"/>
        <v>0</v>
      </c>
      <c r="BG81" s="3">
        <f t="shared" si="47"/>
        <v>0</v>
      </c>
      <c r="BH81" s="3">
        <f t="shared" si="47"/>
        <v>0</v>
      </c>
      <c r="BI81" s="3">
        <f t="shared" si="47"/>
        <v>0</v>
      </c>
      <c r="BJ81" s="3">
        <f t="shared" si="47"/>
        <v>0</v>
      </c>
      <c r="BK81" s="3">
        <f t="shared" si="47"/>
        <v>0</v>
      </c>
      <c r="BL81" s="3">
        <f t="shared" si="47"/>
        <v>0</v>
      </c>
      <c r="BM81" s="3">
        <f t="shared" si="47"/>
        <v>0</v>
      </c>
      <c r="BN81" s="3">
        <f t="shared" si="47"/>
        <v>0</v>
      </c>
      <c r="BO81" s="3">
        <f t="shared" si="47"/>
        <v>0</v>
      </c>
      <c r="BP81" s="3">
        <f t="shared" si="47"/>
        <v>0</v>
      </c>
      <c r="BQ81" s="3">
        <f t="shared" si="47"/>
        <v>0</v>
      </c>
      <c r="BR81" s="3">
        <f t="shared" si="47"/>
        <v>0</v>
      </c>
      <c r="BS81" s="3">
        <f>CA323</f>
        <v>0</v>
      </c>
      <c r="BT81" s="3">
        <f>CB323</f>
        <v>0</v>
      </c>
      <c r="BU81" s="3">
        <f>CC323</f>
        <v>0</v>
      </c>
      <c r="BV81" s="3">
        <f>CD323</f>
        <v>0</v>
      </c>
      <c r="BW81" s="3">
        <f>CE323</f>
        <v>0</v>
      </c>
      <c r="BX81" s="3">
        <f>CF323</f>
        <v>0</v>
      </c>
      <c r="BY81" s="3">
        <f>CG323</f>
        <v>0</v>
      </c>
      <c r="BZ81" s="3">
        <f>CH323</f>
        <v>0</v>
      </c>
      <c r="CA81" s="3">
        <f>CI323</f>
        <v>0</v>
      </c>
      <c r="CB81" s="3">
        <f>CJ323</f>
        <v>0</v>
      </c>
      <c r="CC81" s="3">
        <f>CK323</f>
        <v>0</v>
      </c>
      <c r="CD81" s="3">
        <f>CL323</f>
        <v>0</v>
      </c>
    </row>
    <row r="82" spans="2:82" s="3" customFormat="1" x14ac:dyDescent="0.2">
      <c r="F82" s="3" t="s">
        <v>7</v>
      </c>
      <c r="G82" s="3">
        <f>O324</f>
        <v>0</v>
      </c>
      <c r="H82" s="3">
        <f>P324</f>
        <v>0</v>
      </c>
      <c r="I82" s="3">
        <f>Q324</f>
        <v>0</v>
      </c>
      <c r="J82" s="3">
        <f>R324</f>
        <v>0</v>
      </c>
      <c r="K82" s="3">
        <f>S324</f>
        <v>0</v>
      </c>
      <c r="L82" s="3">
        <f>T324</f>
        <v>0</v>
      </c>
      <c r="M82" s="3">
        <f>U324</f>
        <v>0</v>
      </c>
      <c r="N82" s="3">
        <f>V324</f>
        <v>0</v>
      </c>
      <c r="O82" s="3">
        <f>W324</f>
        <v>0</v>
      </c>
      <c r="P82" s="3">
        <f>X324</f>
        <v>0</v>
      </c>
      <c r="Q82" s="3">
        <f>Y324</f>
        <v>0</v>
      </c>
      <c r="R82" s="3">
        <f>Z324</f>
        <v>0</v>
      </c>
      <c r="S82" s="3">
        <f>AA324</f>
        <v>0</v>
      </c>
      <c r="T82" s="3">
        <f>AB324</f>
        <v>0</v>
      </c>
      <c r="U82" s="3">
        <f>AC324</f>
        <v>0</v>
      </c>
      <c r="V82" s="3">
        <f>AD324</f>
        <v>0</v>
      </c>
      <c r="W82" s="3">
        <f>AE324</f>
        <v>0</v>
      </c>
      <c r="X82" s="3">
        <f>AF324</f>
        <v>0</v>
      </c>
      <c r="Y82" s="3">
        <f>AG324</f>
        <v>0</v>
      </c>
      <c r="Z82" s="3">
        <f>AH324</f>
        <v>0</v>
      </c>
      <c r="AA82" s="3">
        <f>AI324</f>
        <v>0</v>
      </c>
      <c r="AB82" s="3">
        <f>AJ324</f>
        <v>0</v>
      </c>
      <c r="AC82" s="3">
        <f>AK324</f>
        <v>0</v>
      </c>
      <c r="AD82" s="3">
        <f>AL324</f>
        <v>0</v>
      </c>
      <c r="AE82" s="3">
        <f>AM324</f>
        <v>3.1850000000000001</v>
      </c>
      <c r="AF82" s="3">
        <f>AN324</f>
        <v>0</v>
      </c>
      <c r="AG82" s="3">
        <f>AO324</f>
        <v>0</v>
      </c>
      <c r="AH82" s="3">
        <f>AP324</f>
        <v>0</v>
      </c>
      <c r="AI82" s="3">
        <f>AQ324</f>
        <v>0</v>
      </c>
      <c r="AJ82" s="3">
        <f>AR324</f>
        <v>0</v>
      </c>
      <c r="AK82" s="3">
        <f>AS324</f>
        <v>0</v>
      </c>
      <c r="AL82" s="3">
        <f>AT324</f>
        <v>0</v>
      </c>
      <c r="AM82" s="3">
        <f>AU324</f>
        <v>0</v>
      </c>
      <c r="AN82" s="3">
        <f>AV324</f>
        <v>0</v>
      </c>
      <c r="AO82" s="3">
        <f>AW324</f>
        <v>0</v>
      </c>
      <c r="AP82" s="3">
        <f>AX324</f>
        <v>0</v>
      </c>
      <c r="AQ82" s="3">
        <f>AY324</f>
        <v>0</v>
      </c>
      <c r="AR82" s="3">
        <f>AZ324</f>
        <v>0</v>
      </c>
      <c r="AS82" s="3">
        <f>BA324</f>
        <v>0</v>
      </c>
      <c r="AT82" s="3">
        <f>BB324</f>
        <v>0</v>
      </c>
      <c r="AU82" s="3">
        <f>BC324</f>
        <v>0</v>
      </c>
      <c r="AV82" s="3">
        <f>BD324</f>
        <v>0</v>
      </c>
      <c r="AW82" s="3">
        <f>BE324</f>
        <v>0</v>
      </c>
      <c r="AX82" s="3">
        <f>BF324</f>
        <v>0</v>
      </c>
      <c r="AY82" s="3">
        <f>BG324</f>
        <v>0</v>
      </c>
      <c r="AZ82" s="3">
        <f>BH324</f>
        <v>0</v>
      </c>
      <c r="BA82" s="3">
        <f>BI324</f>
        <v>0</v>
      </c>
      <c r="BB82" s="3">
        <f>BJ324</f>
        <v>0</v>
      </c>
      <c r="BC82" s="3">
        <f>BK324</f>
        <v>0</v>
      </c>
      <c r="BD82" s="3">
        <f>BL324</f>
        <v>0</v>
      </c>
      <c r="BE82" s="3">
        <f>BM324</f>
        <v>0</v>
      </c>
      <c r="BF82" s="3">
        <f>BN324</f>
        <v>0</v>
      </c>
      <c r="BG82" s="3">
        <f>BO324</f>
        <v>0</v>
      </c>
      <c r="BH82" s="3">
        <f>BP324</f>
        <v>0</v>
      </c>
      <c r="BI82" s="3">
        <f>BQ324</f>
        <v>0</v>
      </c>
      <c r="BJ82" s="3">
        <f>BR324</f>
        <v>0</v>
      </c>
      <c r="BK82" s="3">
        <f>BS324</f>
        <v>0</v>
      </c>
      <c r="BL82" s="3">
        <f>BT324</f>
        <v>0</v>
      </c>
      <c r="BM82" s="3">
        <f>BU324</f>
        <v>0</v>
      </c>
      <c r="BN82" s="3">
        <f>BV324</f>
        <v>0</v>
      </c>
      <c r="BO82" s="3">
        <f>BW324</f>
        <v>0</v>
      </c>
      <c r="BP82" s="3">
        <f>BX324</f>
        <v>0</v>
      </c>
      <c r="BQ82" s="3">
        <f>BY324</f>
        <v>0</v>
      </c>
      <c r="BR82" s="3">
        <f>BZ324</f>
        <v>0</v>
      </c>
      <c r="BS82" s="3">
        <f>CA324</f>
        <v>0</v>
      </c>
      <c r="BT82" s="3">
        <f>CB324</f>
        <v>0</v>
      </c>
      <c r="BU82" s="3">
        <f>CC324</f>
        <v>0</v>
      </c>
      <c r="BV82" s="3">
        <f>CD324</f>
        <v>0</v>
      </c>
      <c r="BW82" s="3">
        <f>CE324</f>
        <v>0</v>
      </c>
      <c r="BX82" s="3">
        <f>CF324</f>
        <v>0</v>
      </c>
      <c r="BY82" s="3">
        <f>CG324</f>
        <v>0</v>
      </c>
      <c r="BZ82" s="3">
        <f>CH324</f>
        <v>0</v>
      </c>
      <c r="CA82" s="3">
        <f>CI324</f>
        <v>0</v>
      </c>
      <c r="CB82" s="3">
        <f>CJ324</f>
        <v>0</v>
      </c>
      <c r="CC82" s="3">
        <f>CK324</f>
        <v>0</v>
      </c>
      <c r="CD82" s="3">
        <f>CL324</f>
        <v>0</v>
      </c>
    </row>
    <row r="83" spans="2:82" s="3" customFormat="1" x14ac:dyDescent="0.2">
      <c r="F83" s="3" t="s">
        <v>8</v>
      </c>
      <c r="G83" s="3">
        <f>O325</f>
        <v>0</v>
      </c>
      <c r="H83" s="3">
        <f>P325</f>
        <v>0</v>
      </c>
      <c r="I83" s="3">
        <f>Q325</f>
        <v>0</v>
      </c>
      <c r="J83" s="3">
        <f>R325</f>
        <v>0</v>
      </c>
      <c r="K83" s="3">
        <f>S325</f>
        <v>0</v>
      </c>
      <c r="L83" s="3">
        <f>T325</f>
        <v>0</v>
      </c>
      <c r="M83" s="3">
        <f>U325</f>
        <v>0</v>
      </c>
      <c r="N83" s="3">
        <f>V325</f>
        <v>0</v>
      </c>
      <c r="O83" s="3">
        <f>W325</f>
        <v>0</v>
      </c>
      <c r="P83" s="3">
        <f>X325</f>
        <v>0</v>
      </c>
      <c r="Q83" s="3">
        <f>Y325</f>
        <v>0</v>
      </c>
      <c r="R83" s="3">
        <f>Z325</f>
        <v>0</v>
      </c>
      <c r="S83" s="3">
        <f>AA325</f>
        <v>0</v>
      </c>
      <c r="T83" s="3">
        <f>AB325</f>
        <v>0</v>
      </c>
      <c r="U83" s="3">
        <f>AC325</f>
        <v>0</v>
      </c>
      <c r="V83" s="3">
        <f>AD325</f>
        <v>0</v>
      </c>
      <c r="W83" s="3">
        <f>AE325</f>
        <v>0</v>
      </c>
      <c r="X83" s="3">
        <f>AF325</f>
        <v>0</v>
      </c>
      <c r="Y83" s="3">
        <f>AG325</f>
        <v>0</v>
      </c>
      <c r="Z83" s="3">
        <f>AH325</f>
        <v>0</v>
      </c>
      <c r="AA83" s="3">
        <f>AI325</f>
        <v>0</v>
      </c>
      <c r="AB83" s="3">
        <f>AJ325</f>
        <v>0</v>
      </c>
      <c r="AC83" s="3">
        <f>AK325</f>
        <v>0</v>
      </c>
      <c r="AD83" s="3">
        <f>AL325</f>
        <v>0</v>
      </c>
      <c r="AE83" s="3">
        <f>AM325</f>
        <v>0</v>
      </c>
      <c r="AF83" s="3">
        <f>AN325</f>
        <v>0</v>
      </c>
      <c r="AG83" s="3">
        <f>AO325</f>
        <v>0</v>
      </c>
      <c r="AH83" s="3">
        <f>AP325</f>
        <v>0</v>
      </c>
      <c r="AI83" s="3">
        <f>AQ325</f>
        <v>0</v>
      </c>
      <c r="AJ83" s="3">
        <f>AR325</f>
        <v>0</v>
      </c>
      <c r="AK83" s="3">
        <f>AS325</f>
        <v>0</v>
      </c>
      <c r="AL83" s="3">
        <f>AT325</f>
        <v>0</v>
      </c>
      <c r="AM83" s="3">
        <f>AU325</f>
        <v>0</v>
      </c>
      <c r="AN83" s="3">
        <f>AV325</f>
        <v>0</v>
      </c>
      <c r="AO83" s="3">
        <f>AW325</f>
        <v>0</v>
      </c>
      <c r="AP83" s="3">
        <f>AX325</f>
        <v>0</v>
      </c>
      <c r="AQ83" s="3">
        <f>AY325</f>
        <v>0</v>
      </c>
      <c r="AR83" s="3">
        <f>AZ325</f>
        <v>0</v>
      </c>
      <c r="AS83" s="3">
        <f>BA325</f>
        <v>0</v>
      </c>
      <c r="AT83" s="3">
        <f>BB325</f>
        <v>0</v>
      </c>
      <c r="AU83" s="3">
        <f>BC325</f>
        <v>0</v>
      </c>
      <c r="AV83" s="3">
        <f>BD325</f>
        <v>0</v>
      </c>
      <c r="AW83" s="3">
        <f>BE325</f>
        <v>0</v>
      </c>
      <c r="AX83" s="3">
        <f>BF325</f>
        <v>0</v>
      </c>
      <c r="AY83" s="3">
        <f>BG325</f>
        <v>0</v>
      </c>
      <c r="AZ83" s="3">
        <f>BH325</f>
        <v>0</v>
      </c>
      <c r="BA83" s="3">
        <f>BI325</f>
        <v>0</v>
      </c>
      <c r="BB83" s="3">
        <f>BJ325</f>
        <v>0</v>
      </c>
      <c r="BC83" s="3">
        <f>BK325</f>
        <v>0</v>
      </c>
      <c r="BD83" s="3">
        <f>BL325</f>
        <v>0</v>
      </c>
      <c r="BE83" s="3">
        <f>BM325</f>
        <v>0</v>
      </c>
      <c r="BF83" s="3">
        <f>BN325</f>
        <v>0</v>
      </c>
      <c r="BG83" s="3">
        <f>BO325</f>
        <v>0</v>
      </c>
      <c r="BH83" s="3">
        <f>BP325</f>
        <v>0</v>
      </c>
      <c r="BI83" s="3">
        <f>BQ325</f>
        <v>0</v>
      </c>
      <c r="BJ83" s="3">
        <f>BR325</f>
        <v>0</v>
      </c>
      <c r="BK83" s="3">
        <f>BS325</f>
        <v>0</v>
      </c>
      <c r="BL83" s="3">
        <f>BT325</f>
        <v>0</v>
      </c>
      <c r="BM83" s="3">
        <f>BU325</f>
        <v>0</v>
      </c>
      <c r="BN83" s="3">
        <f>BV325</f>
        <v>0</v>
      </c>
      <c r="BO83" s="3">
        <f>BW325</f>
        <v>0</v>
      </c>
      <c r="BP83" s="3">
        <f>BX325</f>
        <v>0</v>
      </c>
      <c r="BQ83" s="3">
        <f>BY325</f>
        <v>0</v>
      </c>
      <c r="BR83" s="3">
        <f>BZ325</f>
        <v>0</v>
      </c>
      <c r="BS83" s="3">
        <f>CA325</f>
        <v>0</v>
      </c>
      <c r="BT83" s="3">
        <f>CB325</f>
        <v>0</v>
      </c>
      <c r="BU83" s="3">
        <f>CC325</f>
        <v>0</v>
      </c>
      <c r="BV83" s="3">
        <f>CD325</f>
        <v>0</v>
      </c>
      <c r="BW83" s="3">
        <f>CE325</f>
        <v>0</v>
      </c>
      <c r="BX83" s="3">
        <f>CF325</f>
        <v>0</v>
      </c>
      <c r="BY83" s="3">
        <f>CG325</f>
        <v>0</v>
      </c>
      <c r="BZ83" s="3">
        <f>CH325</f>
        <v>0</v>
      </c>
      <c r="CA83" s="3">
        <f>CI325</f>
        <v>0</v>
      </c>
      <c r="CB83" s="3">
        <f>CJ325</f>
        <v>0</v>
      </c>
      <c r="CC83" s="3">
        <f>CK325</f>
        <v>0</v>
      </c>
      <c r="CD83" s="3">
        <f>CL325</f>
        <v>0</v>
      </c>
    </row>
    <row r="84" spans="2:82" s="7" customFormat="1" x14ac:dyDescent="0.2">
      <c r="B84" s="7" t="s">
        <v>42</v>
      </c>
      <c r="G84" s="7">
        <f>SUM(G85,G89)</f>
        <v>0</v>
      </c>
      <c r="H84" s="7">
        <f t="shared" ref="H84:BS84" si="48">SUM(H85,H89)</f>
        <v>0</v>
      </c>
      <c r="I84" s="7">
        <f t="shared" si="48"/>
        <v>0</v>
      </c>
      <c r="J84" s="7">
        <f t="shared" si="48"/>
        <v>0</v>
      </c>
      <c r="K84" s="7">
        <f t="shared" si="48"/>
        <v>0</v>
      </c>
      <c r="L84" s="7">
        <f t="shared" si="48"/>
        <v>0</v>
      </c>
      <c r="M84" s="7">
        <f t="shared" si="48"/>
        <v>0</v>
      </c>
      <c r="N84" s="7">
        <f t="shared" si="48"/>
        <v>0</v>
      </c>
      <c r="O84" s="7">
        <f t="shared" si="48"/>
        <v>0</v>
      </c>
      <c r="P84" s="7">
        <f t="shared" si="48"/>
        <v>0</v>
      </c>
      <c r="Q84" s="7">
        <f t="shared" si="48"/>
        <v>0</v>
      </c>
      <c r="R84" s="7">
        <f t="shared" si="48"/>
        <v>0</v>
      </c>
      <c r="S84" s="7">
        <f t="shared" si="48"/>
        <v>0</v>
      </c>
      <c r="T84" s="7">
        <f t="shared" si="48"/>
        <v>0</v>
      </c>
      <c r="U84" s="7">
        <f t="shared" si="48"/>
        <v>0</v>
      </c>
      <c r="V84" s="7">
        <f t="shared" si="48"/>
        <v>0</v>
      </c>
      <c r="W84" s="7">
        <f t="shared" si="48"/>
        <v>0</v>
      </c>
      <c r="X84" s="7">
        <f t="shared" si="48"/>
        <v>0</v>
      </c>
      <c r="Y84" s="7">
        <f t="shared" si="48"/>
        <v>0</v>
      </c>
      <c r="Z84" s="7">
        <f t="shared" si="48"/>
        <v>0</v>
      </c>
      <c r="AA84" s="7">
        <f t="shared" si="48"/>
        <v>0</v>
      </c>
      <c r="AB84" s="7">
        <f t="shared" si="48"/>
        <v>0</v>
      </c>
      <c r="AC84" s="7">
        <f t="shared" si="48"/>
        <v>0</v>
      </c>
      <c r="AD84" s="7">
        <f t="shared" si="48"/>
        <v>0</v>
      </c>
      <c r="AE84" s="7">
        <f t="shared" si="48"/>
        <v>0</v>
      </c>
      <c r="AF84" s="7">
        <f t="shared" si="48"/>
        <v>11.916752695157999</v>
      </c>
      <c r="AG84" s="7">
        <f t="shared" si="48"/>
        <v>12.0157931763144</v>
      </c>
      <c r="AH84" s="7">
        <f t="shared" si="48"/>
        <v>12.1043310287466</v>
      </c>
      <c r="AI84" s="7">
        <f t="shared" si="48"/>
        <v>12.2169268536245</v>
      </c>
      <c r="AJ84" s="7">
        <f t="shared" si="48"/>
        <v>12.3046781057717</v>
      </c>
      <c r="AK84" s="7">
        <f t="shared" si="48"/>
        <v>12.390569707572501</v>
      </c>
      <c r="AL84" s="7">
        <f t="shared" si="48"/>
        <v>12.4724210587808</v>
      </c>
      <c r="AM84" s="7">
        <f t="shared" si="48"/>
        <v>19.287405577838545</v>
      </c>
      <c r="AN84" s="7">
        <f t="shared" si="48"/>
        <v>27.938461573658927</v>
      </c>
      <c r="AO84" s="7">
        <f t="shared" si="48"/>
        <v>39.085598969284909</v>
      </c>
      <c r="AP84" s="7">
        <f t="shared" si="48"/>
        <v>53.501442102018231</v>
      </c>
      <c r="AQ84" s="7">
        <f t="shared" si="48"/>
        <v>238.07090328838709</v>
      </c>
      <c r="AR84" s="7">
        <f t="shared" si="48"/>
        <v>408.94385694518337</v>
      </c>
      <c r="AS84" s="7">
        <f t="shared" si="48"/>
        <v>589.4820819505378</v>
      </c>
      <c r="AT84" s="7">
        <f t="shared" si="48"/>
        <v>783.60602861461246</v>
      </c>
      <c r="AU84" s="7">
        <f t="shared" si="48"/>
        <v>990.81440649973763</v>
      </c>
      <c r="AV84" s="7">
        <f t="shared" si="48"/>
        <v>1207.4479774975116</v>
      </c>
      <c r="AW84" s="7">
        <f t="shared" si="48"/>
        <v>1427.8223837447956</v>
      </c>
      <c r="AX84" s="7">
        <f t="shared" si="48"/>
        <v>1646.0398215757634</v>
      </c>
      <c r="AY84" s="7">
        <f t="shared" si="48"/>
        <v>1857.6830865582378</v>
      </c>
      <c r="AZ84" s="7">
        <f t="shared" si="48"/>
        <v>2059.2782788842351</v>
      </c>
      <c r="BA84" s="7">
        <f t="shared" si="48"/>
        <v>2250.5841343379375</v>
      </c>
      <c r="BB84" s="7">
        <f t="shared" si="48"/>
        <v>2431.9123332291101</v>
      </c>
      <c r="BC84" s="7">
        <f t="shared" si="48"/>
        <v>2604.2826612101285</v>
      </c>
      <c r="BD84" s="7">
        <f t="shared" si="48"/>
        <v>2769.0372171433478</v>
      </c>
      <c r="BE84" s="7">
        <f t="shared" si="48"/>
        <v>2927.0821831799508</v>
      </c>
      <c r="BF84" s="7">
        <f t="shared" si="48"/>
        <v>2946.1320122996563</v>
      </c>
      <c r="BG84" s="7">
        <f t="shared" si="48"/>
        <v>2965.0753247707253</v>
      </c>
      <c r="BH84" s="7">
        <f t="shared" si="48"/>
        <v>2983.8137210234145</v>
      </c>
      <c r="BI84" s="7">
        <f t="shared" si="48"/>
        <v>3002.249396043956</v>
      </c>
      <c r="BJ84" s="7">
        <f t="shared" si="48"/>
        <v>3020.2812690557303</v>
      </c>
      <c r="BK84" s="7">
        <f t="shared" si="48"/>
        <v>3037.9246970992449</v>
      </c>
      <c r="BL84" s="7">
        <f t="shared" si="48"/>
        <v>3054.9641127322848</v>
      </c>
      <c r="BM84" s="7">
        <f t="shared" si="48"/>
        <v>3071.2994990822635</v>
      </c>
      <c r="BN84" s="7">
        <f t="shared" si="48"/>
        <v>3086.836579823962</v>
      </c>
      <c r="BO84" s="7">
        <f t="shared" si="48"/>
        <v>3101.4827522072128</v>
      </c>
      <c r="BP84" s="7">
        <f t="shared" si="48"/>
        <v>3115.14588298852</v>
      </c>
      <c r="BQ84" s="7">
        <f t="shared" si="48"/>
        <v>3129.1721247308733</v>
      </c>
      <c r="BR84" s="7">
        <f t="shared" si="48"/>
        <v>3143.5682612408332</v>
      </c>
      <c r="BS84" s="7">
        <f t="shared" si="48"/>
        <v>3158.3431507495493</v>
      </c>
      <c r="BT84" s="7">
        <f t="shared" ref="BT84:CD84" si="49">SUM(BT85,BT89)</f>
        <v>3173.5059264044412</v>
      </c>
      <c r="BU84" s="7">
        <f t="shared" si="49"/>
        <v>3189.0610717575987</v>
      </c>
      <c r="BV84" s="7">
        <f t="shared" si="49"/>
        <v>3205.0147054725153</v>
      </c>
      <c r="BW84" s="7">
        <f t="shared" si="49"/>
        <v>3221.3806015804712</v>
      </c>
      <c r="BX84" s="7">
        <f t="shared" si="49"/>
        <v>3238.1671436405063</v>
      </c>
      <c r="BY84" s="7">
        <f t="shared" si="49"/>
        <v>3255.3862084448442</v>
      </c>
      <c r="BZ84" s="7">
        <f t="shared" si="49"/>
        <v>3273.0494361883893</v>
      </c>
      <c r="CA84" s="7">
        <f t="shared" si="49"/>
        <v>3291.1685299562168</v>
      </c>
      <c r="CB84" s="7">
        <f t="shared" si="49"/>
        <v>3309.759159234241</v>
      </c>
      <c r="CC84" s="7">
        <f t="shared" si="49"/>
        <v>3328.8380240342835</v>
      </c>
      <c r="CD84" s="7">
        <f t="shared" si="49"/>
        <v>3348.4173737017309</v>
      </c>
    </row>
    <row r="85" spans="2:82" s="4" customFormat="1" x14ac:dyDescent="0.2">
      <c r="C85" s="4" t="s">
        <v>43</v>
      </c>
      <c r="G85" s="4">
        <f>SUM(G86:G88)</f>
        <v>0</v>
      </c>
      <c r="H85" s="4">
        <f t="shared" ref="H85:BS85" si="50">SUM(H86:H88)</f>
        <v>0</v>
      </c>
      <c r="I85" s="4">
        <f t="shared" si="50"/>
        <v>0</v>
      </c>
      <c r="J85" s="4">
        <f t="shared" si="50"/>
        <v>0</v>
      </c>
      <c r="K85" s="4">
        <f t="shared" si="50"/>
        <v>0</v>
      </c>
      <c r="L85" s="4">
        <f t="shared" si="50"/>
        <v>0</v>
      </c>
      <c r="M85" s="4">
        <f t="shared" si="50"/>
        <v>0</v>
      </c>
      <c r="N85" s="4">
        <f t="shared" si="50"/>
        <v>0</v>
      </c>
      <c r="O85" s="4">
        <f t="shared" si="50"/>
        <v>0</v>
      </c>
      <c r="P85" s="4">
        <f t="shared" si="50"/>
        <v>0</v>
      </c>
      <c r="Q85" s="4">
        <f t="shared" si="50"/>
        <v>0</v>
      </c>
      <c r="R85" s="4">
        <f t="shared" si="50"/>
        <v>0</v>
      </c>
      <c r="S85" s="4">
        <f t="shared" si="50"/>
        <v>0</v>
      </c>
      <c r="T85" s="4">
        <f t="shared" si="50"/>
        <v>0</v>
      </c>
      <c r="U85" s="4">
        <f t="shared" si="50"/>
        <v>0</v>
      </c>
      <c r="V85" s="4">
        <f t="shared" si="50"/>
        <v>0</v>
      </c>
      <c r="W85" s="4">
        <f t="shared" si="50"/>
        <v>0</v>
      </c>
      <c r="X85" s="4">
        <f t="shared" si="50"/>
        <v>0</v>
      </c>
      <c r="Y85" s="4">
        <f t="shared" si="50"/>
        <v>0</v>
      </c>
      <c r="Z85" s="4">
        <f t="shared" si="50"/>
        <v>0</v>
      </c>
      <c r="AA85" s="4">
        <f t="shared" si="50"/>
        <v>0</v>
      </c>
      <c r="AB85" s="4">
        <f t="shared" si="50"/>
        <v>0</v>
      </c>
      <c r="AC85" s="4">
        <f t="shared" si="50"/>
        <v>0</v>
      </c>
      <c r="AD85" s="4">
        <f t="shared" si="50"/>
        <v>0</v>
      </c>
      <c r="AE85" s="4">
        <f t="shared" si="50"/>
        <v>0</v>
      </c>
      <c r="AF85" s="4">
        <f t="shared" si="50"/>
        <v>0</v>
      </c>
      <c r="AG85" s="4">
        <f t="shared" si="50"/>
        <v>0</v>
      </c>
      <c r="AH85" s="4">
        <f t="shared" si="50"/>
        <v>0</v>
      </c>
      <c r="AI85" s="4">
        <f t="shared" si="50"/>
        <v>0</v>
      </c>
      <c r="AJ85" s="4">
        <f t="shared" si="50"/>
        <v>0</v>
      </c>
      <c r="AK85" s="4">
        <f t="shared" si="50"/>
        <v>0</v>
      </c>
      <c r="AL85" s="4">
        <f t="shared" si="50"/>
        <v>0</v>
      </c>
      <c r="AM85" s="4">
        <f t="shared" si="50"/>
        <v>0</v>
      </c>
      <c r="AN85" s="4">
        <f t="shared" si="50"/>
        <v>0</v>
      </c>
      <c r="AO85" s="4">
        <f t="shared" si="50"/>
        <v>0</v>
      </c>
      <c r="AP85" s="4">
        <f t="shared" si="50"/>
        <v>0</v>
      </c>
      <c r="AQ85" s="4">
        <f t="shared" si="50"/>
        <v>0</v>
      </c>
      <c r="AR85" s="4">
        <f t="shared" si="50"/>
        <v>0</v>
      </c>
      <c r="AS85" s="4">
        <f t="shared" si="50"/>
        <v>0</v>
      </c>
      <c r="AT85" s="4">
        <f t="shared" si="50"/>
        <v>0</v>
      </c>
      <c r="AU85" s="4">
        <f t="shared" si="50"/>
        <v>0</v>
      </c>
      <c r="AV85" s="4">
        <f t="shared" si="50"/>
        <v>0</v>
      </c>
      <c r="AW85" s="4">
        <f t="shared" si="50"/>
        <v>0</v>
      </c>
      <c r="AX85" s="4">
        <f t="shared" si="50"/>
        <v>0</v>
      </c>
      <c r="AY85" s="4">
        <f t="shared" si="50"/>
        <v>0</v>
      </c>
      <c r="AZ85" s="4">
        <f t="shared" si="50"/>
        <v>0</v>
      </c>
      <c r="BA85" s="4">
        <f t="shared" si="50"/>
        <v>0</v>
      </c>
      <c r="BB85" s="4">
        <f t="shared" si="50"/>
        <v>0</v>
      </c>
      <c r="BC85" s="4">
        <f t="shared" si="50"/>
        <v>0</v>
      </c>
      <c r="BD85" s="4">
        <f t="shared" si="50"/>
        <v>0</v>
      </c>
      <c r="BE85" s="4">
        <f t="shared" si="50"/>
        <v>0</v>
      </c>
      <c r="BF85" s="4">
        <f t="shared" si="50"/>
        <v>0</v>
      </c>
      <c r="BG85" s="4">
        <f t="shared" si="50"/>
        <v>0</v>
      </c>
      <c r="BH85" s="4">
        <f t="shared" si="50"/>
        <v>0</v>
      </c>
      <c r="BI85" s="4">
        <f t="shared" si="50"/>
        <v>0</v>
      </c>
      <c r="BJ85" s="4">
        <f t="shared" si="50"/>
        <v>0</v>
      </c>
      <c r="BK85" s="4">
        <f t="shared" si="50"/>
        <v>0</v>
      </c>
      <c r="BL85" s="4">
        <f t="shared" si="50"/>
        <v>0</v>
      </c>
      <c r="BM85" s="4">
        <f t="shared" si="50"/>
        <v>0</v>
      </c>
      <c r="BN85" s="4">
        <f t="shared" si="50"/>
        <v>0</v>
      </c>
      <c r="BO85" s="4">
        <f t="shared" si="50"/>
        <v>0</v>
      </c>
      <c r="BP85" s="4">
        <f t="shared" si="50"/>
        <v>0</v>
      </c>
      <c r="BQ85" s="4">
        <f t="shared" si="50"/>
        <v>0</v>
      </c>
      <c r="BR85" s="4">
        <f t="shared" si="50"/>
        <v>0</v>
      </c>
      <c r="BS85" s="4">
        <f t="shared" si="50"/>
        <v>0</v>
      </c>
      <c r="BT85" s="4">
        <f t="shared" ref="BT85:CD85" si="51">SUM(BT86:BT88)</f>
        <v>0</v>
      </c>
      <c r="BU85" s="4">
        <f t="shared" si="51"/>
        <v>0</v>
      </c>
      <c r="BV85" s="4">
        <f t="shared" si="51"/>
        <v>0</v>
      </c>
      <c r="BW85" s="4">
        <f t="shared" si="51"/>
        <v>0</v>
      </c>
      <c r="BX85" s="4">
        <f t="shared" si="51"/>
        <v>0</v>
      </c>
      <c r="BY85" s="4">
        <f t="shared" si="51"/>
        <v>0</v>
      </c>
      <c r="BZ85" s="4">
        <f t="shared" si="51"/>
        <v>0</v>
      </c>
      <c r="CA85" s="4">
        <f t="shared" si="51"/>
        <v>0</v>
      </c>
      <c r="CB85" s="4">
        <f t="shared" si="51"/>
        <v>0</v>
      </c>
      <c r="CC85" s="4">
        <f t="shared" si="51"/>
        <v>0</v>
      </c>
      <c r="CD85" s="4">
        <f t="shared" si="51"/>
        <v>0</v>
      </c>
    </row>
    <row r="86" spans="2:82" s="3" customFormat="1" x14ac:dyDescent="0.2">
      <c r="F86" s="3" t="s">
        <v>6</v>
      </c>
      <c r="G86" s="3">
        <f>O326</f>
        <v>0</v>
      </c>
      <c r="H86" s="3">
        <f t="shared" ref="H86:BS87" si="52">P326</f>
        <v>0</v>
      </c>
      <c r="I86" s="3">
        <f t="shared" si="52"/>
        <v>0</v>
      </c>
      <c r="J86" s="3">
        <f t="shared" si="52"/>
        <v>0</v>
      </c>
      <c r="K86" s="3">
        <f t="shared" si="52"/>
        <v>0</v>
      </c>
      <c r="L86" s="3">
        <f t="shared" si="52"/>
        <v>0</v>
      </c>
      <c r="M86" s="3">
        <f t="shared" si="52"/>
        <v>0</v>
      </c>
      <c r="N86" s="3">
        <f t="shared" si="52"/>
        <v>0</v>
      </c>
      <c r="O86" s="3">
        <f t="shared" si="52"/>
        <v>0</v>
      </c>
      <c r="P86" s="3">
        <f t="shared" si="52"/>
        <v>0</v>
      </c>
      <c r="Q86" s="3">
        <f t="shared" si="52"/>
        <v>0</v>
      </c>
      <c r="R86" s="3">
        <f t="shared" si="52"/>
        <v>0</v>
      </c>
      <c r="S86" s="3">
        <f t="shared" si="52"/>
        <v>0</v>
      </c>
      <c r="T86" s="3">
        <f t="shared" si="52"/>
        <v>0</v>
      </c>
      <c r="U86" s="3">
        <f t="shared" si="52"/>
        <v>0</v>
      </c>
      <c r="V86" s="3">
        <f t="shared" si="52"/>
        <v>0</v>
      </c>
      <c r="W86" s="3">
        <f t="shared" si="52"/>
        <v>0</v>
      </c>
      <c r="X86" s="3">
        <f t="shared" si="52"/>
        <v>0</v>
      </c>
      <c r="Y86" s="3">
        <f t="shared" si="52"/>
        <v>0</v>
      </c>
      <c r="Z86" s="3">
        <f t="shared" si="52"/>
        <v>0</v>
      </c>
      <c r="AA86" s="3">
        <f t="shared" si="52"/>
        <v>0</v>
      </c>
      <c r="AB86" s="3">
        <f t="shared" si="52"/>
        <v>0</v>
      </c>
      <c r="AC86" s="3">
        <f t="shared" si="52"/>
        <v>0</v>
      </c>
      <c r="AD86" s="3">
        <f t="shared" si="52"/>
        <v>0</v>
      </c>
      <c r="AE86" s="3">
        <f t="shared" si="52"/>
        <v>0</v>
      </c>
      <c r="AF86" s="3">
        <f t="shared" si="52"/>
        <v>0</v>
      </c>
      <c r="AG86" s="3">
        <f t="shared" si="52"/>
        <v>0</v>
      </c>
      <c r="AH86" s="3">
        <f t="shared" si="52"/>
        <v>0</v>
      </c>
      <c r="AI86" s="3">
        <f t="shared" si="52"/>
        <v>0</v>
      </c>
      <c r="AJ86" s="3">
        <f t="shared" si="52"/>
        <v>0</v>
      </c>
      <c r="AK86" s="3">
        <f t="shared" si="52"/>
        <v>0</v>
      </c>
      <c r="AL86" s="3">
        <f t="shared" si="52"/>
        <v>0</v>
      </c>
      <c r="AM86" s="3">
        <f t="shared" si="52"/>
        <v>0</v>
      </c>
      <c r="AN86" s="3">
        <f t="shared" si="52"/>
        <v>0</v>
      </c>
      <c r="AO86" s="3">
        <f t="shared" si="52"/>
        <v>0</v>
      </c>
      <c r="AP86" s="3">
        <f t="shared" si="52"/>
        <v>0</v>
      </c>
      <c r="AQ86" s="3">
        <f t="shared" si="52"/>
        <v>0</v>
      </c>
      <c r="AR86" s="3">
        <f t="shared" si="52"/>
        <v>0</v>
      </c>
      <c r="AS86" s="3">
        <f t="shared" si="52"/>
        <v>0</v>
      </c>
      <c r="AT86" s="3">
        <f t="shared" si="52"/>
        <v>0</v>
      </c>
      <c r="AU86" s="3">
        <f t="shared" si="52"/>
        <v>0</v>
      </c>
      <c r="AV86" s="3">
        <f t="shared" si="52"/>
        <v>0</v>
      </c>
      <c r="AW86" s="3">
        <f t="shared" si="52"/>
        <v>0</v>
      </c>
      <c r="AX86" s="3">
        <f t="shared" si="52"/>
        <v>0</v>
      </c>
      <c r="AY86" s="3">
        <f t="shared" si="52"/>
        <v>0</v>
      </c>
      <c r="AZ86" s="3">
        <f t="shared" si="52"/>
        <v>0</v>
      </c>
      <c r="BA86" s="3">
        <f t="shared" si="52"/>
        <v>0</v>
      </c>
      <c r="BB86" s="3">
        <f t="shared" si="52"/>
        <v>0</v>
      </c>
      <c r="BC86" s="3">
        <f t="shared" si="52"/>
        <v>0</v>
      </c>
      <c r="BD86" s="3">
        <f t="shared" si="52"/>
        <v>0</v>
      </c>
      <c r="BE86" s="3">
        <f t="shared" si="52"/>
        <v>0</v>
      </c>
      <c r="BF86" s="3">
        <f t="shared" si="52"/>
        <v>0</v>
      </c>
      <c r="BG86" s="3">
        <f t="shared" si="52"/>
        <v>0</v>
      </c>
      <c r="BH86" s="3">
        <f t="shared" si="52"/>
        <v>0</v>
      </c>
      <c r="BI86" s="3">
        <f t="shared" si="52"/>
        <v>0</v>
      </c>
      <c r="BJ86" s="3">
        <f t="shared" si="52"/>
        <v>0</v>
      </c>
      <c r="BK86" s="3">
        <f t="shared" si="52"/>
        <v>0</v>
      </c>
      <c r="BL86" s="3">
        <f t="shared" si="52"/>
        <v>0</v>
      </c>
      <c r="BM86" s="3">
        <f t="shared" si="52"/>
        <v>0</v>
      </c>
      <c r="BN86" s="3">
        <f t="shared" si="52"/>
        <v>0</v>
      </c>
      <c r="BO86" s="3">
        <f t="shared" si="52"/>
        <v>0</v>
      </c>
      <c r="BP86" s="3">
        <f t="shared" si="52"/>
        <v>0</v>
      </c>
      <c r="BQ86" s="3">
        <f t="shared" si="52"/>
        <v>0</v>
      </c>
      <c r="BR86" s="3">
        <f t="shared" si="52"/>
        <v>0</v>
      </c>
      <c r="BS86" s="3">
        <f t="shared" si="52"/>
        <v>0</v>
      </c>
      <c r="BT86" s="3">
        <f t="shared" ref="BT86:CD86" si="53">CB326</f>
        <v>0</v>
      </c>
      <c r="BU86" s="3">
        <f t="shared" si="53"/>
        <v>0</v>
      </c>
      <c r="BV86" s="3">
        <f t="shared" si="53"/>
        <v>0</v>
      </c>
      <c r="BW86" s="3">
        <f t="shared" si="53"/>
        <v>0</v>
      </c>
      <c r="BX86" s="3">
        <f t="shared" si="53"/>
        <v>0</v>
      </c>
      <c r="BY86" s="3">
        <f t="shared" si="53"/>
        <v>0</v>
      </c>
      <c r="BZ86" s="3">
        <f t="shared" si="53"/>
        <v>0</v>
      </c>
      <c r="CA86" s="3">
        <f t="shared" si="53"/>
        <v>0</v>
      </c>
      <c r="CB86" s="3">
        <f t="shared" si="53"/>
        <v>0</v>
      </c>
      <c r="CC86" s="3">
        <f t="shared" si="53"/>
        <v>0</v>
      </c>
      <c r="CD86" s="3">
        <f t="shared" si="53"/>
        <v>0</v>
      </c>
    </row>
    <row r="87" spans="2:82" s="3" customFormat="1" x14ac:dyDescent="0.2">
      <c r="F87" s="3" t="s">
        <v>7</v>
      </c>
      <c r="G87" s="3">
        <f>O327</f>
        <v>0</v>
      </c>
      <c r="H87" s="3">
        <f t="shared" si="52"/>
        <v>0</v>
      </c>
      <c r="I87" s="3">
        <f t="shared" si="52"/>
        <v>0</v>
      </c>
      <c r="J87" s="3">
        <f t="shared" si="52"/>
        <v>0</v>
      </c>
      <c r="K87" s="3">
        <f t="shared" si="52"/>
        <v>0</v>
      </c>
      <c r="L87" s="3">
        <f t="shared" si="52"/>
        <v>0</v>
      </c>
      <c r="M87" s="3">
        <f t="shared" si="52"/>
        <v>0</v>
      </c>
      <c r="N87" s="3">
        <f t="shared" si="52"/>
        <v>0</v>
      </c>
      <c r="O87" s="3">
        <f t="shared" si="52"/>
        <v>0</v>
      </c>
      <c r="P87" s="3">
        <f t="shared" si="52"/>
        <v>0</v>
      </c>
      <c r="Q87" s="3">
        <f t="shared" si="52"/>
        <v>0</v>
      </c>
      <c r="R87" s="3">
        <f t="shared" si="52"/>
        <v>0</v>
      </c>
      <c r="S87" s="3">
        <f t="shared" si="52"/>
        <v>0</v>
      </c>
      <c r="T87" s="3">
        <f t="shared" si="52"/>
        <v>0</v>
      </c>
      <c r="U87" s="3">
        <f t="shared" si="52"/>
        <v>0</v>
      </c>
      <c r="V87" s="3">
        <f t="shared" si="52"/>
        <v>0</v>
      </c>
      <c r="W87" s="3">
        <f t="shared" si="52"/>
        <v>0</v>
      </c>
      <c r="X87" s="3">
        <f t="shared" si="52"/>
        <v>0</v>
      </c>
      <c r="Y87" s="3">
        <f t="shared" si="52"/>
        <v>0</v>
      </c>
      <c r="Z87" s="3">
        <f t="shared" si="52"/>
        <v>0</v>
      </c>
      <c r="AA87" s="3">
        <f t="shared" si="52"/>
        <v>0</v>
      </c>
      <c r="AB87" s="3">
        <f t="shared" si="52"/>
        <v>0</v>
      </c>
      <c r="AC87" s="3">
        <f t="shared" si="52"/>
        <v>0</v>
      </c>
      <c r="AD87" s="3">
        <f t="shared" si="52"/>
        <v>0</v>
      </c>
      <c r="AE87" s="3">
        <f t="shared" si="52"/>
        <v>0</v>
      </c>
      <c r="AF87" s="3">
        <f t="shared" si="52"/>
        <v>0</v>
      </c>
      <c r="AG87" s="3">
        <f t="shared" si="52"/>
        <v>0</v>
      </c>
      <c r="AH87" s="3">
        <f t="shared" si="52"/>
        <v>0</v>
      </c>
      <c r="AI87" s="3">
        <f t="shared" si="52"/>
        <v>0</v>
      </c>
      <c r="AJ87" s="3">
        <f t="shared" si="52"/>
        <v>0</v>
      </c>
      <c r="AK87" s="3">
        <f t="shared" si="52"/>
        <v>0</v>
      </c>
      <c r="AL87" s="3">
        <f t="shared" si="52"/>
        <v>0</v>
      </c>
      <c r="AM87" s="3">
        <f t="shared" si="52"/>
        <v>0</v>
      </c>
      <c r="AN87" s="3">
        <f t="shared" si="52"/>
        <v>0</v>
      </c>
      <c r="AO87" s="3">
        <f t="shared" si="52"/>
        <v>0</v>
      </c>
      <c r="AP87" s="3">
        <f t="shared" si="52"/>
        <v>0</v>
      </c>
      <c r="AQ87" s="3">
        <f t="shared" si="52"/>
        <v>0</v>
      </c>
      <c r="AR87" s="3">
        <f t="shared" si="52"/>
        <v>0</v>
      </c>
      <c r="AS87" s="3">
        <f t="shared" si="52"/>
        <v>0</v>
      </c>
      <c r="AT87" s="3">
        <f t="shared" si="52"/>
        <v>0</v>
      </c>
      <c r="AU87" s="3">
        <f t="shared" si="52"/>
        <v>0</v>
      </c>
      <c r="AV87" s="3">
        <f t="shared" si="52"/>
        <v>0</v>
      </c>
      <c r="AW87" s="3">
        <f t="shared" si="52"/>
        <v>0</v>
      </c>
      <c r="AX87" s="3">
        <f t="shared" si="52"/>
        <v>0</v>
      </c>
      <c r="AY87" s="3">
        <f t="shared" si="52"/>
        <v>0</v>
      </c>
      <c r="AZ87" s="3">
        <f t="shared" si="52"/>
        <v>0</v>
      </c>
      <c r="BA87" s="3">
        <f t="shared" si="52"/>
        <v>0</v>
      </c>
      <c r="BB87" s="3">
        <f t="shared" si="52"/>
        <v>0</v>
      </c>
      <c r="BC87" s="3">
        <f t="shared" si="52"/>
        <v>0</v>
      </c>
      <c r="BD87" s="3">
        <f t="shared" si="52"/>
        <v>0</v>
      </c>
      <c r="BE87" s="3">
        <f t="shared" si="52"/>
        <v>0</v>
      </c>
      <c r="BF87" s="3">
        <f t="shared" si="52"/>
        <v>0</v>
      </c>
      <c r="BG87" s="3">
        <f t="shared" si="52"/>
        <v>0</v>
      </c>
      <c r="BH87" s="3">
        <f t="shared" si="52"/>
        <v>0</v>
      </c>
      <c r="BI87" s="3">
        <f t="shared" si="52"/>
        <v>0</v>
      </c>
      <c r="BJ87" s="3">
        <f t="shared" si="52"/>
        <v>0</v>
      </c>
      <c r="BK87" s="3">
        <f t="shared" si="52"/>
        <v>0</v>
      </c>
      <c r="BL87" s="3">
        <f t="shared" si="52"/>
        <v>0</v>
      </c>
      <c r="BM87" s="3">
        <f t="shared" si="52"/>
        <v>0</v>
      </c>
      <c r="BN87" s="3">
        <f t="shared" si="52"/>
        <v>0</v>
      </c>
      <c r="BO87" s="3">
        <f t="shared" si="52"/>
        <v>0</v>
      </c>
      <c r="BP87" s="3">
        <f t="shared" si="52"/>
        <v>0</v>
      </c>
      <c r="BQ87" s="3">
        <f t="shared" si="52"/>
        <v>0</v>
      </c>
      <c r="BR87" s="3">
        <f t="shared" si="52"/>
        <v>0</v>
      </c>
      <c r="BS87" s="3">
        <f>CA327</f>
        <v>0</v>
      </c>
      <c r="BT87" s="3">
        <f>CB327</f>
        <v>0</v>
      </c>
      <c r="BU87" s="3">
        <f>CC327</f>
        <v>0</v>
      </c>
      <c r="BV87" s="3">
        <f>CD327</f>
        <v>0</v>
      </c>
      <c r="BW87" s="3">
        <f>CE327</f>
        <v>0</v>
      </c>
      <c r="BX87" s="3">
        <f>CF327</f>
        <v>0</v>
      </c>
      <c r="BY87" s="3">
        <f>CG327</f>
        <v>0</v>
      </c>
      <c r="BZ87" s="3">
        <f>CH327</f>
        <v>0</v>
      </c>
      <c r="CA87" s="3">
        <f>CI327</f>
        <v>0</v>
      </c>
      <c r="CB87" s="3">
        <f>CJ327</f>
        <v>0</v>
      </c>
      <c r="CC87" s="3">
        <f>CK327</f>
        <v>0</v>
      </c>
      <c r="CD87" s="3">
        <f>CL327</f>
        <v>0</v>
      </c>
    </row>
    <row r="88" spans="2:82" s="3" customFormat="1" x14ac:dyDescent="0.2">
      <c r="F88" s="3" t="s">
        <v>8</v>
      </c>
      <c r="G88" s="3">
        <f>O328</f>
        <v>0</v>
      </c>
      <c r="H88" s="3">
        <f>P328</f>
        <v>0</v>
      </c>
      <c r="I88" s="3">
        <f>Q328</f>
        <v>0</v>
      </c>
      <c r="J88" s="3">
        <f>R328</f>
        <v>0</v>
      </c>
      <c r="K88" s="3">
        <f>S328</f>
        <v>0</v>
      </c>
      <c r="L88" s="3">
        <f>T328</f>
        <v>0</v>
      </c>
      <c r="M88" s="3">
        <f>U328</f>
        <v>0</v>
      </c>
      <c r="N88" s="3">
        <f>V328</f>
        <v>0</v>
      </c>
      <c r="O88" s="3">
        <f>W328</f>
        <v>0</v>
      </c>
      <c r="P88" s="3">
        <f>X328</f>
        <v>0</v>
      </c>
      <c r="Q88" s="3">
        <f>Y328</f>
        <v>0</v>
      </c>
      <c r="R88" s="3">
        <f>Z328</f>
        <v>0</v>
      </c>
      <c r="S88" s="3">
        <f>AA328</f>
        <v>0</v>
      </c>
      <c r="T88" s="3">
        <f>AB328</f>
        <v>0</v>
      </c>
      <c r="U88" s="3">
        <f>AC328</f>
        <v>0</v>
      </c>
      <c r="V88" s="3">
        <f>AD328</f>
        <v>0</v>
      </c>
      <c r="W88" s="3">
        <f>AE328</f>
        <v>0</v>
      </c>
      <c r="X88" s="3">
        <f>AF328</f>
        <v>0</v>
      </c>
      <c r="Y88" s="3">
        <f>AG328</f>
        <v>0</v>
      </c>
      <c r="Z88" s="3">
        <f>AH328</f>
        <v>0</v>
      </c>
      <c r="AA88" s="3">
        <f>AI328</f>
        <v>0</v>
      </c>
      <c r="AB88" s="3">
        <f>AJ328</f>
        <v>0</v>
      </c>
      <c r="AC88" s="3">
        <f>AK328</f>
        <v>0</v>
      </c>
      <c r="AD88" s="3">
        <f>AL328</f>
        <v>0</v>
      </c>
      <c r="AE88" s="3">
        <f>AM328</f>
        <v>0</v>
      </c>
      <c r="AF88" s="3">
        <f>AN328</f>
        <v>0</v>
      </c>
      <c r="AG88" s="3">
        <f>AO328</f>
        <v>0</v>
      </c>
      <c r="AH88" s="3">
        <f>AP328</f>
        <v>0</v>
      </c>
      <c r="AI88" s="3">
        <f>AQ328</f>
        <v>0</v>
      </c>
      <c r="AJ88" s="3">
        <f>AR328</f>
        <v>0</v>
      </c>
      <c r="AK88" s="3">
        <f>AS328</f>
        <v>0</v>
      </c>
      <c r="AL88" s="3">
        <f>AT328</f>
        <v>0</v>
      </c>
      <c r="AM88" s="3">
        <f>AU328</f>
        <v>0</v>
      </c>
      <c r="AN88" s="3">
        <f>AV328</f>
        <v>0</v>
      </c>
      <c r="AO88" s="3">
        <f>AW328</f>
        <v>0</v>
      </c>
      <c r="AP88" s="3">
        <f>AX328</f>
        <v>0</v>
      </c>
      <c r="AQ88" s="3">
        <f>AY328</f>
        <v>0</v>
      </c>
      <c r="AR88" s="3">
        <f>AZ328</f>
        <v>0</v>
      </c>
      <c r="AS88" s="3">
        <f>BA328</f>
        <v>0</v>
      </c>
      <c r="AT88" s="3">
        <f>BB328</f>
        <v>0</v>
      </c>
      <c r="AU88" s="3">
        <f>BC328</f>
        <v>0</v>
      </c>
      <c r="AV88" s="3">
        <f>BD328</f>
        <v>0</v>
      </c>
      <c r="AW88" s="3">
        <f>BE328</f>
        <v>0</v>
      </c>
      <c r="AX88" s="3">
        <f>BF328</f>
        <v>0</v>
      </c>
      <c r="AY88" s="3">
        <f>BG328</f>
        <v>0</v>
      </c>
      <c r="AZ88" s="3">
        <f>BH328</f>
        <v>0</v>
      </c>
      <c r="BA88" s="3">
        <f>BI328</f>
        <v>0</v>
      </c>
      <c r="BB88" s="3">
        <f>BJ328</f>
        <v>0</v>
      </c>
      <c r="BC88" s="3">
        <f>BK328</f>
        <v>0</v>
      </c>
      <c r="BD88" s="3">
        <f>BL328</f>
        <v>0</v>
      </c>
      <c r="BE88" s="3">
        <f>BM328</f>
        <v>0</v>
      </c>
      <c r="BF88" s="3">
        <f>BN328</f>
        <v>0</v>
      </c>
      <c r="BG88" s="3">
        <f>BO328</f>
        <v>0</v>
      </c>
      <c r="BH88" s="3">
        <f>BP328</f>
        <v>0</v>
      </c>
      <c r="BI88" s="3">
        <f>BQ328</f>
        <v>0</v>
      </c>
      <c r="BJ88" s="3">
        <f>BR328</f>
        <v>0</v>
      </c>
      <c r="BK88" s="3">
        <f>BS328</f>
        <v>0</v>
      </c>
      <c r="BL88" s="3">
        <f>BT328</f>
        <v>0</v>
      </c>
      <c r="BM88" s="3">
        <f>BU328</f>
        <v>0</v>
      </c>
      <c r="BN88" s="3">
        <f>BV328</f>
        <v>0</v>
      </c>
      <c r="BO88" s="3">
        <f>BW328</f>
        <v>0</v>
      </c>
      <c r="BP88" s="3">
        <f>BX328</f>
        <v>0</v>
      </c>
      <c r="BQ88" s="3">
        <f>BY328</f>
        <v>0</v>
      </c>
      <c r="BR88" s="3">
        <f>BZ328</f>
        <v>0</v>
      </c>
      <c r="BS88" s="3">
        <f>CA328</f>
        <v>0</v>
      </c>
      <c r="BT88" s="3">
        <f>CB328</f>
        <v>0</v>
      </c>
      <c r="BU88" s="3">
        <f>CC328</f>
        <v>0</v>
      </c>
      <c r="BV88" s="3">
        <f>CD328</f>
        <v>0</v>
      </c>
      <c r="BW88" s="3">
        <f>CE328</f>
        <v>0</v>
      </c>
      <c r="BX88" s="3">
        <f>CF328</f>
        <v>0</v>
      </c>
      <c r="BY88" s="3">
        <f>CG328</f>
        <v>0</v>
      </c>
      <c r="BZ88" s="3">
        <f>CH328</f>
        <v>0</v>
      </c>
      <c r="CA88" s="3">
        <f>CI328</f>
        <v>0</v>
      </c>
      <c r="CB88" s="3">
        <f>CJ328</f>
        <v>0</v>
      </c>
      <c r="CC88" s="3">
        <f>CK328</f>
        <v>0</v>
      </c>
      <c r="CD88" s="3">
        <f>CL328</f>
        <v>0</v>
      </c>
    </row>
    <row r="89" spans="2:82" s="4" customFormat="1" x14ac:dyDescent="0.2">
      <c r="C89" s="4" t="s">
        <v>45</v>
      </c>
      <c r="G89" s="4">
        <f>SUM(G90:G95)</f>
        <v>0</v>
      </c>
      <c r="H89" s="4">
        <f t="shared" ref="H89:BS89" si="54">SUM(H90:H95)</f>
        <v>0</v>
      </c>
      <c r="I89" s="4">
        <f t="shared" si="54"/>
        <v>0</v>
      </c>
      <c r="J89" s="4">
        <f t="shared" si="54"/>
        <v>0</v>
      </c>
      <c r="K89" s="4">
        <f t="shared" si="54"/>
        <v>0</v>
      </c>
      <c r="L89" s="4">
        <f t="shared" si="54"/>
        <v>0</v>
      </c>
      <c r="M89" s="4">
        <f t="shared" si="54"/>
        <v>0</v>
      </c>
      <c r="N89" s="4">
        <f t="shared" si="54"/>
        <v>0</v>
      </c>
      <c r="O89" s="4">
        <f t="shared" si="54"/>
        <v>0</v>
      </c>
      <c r="P89" s="4">
        <f t="shared" si="54"/>
        <v>0</v>
      </c>
      <c r="Q89" s="4">
        <f t="shared" si="54"/>
        <v>0</v>
      </c>
      <c r="R89" s="4">
        <f t="shared" si="54"/>
        <v>0</v>
      </c>
      <c r="S89" s="4">
        <f t="shared" si="54"/>
        <v>0</v>
      </c>
      <c r="T89" s="4">
        <f t="shared" si="54"/>
        <v>0</v>
      </c>
      <c r="U89" s="4">
        <f t="shared" si="54"/>
        <v>0</v>
      </c>
      <c r="V89" s="4">
        <f t="shared" si="54"/>
        <v>0</v>
      </c>
      <c r="W89" s="4">
        <f t="shared" si="54"/>
        <v>0</v>
      </c>
      <c r="X89" s="4">
        <f t="shared" si="54"/>
        <v>0</v>
      </c>
      <c r="Y89" s="4">
        <f t="shared" si="54"/>
        <v>0</v>
      </c>
      <c r="Z89" s="4">
        <f t="shared" si="54"/>
        <v>0</v>
      </c>
      <c r="AA89" s="4">
        <f t="shared" si="54"/>
        <v>0</v>
      </c>
      <c r="AB89" s="4">
        <f t="shared" si="54"/>
        <v>0</v>
      </c>
      <c r="AC89" s="4">
        <f t="shared" si="54"/>
        <v>0</v>
      </c>
      <c r="AD89" s="4">
        <f t="shared" si="54"/>
        <v>0</v>
      </c>
      <c r="AE89" s="4">
        <f t="shared" si="54"/>
        <v>0</v>
      </c>
      <c r="AF89" s="4">
        <f t="shared" si="54"/>
        <v>11.916752695157999</v>
      </c>
      <c r="AG89" s="4">
        <f t="shared" si="54"/>
        <v>12.0157931763144</v>
      </c>
      <c r="AH89" s="4">
        <f t="shared" si="54"/>
        <v>12.1043310287466</v>
      </c>
      <c r="AI89" s="4">
        <f t="shared" si="54"/>
        <v>12.2169268536245</v>
      </c>
      <c r="AJ89" s="4">
        <f t="shared" si="54"/>
        <v>12.3046781057717</v>
      </c>
      <c r="AK89" s="4">
        <f t="shared" si="54"/>
        <v>12.390569707572501</v>
      </c>
      <c r="AL89" s="4">
        <f t="shared" si="54"/>
        <v>12.4724210587808</v>
      </c>
      <c r="AM89" s="4">
        <f t="shared" si="54"/>
        <v>19.287405577838545</v>
      </c>
      <c r="AN89" s="4">
        <f t="shared" si="54"/>
        <v>27.938461573658927</v>
      </c>
      <c r="AO89" s="4">
        <f t="shared" si="54"/>
        <v>39.085598969284909</v>
      </c>
      <c r="AP89" s="4">
        <f t="shared" si="54"/>
        <v>53.501442102018231</v>
      </c>
      <c r="AQ89" s="4">
        <f t="shared" si="54"/>
        <v>238.07090328838709</v>
      </c>
      <c r="AR89" s="4">
        <f t="shared" si="54"/>
        <v>408.94385694518337</v>
      </c>
      <c r="AS89" s="4">
        <f t="shared" si="54"/>
        <v>589.4820819505378</v>
      </c>
      <c r="AT89" s="4">
        <f t="shared" si="54"/>
        <v>783.60602861461246</v>
      </c>
      <c r="AU89" s="4">
        <f t="shared" si="54"/>
        <v>990.81440649973763</v>
      </c>
      <c r="AV89" s="4">
        <f t="shared" si="54"/>
        <v>1207.4479774975116</v>
      </c>
      <c r="AW89" s="4">
        <f t="shared" si="54"/>
        <v>1427.8223837447956</v>
      </c>
      <c r="AX89" s="4">
        <f t="shared" si="54"/>
        <v>1646.0398215757634</v>
      </c>
      <c r="AY89" s="4">
        <f t="shared" si="54"/>
        <v>1857.6830865582378</v>
      </c>
      <c r="AZ89" s="4">
        <f t="shared" si="54"/>
        <v>2059.2782788842351</v>
      </c>
      <c r="BA89" s="4">
        <f t="shared" si="54"/>
        <v>2250.5841343379375</v>
      </c>
      <c r="BB89" s="4">
        <f t="shared" si="54"/>
        <v>2431.9123332291101</v>
      </c>
      <c r="BC89" s="4">
        <f t="shared" si="54"/>
        <v>2604.2826612101285</v>
      </c>
      <c r="BD89" s="4">
        <f t="shared" si="54"/>
        <v>2769.0372171433478</v>
      </c>
      <c r="BE89" s="4">
        <f t="shared" si="54"/>
        <v>2927.0821831799508</v>
      </c>
      <c r="BF89" s="4">
        <f t="shared" si="54"/>
        <v>2946.1320122996563</v>
      </c>
      <c r="BG89" s="4">
        <f t="shared" si="54"/>
        <v>2965.0753247707253</v>
      </c>
      <c r="BH89" s="4">
        <f t="shared" si="54"/>
        <v>2983.8137210234145</v>
      </c>
      <c r="BI89" s="4">
        <f t="shared" si="54"/>
        <v>3002.249396043956</v>
      </c>
      <c r="BJ89" s="4">
        <f t="shared" si="54"/>
        <v>3020.2812690557303</v>
      </c>
      <c r="BK89" s="4">
        <f t="shared" si="54"/>
        <v>3037.9246970992449</v>
      </c>
      <c r="BL89" s="4">
        <f t="shared" si="54"/>
        <v>3054.9641127322848</v>
      </c>
      <c r="BM89" s="4">
        <f t="shared" si="54"/>
        <v>3071.2994990822635</v>
      </c>
      <c r="BN89" s="4">
        <f t="shared" si="54"/>
        <v>3086.836579823962</v>
      </c>
      <c r="BO89" s="4">
        <f t="shared" si="54"/>
        <v>3101.4827522072128</v>
      </c>
      <c r="BP89" s="4">
        <f t="shared" si="54"/>
        <v>3115.14588298852</v>
      </c>
      <c r="BQ89" s="4">
        <f t="shared" si="54"/>
        <v>3129.1721247308733</v>
      </c>
      <c r="BR89" s="4">
        <f t="shared" si="54"/>
        <v>3143.5682612408332</v>
      </c>
      <c r="BS89" s="4">
        <f t="shared" si="54"/>
        <v>3158.3431507495493</v>
      </c>
      <c r="BT89" s="4">
        <f t="shared" ref="BT89:CD89" si="55">SUM(BT90:BT95)</f>
        <v>3173.5059264044412</v>
      </c>
      <c r="BU89" s="4">
        <f t="shared" si="55"/>
        <v>3189.0610717575987</v>
      </c>
      <c r="BV89" s="4">
        <f t="shared" si="55"/>
        <v>3205.0147054725153</v>
      </c>
      <c r="BW89" s="4">
        <f t="shared" si="55"/>
        <v>3221.3806015804712</v>
      </c>
      <c r="BX89" s="4">
        <f t="shared" si="55"/>
        <v>3238.1671436405063</v>
      </c>
      <c r="BY89" s="4">
        <f t="shared" si="55"/>
        <v>3255.3862084448442</v>
      </c>
      <c r="BZ89" s="4">
        <f t="shared" si="55"/>
        <v>3273.0494361883893</v>
      </c>
      <c r="CA89" s="4">
        <f t="shared" si="55"/>
        <v>3291.1685299562168</v>
      </c>
      <c r="CB89" s="4">
        <f t="shared" si="55"/>
        <v>3309.759159234241</v>
      </c>
      <c r="CC89" s="4">
        <f t="shared" si="55"/>
        <v>3328.8380240342835</v>
      </c>
      <c r="CD89" s="4">
        <f t="shared" si="55"/>
        <v>3348.4173737017309</v>
      </c>
    </row>
    <row r="90" spans="2:82" s="3" customFormat="1" x14ac:dyDescent="0.2">
      <c r="D90" s="3" t="s">
        <v>46</v>
      </c>
      <c r="F90" s="3" t="s">
        <v>6</v>
      </c>
      <c r="G90" s="3">
        <f>O329</f>
        <v>0</v>
      </c>
      <c r="H90" s="3">
        <f t="shared" ref="H90:BS92" si="56">P329</f>
        <v>0</v>
      </c>
      <c r="I90" s="3">
        <f t="shared" si="56"/>
        <v>0</v>
      </c>
      <c r="J90" s="3">
        <f t="shared" si="56"/>
        <v>0</v>
      </c>
      <c r="K90" s="3">
        <f t="shared" si="56"/>
        <v>0</v>
      </c>
      <c r="L90" s="3">
        <f t="shared" si="56"/>
        <v>0</v>
      </c>
      <c r="M90" s="3">
        <f t="shared" si="56"/>
        <v>0</v>
      </c>
      <c r="N90" s="3">
        <f t="shared" si="56"/>
        <v>0</v>
      </c>
      <c r="O90" s="3">
        <f t="shared" si="56"/>
        <v>0</v>
      </c>
      <c r="P90" s="3">
        <f t="shared" si="56"/>
        <v>0</v>
      </c>
      <c r="Q90" s="3">
        <f t="shared" si="56"/>
        <v>0</v>
      </c>
      <c r="R90" s="3">
        <f t="shared" si="56"/>
        <v>0</v>
      </c>
      <c r="S90" s="3">
        <f t="shared" si="56"/>
        <v>0</v>
      </c>
      <c r="T90" s="3">
        <f t="shared" si="56"/>
        <v>0</v>
      </c>
      <c r="U90" s="3">
        <f t="shared" si="56"/>
        <v>0</v>
      </c>
      <c r="V90" s="3">
        <f t="shared" si="56"/>
        <v>0</v>
      </c>
      <c r="W90" s="3">
        <f t="shared" si="56"/>
        <v>0</v>
      </c>
      <c r="X90" s="3">
        <f t="shared" si="56"/>
        <v>0</v>
      </c>
      <c r="Y90" s="3">
        <f t="shared" si="56"/>
        <v>0</v>
      </c>
      <c r="Z90" s="3">
        <f t="shared" si="56"/>
        <v>0</v>
      </c>
      <c r="AA90" s="3">
        <f t="shared" si="56"/>
        <v>0</v>
      </c>
      <c r="AB90" s="3">
        <f t="shared" si="56"/>
        <v>0</v>
      </c>
      <c r="AC90" s="3">
        <f t="shared" si="56"/>
        <v>0</v>
      </c>
      <c r="AD90" s="3">
        <f t="shared" si="56"/>
        <v>0</v>
      </c>
      <c r="AE90" s="3">
        <f t="shared" si="56"/>
        <v>0</v>
      </c>
      <c r="AF90" s="3">
        <f t="shared" si="56"/>
        <v>0.14756023641579999</v>
      </c>
      <c r="AG90" s="3">
        <f t="shared" si="56"/>
        <v>0.1702316302836</v>
      </c>
      <c r="AH90" s="3">
        <f t="shared" si="56"/>
        <v>0.19228136861799999</v>
      </c>
      <c r="AI90" s="3">
        <f t="shared" si="56"/>
        <v>0.2134289398384</v>
      </c>
      <c r="AJ90" s="3">
        <f t="shared" si="56"/>
        <v>0.2139770989757</v>
      </c>
      <c r="AK90" s="3">
        <f t="shared" si="56"/>
        <v>0.21607121875679999</v>
      </c>
      <c r="AL90" s="3">
        <f t="shared" si="56"/>
        <v>0.218265303464</v>
      </c>
      <c r="AM90" s="3">
        <f t="shared" si="56"/>
        <v>4.5828029228603997</v>
      </c>
      <c r="AN90" s="3">
        <f t="shared" si="56"/>
        <v>9.5891415067079997</v>
      </c>
      <c r="AO90" s="3">
        <f t="shared" si="56"/>
        <v>15.3260761348541</v>
      </c>
      <c r="AP90" s="3">
        <f t="shared" si="56"/>
        <v>21.779480261201499</v>
      </c>
      <c r="AQ90" s="3">
        <f t="shared" si="56"/>
        <v>22.957829198693499</v>
      </c>
      <c r="AR90" s="3">
        <f t="shared" si="56"/>
        <v>24.1417151214821</v>
      </c>
      <c r="AS90" s="3">
        <f t="shared" si="56"/>
        <v>25.331898761935999</v>
      </c>
      <c r="AT90" s="3">
        <f t="shared" si="56"/>
        <v>26.5356470929006</v>
      </c>
      <c r="AU90" s="3">
        <f t="shared" si="56"/>
        <v>27.763528750100999</v>
      </c>
      <c r="AV90" s="3">
        <f t="shared" si="56"/>
        <v>29.031415346382399</v>
      </c>
      <c r="AW90" s="3">
        <f t="shared" si="56"/>
        <v>30.3567139295732</v>
      </c>
      <c r="AX90" s="3">
        <f t="shared" si="56"/>
        <v>31.756501998155201</v>
      </c>
      <c r="AY90" s="3">
        <f t="shared" si="56"/>
        <v>33.247349279687697</v>
      </c>
      <c r="AZ90" s="3">
        <f t="shared" si="56"/>
        <v>34.671234482410803</v>
      </c>
      <c r="BA90" s="3">
        <f t="shared" si="56"/>
        <v>36.523536266349097</v>
      </c>
      <c r="BB90" s="3">
        <f t="shared" si="56"/>
        <v>38.303358742688602</v>
      </c>
      <c r="BC90" s="3">
        <f t="shared" si="56"/>
        <v>39.973980205326697</v>
      </c>
      <c r="BD90" s="3">
        <f t="shared" si="56"/>
        <v>41.505883449861301</v>
      </c>
      <c r="BE90" s="3">
        <f t="shared" si="56"/>
        <v>42.867647384301897</v>
      </c>
      <c r="BF90" s="3">
        <f t="shared" si="56"/>
        <v>44.0308486337075</v>
      </c>
      <c r="BG90" s="3">
        <f t="shared" si="56"/>
        <v>45.152983059796398</v>
      </c>
      <c r="BH90" s="3">
        <f t="shared" si="56"/>
        <v>46.224976342761913</v>
      </c>
      <c r="BI90" s="3">
        <f t="shared" si="56"/>
        <v>47.237837535103907</v>
      </c>
      <c r="BJ90" s="3">
        <f t="shared" si="56"/>
        <v>48.182444227489498</v>
      </c>
      <c r="BK90" s="3">
        <f t="shared" si="56"/>
        <v>49.168054524364997</v>
      </c>
      <c r="BL90" s="3">
        <f t="shared" si="56"/>
        <v>50.072187051157002</v>
      </c>
      <c r="BM90" s="3">
        <f t="shared" si="56"/>
        <v>50.8867935492217</v>
      </c>
      <c r="BN90" s="3">
        <f t="shared" si="56"/>
        <v>51.605839436341903</v>
      </c>
      <c r="BO90" s="3">
        <f t="shared" si="56"/>
        <v>52.224140916421199</v>
      </c>
      <c r="BP90" s="3">
        <f t="shared" si="56"/>
        <v>52.737036274328098</v>
      </c>
      <c r="BQ90" s="3">
        <f t="shared" si="56"/>
        <v>53.247314939848302</v>
      </c>
      <c r="BR90" s="3">
        <f t="shared" si="56"/>
        <v>53.755195005640502</v>
      </c>
      <c r="BS90" s="3">
        <f t="shared" si="56"/>
        <v>54.261418594687598</v>
      </c>
      <c r="BT90" s="3">
        <f t="shared" ref="BT90:CD91" si="57">CB329</f>
        <v>54.7666820044942</v>
      </c>
      <c r="BU90" s="3">
        <f t="shared" si="57"/>
        <v>55.272232174594301</v>
      </c>
      <c r="BV90" s="3">
        <f t="shared" si="57"/>
        <v>55.778254748453598</v>
      </c>
      <c r="BW90" s="3">
        <f t="shared" si="57"/>
        <v>56.287857516035302</v>
      </c>
      <c r="BX90" s="3">
        <f t="shared" si="57"/>
        <v>56.803470101024899</v>
      </c>
      <c r="BY90" s="3">
        <f t="shared" si="57"/>
        <v>57.328760605511803</v>
      </c>
      <c r="BZ90" s="3">
        <f t="shared" si="57"/>
        <v>57.868034047507301</v>
      </c>
      <c r="CA90" s="3">
        <f t="shared" si="57"/>
        <v>58.426241677299807</v>
      </c>
      <c r="CB90" s="3">
        <f t="shared" si="57"/>
        <v>59.0094470089495</v>
      </c>
      <c r="CC90" s="3">
        <f t="shared" si="57"/>
        <v>59.6239387501696</v>
      </c>
      <c r="CD90" s="3">
        <f t="shared" si="57"/>
        <v>60.274813059143398</v>
      </c>
    </row>
    <row r="91" spans="2:82" s="3" customFormat="1" x14ac:dyDescent="0.2">
      <c r="D91" s="3" t="s">
        <v>46</v>
      </c>
      <c r="F91" s="3" t="s">
        <v>7</v>
      </c>
      <c r="G91" s="3">
        <f>O330</f>
        <v>0</v>
      </c>
      <c r="H91" s="3">
        <f t="shared" si="56"/>
        <v>0</v>
      </c>
      <c r="I91" s="3">
        <f t="shared" si="56"/>
        <v>0</v>
      </c>
      <c r="J91" s="3">
        <f t="shared" si="56"/>
        <v>0</v>
      </c>
      <c r="K91" s="3">
        <f t="shared" si="56"/>
        <v>0</v>
      </c>
      <c r="L91" s="3">
        <f t="shared" si="56"/>
        <v>0</v>
      </c>
      <c r="M91" s="3">
        <f t="shared" si="56"/>
        <v>0</v>
      </c>
      <c r="N91" s="3">
        <f t="shared" si="56"/>
        <v>0</v>
      </c>
      <c r="O91" s="3">
        <f t="shared" si="56"/>
        <v>0</v>
      </c>
      <c r="P91" s="3">
        <f t="shared" si="56"/>
        <v>0</v>
      </c>
      <c r="Q91" s="3">
        <f t="shared" si="56"/>
        <v>0</v>
      </c>
      <c r="R91" s="3">
        <f t="shared" si="56"/>
        <v>0</v>
      </c>
      <c r="S91" s="3">
        <f t="shared" si="56"/>
        <v>0</v>
      </c>
      <c r="T91" s="3">
        <f t="shared" si="56"/>
        <v>0</v>
      </c>
      <c r="U91" s="3">
        <f t="shared" si="56"/>
        <v>0</v>
      </c>
      <c r="V91" s="3">
        <f t="shared" si="56"/>
        <v>0</v>
      </c>
      <c r="W91" s="3">
        <f t="shared" si="56"/>
        <v>0</v>
      </c>
      <c r="X91" s="3">
        <f t="shared" si="56"/>
        <v>0</v>
      </c>
      <c r="Y91" s="3">
        <f t="shared" si="56"/>
        <v>0</v>
      </c>
      <c r="Z91" s="3">
        <f t="shared" si="56"/>
        <v>0</v>
      </c>
      <c r="AA91" s="3">
        <f t="shared" si="56"/>
        <v>0</v>
      </c>
      <c r="AB91" s="3">
        <f t="shared" si="56"/>
        <v>0</v>
      </c>
      <c r="AC91" s="3">
        <f t="shared" si="56"/>
        <v>0</v>
      </c>
      <c r="AD91" s="3">
        <f t="shared" si="56"/>
        <v>0</v>
      </c>
      <c r="AE91" s="3">
        <f t="shared" si="56"/>
        <v>0</v>
      </c>
      <c r="AF91" s="3">
        <f t="shared" si="56"/>
        <v>0</v>
      </c>
      <c r="AG91" s="3">
        <f t="shared" si="56"/>
        <v>0</v>
      </c>
      <c r="AH91" s="3">
        <f t="shared" si="56"/>
        <v>0</v>
      </c>
      <c r="AI91" s="3">
        <f t="shared" si="56"/>
        <v>0</v>
      </c>
      <c r="AJ91" s="3">
        <f t="shared" si="56"/>
        <v>0</v>
      </c>
      <c r="AK91" s="3">
        <f t="shared" si="56"/>
        <v>0</v>
      </c>
      <c r="AL91" s="3">
        <f t="shared" si="56"/>
        <v>0</v>
      </c>
      <c r="AM91" s="3">
        <f t="shared" si="56"/>
        <v>0</v>
      </c>
      <c r="AN91" s="3">
        <f t="shared" si="56"/>
        <v>0</v>
      </c>
      <c r="AO91" s="3">
        <f t="shared" si="56"/>
        <v>0</v>
      </c>
      <c r="AP91" s="3">
        <f t="shared" si="56"/>
        <v>0</v>
      </c>
      <c r="AQ91" s="3">
        <f t="shared" si="56"/>
        <v>0</v>
      </c>
      <c r="AR91" s="3">
        <f t="shared" si="56"/>
        <v>0</v>
      </c>
      <c r="AS91" s="3">
        <f t="shared" si="56"/>
        <v>0</v>
      </c>
      <c r="AT91" s="3">
        <f t="shared" si="56"/>
        <v>0</v>
      </c>
      <c r="AU91" s="3">
        <f t="shared" si="56"/>
        <v>0</v>
      </c>
      <c r="AV91" s="3">
        <f t="shared" si="56"/>
        <v>0</v>
      </c>
      <c r="AW91" s="3">
        <f t="shared" si="56"/>
        <v>0</v>
      </c>
      <c r="AX91" s="3">
        <f t="shared" si="56"/>
        <v>0</v>
      </c>
      <c r="AY91" s="3">
        <f t="shared" si="56"/>
        <v>0</v>
      </c>
      <c r="AZ91" s="3">
        <f t="shared" si="56"/>
        <v>0</v>
      </c>
      <c r="BA91" s="3">
        <f t="shared" si="56"/>
        <v>0</v>
      </c>
      <c r="BB91" s="3">
        <f t="shared" si="56"/>
        <v>0</v>
      </c>
      <c r="BC91" s="3">
        <f t="shared" si="56"/>
        <v>0</v>
      </c>
      <c r="BD91" s="3">
        <f t="shared" si="56"/>
        <v>0</v>
      </c>
      <c r="BE91" s="3">
        <f t="shared" si="56"/>
        <v>0</v>
      </c>
      <c r="BF91" s="3">
        <f t="shared" si="56"/>
        <v>0</v>
      </c>
      <c r="BG91" s="3">
        <f t="shared" si="56"/>
        <v>0</v>
      </c>
      <c r="BH91" s="3">
        <f t="shared" si="56"/>
        <v>0</v>
      </c>
      <c r="BI91" s="3">
        <f t="shared" si="56"/>
        <v>0</v>
      </c>
      <c r="BJ91" s="3">
        <f t="shared" si="56"/>
        <v>0</v>
      </c>
      <c r="BK91" s="3">
        <f t="shared" si="56"/>
        <v>0</v>
      </c>
      <c r="BL91" s="3">
        <f t="shared" si="56"/>
        <v>0</v>
      </c>
      <c r="BM91" s="3">
        <f t="shared" si="56"/>
        <v>0</v>
      </c>
      <c r="BN91" s="3">
        <f t="shared" si="56"/>
        <v>0</v>
      </c>
      <c r="BO91" s="3">
        <f t="shared" si="56"/>
        <v>0</v>
      </c>
      <c r="BP91" s="3">
        <f t="shared" si="56"/>
        <v>0</v>
      </c>
      <c r="BQ91" s="3">
        <f t="shared" si="56"/>
        <v>0</v>
      </c>
      <c r="BR91" s="3">
        <f t="shared" si="56"/>
        <v>0</v>
      </c>
      <c r="BS91" s="3">
        <f t="shared" si="56"/>
        <v>0</v>
      </c>
      <c r="BT91" s="3">
        <f t="shared" si="57"/>
        <v>0</v>
      </c>
      <c r="BU91" s="3">
        <f t="shared" si="57"/>
        <v>0</v>
      </c>
      <c r="BV91" s="3">
        <f t="shared" si="57"/>
        <v>0</v>
      </c>
      <c r="BW91" s="3">
        <f t="shared" si="57"/>
        <v>0</v>
      </c>
      <c r="BX91" s="3">
        <f t="shared" si="57"/>
        <v>0</v>
      </c>
      <c r="BY91" s="3">
        <f t="shared" si="57"/>
        <v>0</v>
      </c>
      <c r="BZ91" s="3">
        <f t="shared" si="57"/>
        <v>0</v>
      </c>
      <c r="CA91" s="3">
        <f t="shared" si="57"/>
        <v>0</v>
      </c>
      <c r="CB91" s="3">
        <f t="shared" si="57"/>
        <v>0</v>
      </c>
      <c r="CC91" s="3">
        <f t="shared" si="57"/>
        <v>0</v>
      </c>
      <c r="CD91" s="3">
        <f t="shared" si="57"/>
        <v>0</v>
      </c>
    </row>
    <row r="92" spans="2:82" s="3" customFormat="1" x14ac:dyDescent="0.2">
      <c r="D92" s="3" t="s">
        <v>46</v>
      </c>
      <c r="F92" s="3" t="s">
        <v>8</v>
      </c>
      <c r="G92" s="3">
        <f>O331</f>
        <v>0</v>
      </c>
      <c r="H92" s="3">
        <f t="shared" si="56"/>
        <v>0</v>
      </c>
      <c r="I92" s="3">
        <f t="shared" si="56"/>
        <v>0</v>
      </c>
      <c r="J92" s="3">
        <f t="shared" si="56"/>
        <v>0</v>
      </c>
      <c r="K92" s="3">
        <f t="shared" si="56"/>
        <v>0</v>
      </c>
      <c r="L92" s="3">
        <f t="shared" si="56"/>
        <v>0</v>
      </c>
      <c r="M92" s="3">
        <f t="shared" si="56"/>
        <v>0</v>
      </c>
      <c r="N92" s="3">
        <f t="shared" si="56"/>
        <v>0</v>
      </c>
      <c r="O92" s="3">
        <f t="shared" si="56"/>
        <v>0</v>
      </c>
      <c r="P92" s="3">
        <f t="shared" si="56"/>
        <v>0</v>
      </c>
      <c r="Q92" s="3">
        <f t="shared" si="56"/>
        <v>0</v>
      </c>
      <c r="R92" s="3">
        <f t="shared" si="56"/>
        <v>0</v>
      </c>
      <c r="S92" s="3">
        <f t="shared" si="56"/>
        <v>0</v>
      </c>
      <c r="T92" s="3">
        <f t="shared" si="56"/>
        <v>0</v>
      </c>
      <c r="U92" s="3">
        <f t="shared" si="56"/>
        <v>0</v>
      </c>
      <c r="V92" s="3">
        <f t="shared" si="56"/>
        <v>0</v>
      </c>
      <c r="W92" s="3">
        <f t="shared" si="56"/>
        <v>0</v>
      </c>
      <c r="X92" s="3">
        <f t="shared" si="56"/>
        <v>0</v>
      </c>
      <c r="Y92" s="3">
        <f t="shared" si="56"/>
        <v>0</v>
      </c>
      <c r="Z92" s="3">
        <f t="shared" si="56"/>
        <v>0</v>
      </c>
      <c r="AA92" s="3">
        <f t="shared" si="56"/>
        <v>0</v>
      </c>
      <c r="AB92" s="3">
        <f t="shared" si="56"/>
        <v>0</v>
      </c>
      <c r="AC92" s="3">
        <f t="shared" si="56"/>
        <v>0</v>
      </c>
      <c r="AD92" s="3">
        <f t="shared" si="56"/>
        <v>0</v>
      </c>
      <c r="AE92" s="3">
        <f t="shared" si="56"/>
        <v>0</v>
      </c>
      <c r="AF92" s="3">
        <f t="shared" si="56"/>
        <v>0</v>
      </c>
      <c r="AG92" s="3">
        <f t="shared" si="56"/>
        <v>0</v>
      </c>
      <c r="AH92" s="3">
        <f t="shared" si="56"/>
        <v>0</v>
      </c>
      <c r="AI92" s="3">
        <f t="shared" si="56"/>
        <v>0</v>
      </c>
      <c r="AJ92" s="3">
        <f t="shared" si="56"/>
        <v>0</v>
      </c>
      <c r="AK92" s="3">
        <f t="shared" si="56"/>
        <v>0</v>
      </c>
      <c r="AL92" s="3">
        <f t="shared" si="56"/>
        <v>0</v>
      </c>
      <c r="AM92" s="3">
        <f t="shared" si="56"/>
        <v>9.0905587145376207E-5</v>
      </c>
      <c r="AN92" s="3">
        <f t="shared" si="56"/>
        <v>1.95010942726438E-4</v>
      </c>
      <c r="AO92" s="3">
        <f t="shared" si="56"/>
        <v>3.1422769871051901E-4</v>
      </c>
      <c r="AP92" s="3">
        <f t="shared" si="56"/>
        <v>4.4817599872984599E-4</v>
      </c>
      <c r="AQ92" s="3">
        <f t="shared" si="56"/>
        <v>4.7159178128716001E-4</v>
      </c>
      <c r="AR92" s="3">
        <f t="shared" si="56"/>
        <v>4.9465752760702504E-4</v>
      </c>
      <c r="AS92" s="3">
        <f t="shared" si="56"/>
        <v>5.1728013221517496E-4</v>
      </c>
      <c r="AT92" s="3">
        <f t="shared" si="56"/>
        <v>5.3955276615319698E-4</v>
      </c>
      <c r="AU92" s="3">
        <f t="shared" si="56"/>
        <v>5.6174979572928309E-4</v>
      </c>
      <c r="AV92" s="3">
        <f t="shared" si="56"/>
        <v>5.8437827858847801E-4</v>
      </c>
      <c r="AW92" s="3">
        <f t="shared" si="56"/>
        <v>6.0806205565323303E-4</v>
      </c>
      <c r="AX92" s="3">
        <f t="shared" si="56"/>
        <v>6.334153543063409E-4</v>
      </c>
      <c r="AY92" s="3">
        <f t="shared" si="56"/>
        <v>6.6096231243771802E-4</v>
      </c>
      <c r="AZ92" s="3">
        <f t="shared" si="56"/>
        <v>6.8754680968462505E-4</v>
      </c>
      <c r="BA92" s="3">
        <f t="shared" si="56"/>
        <v>7.2347430741675697E-4</v>
      </c>
      <c r="BB92" s="3">
        <f t="shared" si="56"/>
        <v>7.5828986755875497E-4</v>
      </c>
      <c r="BC92" s="3">
        <f t="shared" si="56"/>
        <v>7.9117062041502405E-4</v>
      </c>
      <c r="BD92" s="3">
        <f t="shared" si="56"/>
        <v>8.2144667343588603E-4</v>
      </c>
      <c r="BE92" s="3">
        <f t="shared" si="56"/>
        <v>8.4843875130274698E-4</v>
      </c>
      <c r="BF92" s="3">
        <f t="shared" si="56"/>
        <v>8.7173584989293793E-4</v>
      </c>
      <c r="BG92" s="3">
        <f t="shared" si="56"/>
        <v>8.9416719522419799E-4</v>
      </c>
      <c r="BH92" s="3">
        <f t="shared" si="56"/>
        <v>9.1554882597975006E-4</v>
      </c>
      <c r="BI92" s="3">
        <f t="shared" si="56"/>
        <v>9.3569874356490409E-4</v>
      </c>
      <c r="BJ92" s="3">
        <f t="shared" si="56"/>
        <v>9.544325898706731E-4</v>
      </c>
      <c r="BK92" s="3">
        <f t="shared" si="56"/>
        <v>9.7404190651012904E-4</v>
      </c>
      <c r="BL92" s="3">
        <f t="shared" si="56"/>
        <v>9.9197498986353214E-4</v>
      </c>
      <c r="BM92" s="3">
        <f t="shared" si="56"/>
        <v>1.00806877414587E-3</v>
      </c>
      <c r="BN92" s="3">
        <f t="shared" si="56"/>
        <v>1.02220207571989E-3</v>
      </c>
      <c r="BO92" s="3">
        <f t="shared" si="56"/>
        <v>1.03427130990659E-3</v>
      </c>
      <c r="BP92" s="3">
        <f t="shared" si="56"/>
        <v>1.0441835509435501E-3</v>
      </c>
      <c r="BQ92" s="3">
        <f t="shared" si="56"/>
        <v>1.0540242655707E-3</v>
      </c>
      <c r="BR92" s="3">
        <f t="shared" si="56"/>
        <v>1.0637969340738099E-3</v>
      </c>
      <c r="BS92" s="3">
        <f t="shared" ref="BS92:CD95" si="58">CA331</f>
        <v>1.0735163282586601E-3</v>
      </c>
      <c r="BT92" s="3">
        <f t="shared" si="58"/>
        <v>1.0831965137499801E-3</v>
      </c>
      <c r="BU92" s="3">
        <f t="shared" si="58"/>
        <v>1.0928629502994999E-3</v>
      </c>
      <c r="BV92" s="3">
        <f t="shared" si="58"/>
        <v>1.1025190606153801E-3</v>
      </c>
      <c r="BW92" s="3">
        <f t="shared" si="58"/>
        <v>1.11222974942461E-3</v>
      </c>
      <c r="BX92" s="3">
        <f t="shared" si="58"/>
        <v>1.12204527380444E-3</v>
      </c>
      <c r="BY92" s="3">
        <f t="shared" si="58"/>
        <v>1.1320418682239401E-3</v>
      </c>
      <c r="BZ92" s="3">
        <f t="shared" si="58"/>
        <v>1.14230908043268E-3</v>
      </c>
      <c r="CA92" s="3">
        <f t="shared" si="58"/>
        <v>1.15294992918554E-3</v>
      </c>
      <c r="CB92" s="3">
        <f t="shared" si="58"/>
        <v>1.1640900142544E-3</v>
      </c>
      <c r="CC92" s="3">
        <f t="shared" si="58"/>
        <v>1.1758580952931301E-3</v>
      </c>
      <c r="CD92" s="3">
        <f t="shared" si="58"/>
        <v>1.1883588077813601E-3</v>
      </c>
    </row>
    <row r="93" spans="2:82" s="3" customFormat="1" x14ac:dyDescent="0.2">
      <c r="D93" s="3" t="s">
        <v>47</v>
      </c>
      <c r="F93" s="3" t="s">
        <v>6</v>
      </c>
      <c r="G93" s="3">
        <f>O332</f>
        <v>0</v>
      </c>
      <c r="H93" s="3">
        <f>P332</f>
        <v>0</v>
      </c>
      <c r="I93" s="3">
        <f>Q332</f>
        <v>0</v>
      </c>
      <c r="J93" s="3">
        <f>R332</f>
        <v>0</v>
      </c>
      <c r="K93" s="3">
        <f>S332</f>
        <v>0</v>
      </c>
      <c r="L93" s="3">
        <f>T332</f>
        <v>0</v>
      </c>
      <c r="M93" s="3">
        <f>U332</f>
        <v>0</v>
      </c>
      <c r="N93" s="3">
        <f>V332</f>
        <v>0</v>
      </c>
      <c r="O93" s="3">
        <f>W332</f>
        <v>0</v>
      </c>
      <c r="P93" s="3">
        <f>X332</f>
        <v>0</v>
      </c>
      <c r="Q93" s="3">
        <f>Y332</f>
        <v>0</v>
      </c>
      <c r="R93" s="3">
        <f>Z332</f>
        <v>0</v>
      </c>
      <c r="S93" s="3">
        <f>AA332</f>
        <v>0</v>
      </c>
      <c r="T93" s="3">
        <f>AB332</f>
        <v>0</v>
      </c>
      <c r="U93" s="3">
        <f>AC332</f>
        <v>0</v>
      </c>
      <c r="V93" s="3">
        <f>AD332</f>
        <v>0</v>
      </c>
      <c r="W93" s="3">
        <f>AE332</f>
        <v>0</v>
      </c>
      <c r="X93" s="3">
        <f>AF332</f>
        <v>0</v>
      </c>
      <c r="Y93" s="3">
        <f>AG332</f>
        <v>0</v>
      </c>
      <c r="Z93" s="3">
        <f>AH332</f>
        <v>0</v>
      </c>
      <c r="AA93" s="3">
        <f>AI332</f>
        <v>0</v>
      </c>
      <c r="AB93" s="3">
        <f>AJ332</f>
        <v>0</v>
      </c>
      <c r="AC93" s="3">
        <f>AK332</f>
        <v>0</v>
      </c>
      <c r="AD93" s="3">
        <f>AL332</f>
        <v>0</v>
      </c>
      <c r="AE93" s="3">
        <f>AM332</f>
        <v>0</v>
      </c>
      <c r="AF93" s="3">
        <f>AN332</f>
        <v>11.7691924587422</v>
      </c>
      <c r="AG93" s="3">
        <f>AO332</f>
        <v>11.845561546030799</v>
      </c>
      <c r="AH93" s="3">
        <f>AP332</f>
        <v>11.9120496601286</v>
      </c>
      <c r="AI93" s="3">
        <f>AQ332</f>
        <v>12.0034979137861</v>
      </c>
      <c r="AJ93" s="3">
        <f>AR332</f>
        <v>12.090701006795999</v>
      </c>
      <c r="AK93" s="3">
        <f>AS332</f>
        <v>12.174498488815701</v>
      </c>
      <c r="AL93" s="3">
        <f>AT332</f>
        <v>12.2541557553168</v>
      </c>
      <c r="AM93" s="3">
        <f>AU332</f>
        <v>14.704511749390999</v>
      </c>
      <c r="AN93" s="3">
        <f>AV332</f>
        <v>18.349125056008202</v>
      </c>
      <c r="AO93" s="3">
        <f>AW332</f>
        <v>23.759208606732098</v>
      </c>
      <c r="AP93" s="3">
        <f>AX332</f>
        <v>31.721513664818001</v>
      </c>
      <c r="AQ93" s="3">
        <f>AY332</f>
        <v>215.10321438413999</v>
      </c>
      <c r="AR93" s="3">
        <f>AZ332</f>
        <v>384.78395428344089</v>
      </c>
      <c r="AS93" s="3">
        <f>BA332</f>
        <v>564.12335528873405</v>
      </c>
      <c r="AT93" s="3">
        <f>BB332</f>
        <v>757.03435789010302</v>
      </c>
      <c r="AU93" s="3">
        <f>BC332</f>
        <v>963.00507337366605</v>
      </c>
      <c r="AV93" s="3">
        <f>BD332</f>
        <v>1178.36049865519</v>
      </c>
      <c r="AW93" s="3">
        <f>BE332</f>
        <v>1397.39907243567</v>
      </c>
      <c r="AX93" s="3">
        <f>BF332</f>
        <v>1614.20614939489</v>
      </c>
      <c r="AY93" s="3">
        <f>BG332</f>
        <v>1824.3481534662401</v>
      </c>
      <c r="AZ93" s="3">
        <f>BH332</f>
        <v>2024.5093753005301</v>
      </c>
      <c r="BA93" s="3">
        <f>BI332</f>
        <v>2213.9532256623402</v>
      </c>
      <c r="BB93" s="3">
        <f>BJ332</f>
        <v>2393.4922855650998</v>
      </c>
      <c r="BC93" s="3">
        <f>BK332</f>
        <v>2564.1830398447</v>
      </c>
      <c r="BD93" s="3">
        <f>BL332</f>
        <v>2727.3970614131299</v>
      </c>
      <c r="BE93" s="3">
        <f>BM332</f>
        <v>2884.0719240406202</v>
      </c>
      <c r="BF93" s="3">
        <f>BN332</f>
        <v>2901.9577189155498</v>
      </c>
      <c r="BG93" s="3">
        <f>BO332</f>
        <v>2919.7780680921101</v>
      </c>
      <c r="BH93" s="3">
        <f>BP332</f>
        <v>2937.4436505362</v>
      </c>
      <c r="BI93" s="3">
        <f>BQ332</f>
        <v>2954.8656563668701</v>
      </c>
      <c r="BJ93" s="3">
        <f>BR332</f>
        <v>2971.95213154158</v>
      </c>
      <c r="BK93" s="3">
        <f>BS332</f>
        <v>2988.6091769283198</v>
      </c>
      <c r="BL93" s="3">
        <f>BT332</f>
        <v>3004.7437131931501</v>
      </c>
      <c r="BM93" s="3">
        <f>BU332</f>
        <v>3020.2637760129801</v>
      </c>
      <c r="BN93" s="3">
        <f>BV332</f>
        <v>3035.0811277222901</v>
      </c>
      <c r="BO93" s="3">
        <f>BW332</f>
        <v>3049.1083533872702</v>
      </c>
      <c r="BP93" s="3">
        <f>BX332</f>
        <v>3062.2579854896599</v>
      </c>
      <c r="BQ93" s="3">
        <f>BY332</f>
        <v>3075.77332895974</v>
      </c>
      <c r="BR93" s="3">
        <f>BZ332</f>
        <v>3089.66094922204</v>
      </c>
      <c r="BS93" s="3">
        <f>CA332</f>
        <v>3103.92896201451</v>
      </c>
      <c r="BT93" s="3">
        <f t="shared" si="58"/>
        <v>3118.5858038035199</v>
      </c>
      <c r="BU93" s="3">
        <f t="shared" si="58"/>
        <v>3133.6347110414599</v>
      </c>
      <c r="BV93" s="3">
        <f t="shared" si="58"/>
        <v>3149.0816164889402</v>
      </c>
      <c r="BW93" s="3">
        <f t="shared" si="58"/>
        <v>3164.9371858535001</v>
      </c>
      <c r="BX93" s="3">
        <f t="shared" si="58"/>
        <v>3181.20737276408</v>
      </c>
      <c r="BY93" s="3">
        <f t="shared" si="58"/>
        <v>3197.90038547722</v>
      </c>
      <c r="BZ93" s="3">
        <f t="shared" si="58"/>
        <v>3215.0235587626198</v>
      </c>
      <c r="CA93" s="3">
        <f t="shared" si="58"/>
        <v>3232.5836440610001</v>
      </c>
      <c r="CB93" s="3">
        <f t="shared" si="58"/>
        <v>3250.5902467995102</v>
      </c>
      <c r="CC93" s="3">
        <f t="shared" si="58"/>
        <v>3269.0537776986298</v>
      </c>
      <c r="CD93" s="3">
        <f t="shared" si="58"/>
        <v>3287.9813895330099</v>
      </c>
    </row>
    <row r="94" spans="2:82" s="3" customFormat="1" x14ac:dyDescent="0.2">
      <c r="D94" s="3" t="s">
        <v>47</v>
      </c>
      <c r="F94" s="3" t="s">
        <v>7</v>
      </c>
      <c r="G94" s="3">
        <f>O333</f>
        <v>0</v>
      </c>
      <c r="H94" s="3">
        <f>P333</f>
        <v>0</v>
      </c>
      <c r="I94" s="3">
        <f>Q333</f>
        <v>0</v>
      </c>
      <c r="J94" s="3">
        <f>R333</f>
        <v>0</v>
      </c>
      <c r="K94" s="3">
        <f>S333</f>
        <v>0</v>
      </c>
      <c r="L94" s="3">
        <f>T333</f>
        <v>0</v>
      </c>
      <c r="M94" s="3">
        <f>U333</f>
        <v>0</v>
      </c>
      <c r="N94" s="3">
        <f>V333</f>
        <v>0</v>
      </c>
      <c r="O94" s="3">
        <f>W333</f>
        <v>0</v>
      </c>
      <c r="P94" s="3">
        <f>X333</f>
        <v>0</v>
      </c>
      <c r="Q94" s="3">
        <f>Y333</f>
        <v>0</v>
      </c>
      <c r="R94" s="3">
        <f>Z333</f>
        <v>0</v>
      </c>
      <c r="S94" s="3">
        <f>AA333</f>
        <v>0</v>
      </c>
      <c r="T94" s="3">
        <f>AB333</f>
        <v>0</v>
      </c>
      <c r="U94" s="3">
        <f>AC333</f>
        <v>0</v>
      </c>
      <c r="V94" s="3">
        <f>AD333</f>
        <v>0</v>
      </c>
      <c r="W94" s="3">
        <f>AE333</f>
        <v>0</v>
      </c>
      <c r="X94" s="3">
        <f>AF333</f>
        <v>0</v>
      </c>
      <c r="Y94" s="3">
        <f>AG333</f>
        <v>0</v>
      </c>
      <c r="Z94" s="3">
        <f>AH333</f>
        <v>0</v>
      </c>
      <c r="AA94" s="3">
        <f>AI333</f>
        <v>0</v>
      </c>
      <c r="AB94" s="3">
        <f>AJ333</f>
        <v>0</v>
      </c>
      <c r="AC94" s="3">
        <f>AK333</f>
        <v>0</v>
      </c>
      <c r="AD94" s="3">
        <f>AL333</f>
        <v>0</v>
      </c>
      <c r="AE94" s="3">
        <f>AM333</f>
        <v>0</v>
      </c>
      <c r="AF94" s="3">
        <f>AN333</f>
        <v>0</v>
      </c>
      <c r="AG94" s="3">
        <f>AO333</f>
        <v>0</v>
      </c>
      <c r="AH94" s="3">
        <f>AP333</f>
        <v>0</v>
      </c>
      <c r="AI94" s="3">
        <f>AQ333</f>
        <v>0</v>
      </c>
      <c r="AJ94" s="3">
        <f>AR333</f>
        <v>0</v>
      </c>
      <c r="AK94" s="3">
        <f>AS333</f>
        <v>0</v>
      </c>
      <c r="AL94" s="3">
        <f>AT333</f>
        <v>0</v>
      </c>
      <c r="AM94" s="3">
        <f>AU333</f>
        <v>0</v>
      </c>
      <c r="AN94" s="3">
        <f>AV333</f>
        <v>0</v>
      </c>
      <c r="AO94" s="3">
        <f>AW333</f>
        <v>0</v>
      </c>
      <c r="AP94" s="3">
        <f>AX333</f>
        <v>0</v>
      </c>
      <c r="AQ94" s="3">
        <f>AY333</f>
        <v>0</v>
      </c>
      <c r="AR94" s="3">
        <f>AZ333</f>
        <v>0</v>
      </c>
      <c r="AS94" s="3">
        <f>BA333</f>
        <v>0</v>
      </c>
      <c r="AT94" s="3">
        <f>BB333</f>
        <v>0</v>
      </c>
      <c r="AU94" s="3">
        <f>BC333</f>
        <v>0</v>
      </c>
      <c r="AV94" s="3">
        <f>BD333</f>
        <v>0</v>
      </c>
      <c r="AW94" s="3">
        <f>BE333</f>
        <v>0</v>
      </c>
      <c r="AX94" s="3">
        <f>BF333</f>
        <v>0</v>
      </c>
      <c r="AY94" s="3">
        <f>BG333</f>
        <v>0</v>
      </c>
      <c r="AZ94" s="3">
        <f>BH333</f>
        <v>0</v>
      </c>
      <c r="BA94" s="3">
        <f>BI333</f>
        <v>0</v>
      </c>
      <c r="BB94" s="3">
        <f>BJ333</f>
        <v>0</v>
      </c>
      <c r="BC94" s="3">
        <f>BK333</f>
        <v>0</v>
      </c>
      <c r="BD94" s="3">
        <f>BL333</f>
        <v>0</v>
      </c>
      <c r="BE94" s="3">
        <f>BM333</f>
        <v>0</v>
      </c>
      <c r="BF94" s="3">
        <f>BN333</f>
        <v>0</v>
      </c>
      <c r="BG94" s="3">
        <f>BO333</f>
        <v>0</v>
      </c>
      <c r="BH94" s="3">
        <f>BP333</f>
        <v>0</v>
      </c>
      <c r="BI94" s="3">
        <f>BQ333</f>
        <v>0</v>
      </c>
      <c r="BJ94" s="3">
        <f>BR333</f>
        <v>0</v>
      </c>
      <c r="BK94" s="3">
        <f>BS333</f>
        <v>0</v>
      </c>
      <c r="BL94" s="3">
        <f>BT333</f>
        <v>0</v>
      </c>
      <c r="BM94" s="3">
        <f>BU333</f>
        <v>0</v>
      </c>
      <c r="BN94" s="3">
        <f>BV333</f>
        <v>0</v>
      </c>
      <c r="BO94" s="3">
        <f>BW333</f>
        <v>0</v>
      </c>
      <c r="BP94" s="3">
        <f>BX333</f>
        <v>0</v>
      </c>
      <c r="BQ94" s="3">
        <f>BY333</f>
        <v>0</v>
      </c>
      <c r="BR94" s="3">
        <f>BZ333</f>
        <v>0</v>
      </c>
      <c r="BS94" s="3">
        <f>CA333</f>
        <v>0</v>
      </c>
      <c r="BT94" s="3">
        <f t="shared" si="58"/>
        <v>0</v>
      </c>
      <c r="BU94" s="3">
        <f t="shared" si="58"/>
        <v>0</v>
      </c>
      <c r="BV94" s="3">
        <f t="shared" si="58"/>
        <v>0</v>
      </c>
      <c r="BW94" s="3">
        <f t="shared" si="58"/>
        <v>0</v>
      </c>
      <c r="BX94" s="3">
        <f t="shared" si="58"/>
        <v>0</v>
      </c>
      <c r="BY94" s="3">
        <f t="shared" si="58"/>
        <v>0</v>
      </c>
      <c r="BZ94" s="3">
        <f t="shared" si="58"/>
        <v>0</v>
      </c>
      <c r="CA94" s="3">
        <f t="shared" si="58"/>
        <v>0</v>
      </c>
      <c r="CB94" s="3">
        <f t="shared" si="58"/>
        <v>0</v>
      </c>
      <c r="CC94" s="3">
        <f t="shared" si="58"/>
        <v>0</v>
      </c>
      <c r="CD94" s="3">
        <f t="shared" si="58"/>
        <v>0</v>
      </c>
    </row>
    <row r="95" spans="2:82" s="3" customFormat="1" x14ac:dyDescent="0.2">
      <c r="D95" s="3" t="s">
        <v>47</v>
      </c>
      <c r="F95" s="3" t="s">
        <v>8</v>
      </c>
      <c r="G95" s="3">
        <f>O334</f>
        <v>0</v>
      </c>
      <c r="H95" s="3">
        <f>P334</f>
        <v>0</v>
      </c>
      <c r="I95" s="3">
        <f>Q334</f>
        <v>0</v>
      </c>
      <c r="J95" s="3">
        <f>R334</f>
        <v>0</v>
      </c>
      <c r="K95" s="3">
        <f>S334</f>
        <v>0</v>
      </c>
      <c r="L95" s="3">
        <f>T334</f>
        <v>0</v>
      </c>
      <c r="M95" s="3">
        <f>U334</f>
        <v>0</v>
      </c>
      <c r="N95" s="3">
        <f>V334</f>
        <v>0</v>
      </c>
      <c r="O95" s="3">
        <f>W334</f>
        <v>0</v>
      </c>
      <c r="P95" s="3">
        <f>X334</f>
        <v>0</v>
      </c>
      <c r="Q95" s="3">
        <f>Y334</f>
        <v>0</v>
      </c>
      <c r="R95" s="3">
        <f>Z334</f>
        <v>0</v>
      </c>
      <c r="S95" s="3">
        <f>AA334</f>
        <v>0</v>
      </c>
      <c r="T95" s="3">
        <f>AB334</f>
        <v>0</v>
      </c>
      <c r="U95" s="3">
        <f>AC334</f>
        <v>0</v>
      </c>
      <c r="V95" s="3">
        <f>AD334</f>
        <v>0</v>
      </c>
      <c r="W95" s="3">
        <f>AE334</f>
        <v>0</v>
      </c>
      <c r="X95" s="3">
        <f>AF334</f>
        <v>0</v>
      </c>
      <c r="Y95" s="3">
        <f>AG334</f>
        <v>0</v>
      </c>
      <c r="Z95" s="3">
        <f>AH334</f>
        <v>0</v>
      </c>
      <c r="AA95" s="3">
        <f>AI334</f>
        <v>0</v>
      </c>
      <c r="AB95" s="3">
        <f>AJ334</f>
        <v>0</v>
      </c>
      <c r="AC95" s="3">
        <f>AK334</f>
        <v>0</v>
      </c>
      <c r="AD95" s="3">
        <f>AL334</f>
        <v>0</v>
      </c>
      <c r="AE95" s="3">
        <f>AM334</f>
        <v>0</v>
      </c>
      <c r="AF95" s="3">
        <f>AN334</f>
        <v>0</v>
      </c>
      <c r="AG95" s="3">
        <f>AO334</f>
        <v>5.2120640466546599E-17</v>
      </c>
      <c r="AH95" s="3">
        <f>AP334</f>
        <v>0</v>
      </c>
      <c r="AI95" s="3">
        <f>AQ334</f>
        <v>5.87780667956883E-17</v>
      </c>
      <c r="AJ95" s="3">
        <f>AR334</f>
        <v>0</v>
      </c>
      <c r="AK95" s="3">
        <f>AS334</f>
        <v>0</v>
      </c>
      <c r="AL95" s="3">
        <f>AT334</f>
        <v>0</v>
      </c>
      <c r="AM95" s="3">
        <f>AU334</f>
        <v>0</v>
      </c>
      <c r="AN95" s="3">
        <f>AV334</f>
        <v>0</v>
      </c>
      <c r="AO95" s="3">
        <f>AW334</f>
        <v>0</v>
      </c>
      <c r="AP95" s="3">
        <f>AX334</f>
        <v>0</v>
      </c>
      <c r="AQ95" s="3">
        <f>AY334</f>
        <v>9.3881137723146896E-3</v>
      </c>
      <c r="AR95" s="3">
        <f>AZ334</f>
        <v>1.76928827327738E-2</v>
      </c>
      <c r="AS95" s="3">
        <f>BA334</f>
        <v>2.6310619735519899E-2</v>
      </c>
      <c r="AT95" s="3">
        <f>BB334</f>
        <v>3.5484078842755E-2</v>
      </c>
      <c r="AU95" s="3">
        <f>BC334</f>
        <v>4.5242626174857997E-2</v>
      </c>
      <c r="AV95" s="3">
        <f>BD334</f>
        <v>5.5479117660485112E-2</v>
      </c>
      <c r="AW95" s="3">
        <f>BE334</f>
        <v>6.5989317496815608E-2</v>
      </c>
      <c r="AX95" s="3">
        <f>BF334</f>
        <v>7.65367673638183E-2</v>
      </c>
      <c r="AY95" s="3">
        <f>BG334</f>
        <v>8.69228499976753E-2</v>
      </c>
      <c r="AZ95" s="3">
        <f>BH334</f>
        <v>9.6981554484513302E-2</v>
      </c>
      <c r="BA95" s="3">
        <f>BI334</f>
        <v>0.1066489349409</v>
      </c>
      <c r="BB95" s="3">
        <f>BJ334</f>
        <v>0.1159306314546</v>
      </c>
      <c r="BC95" s="3">
        <f>BK334</f>
        <v>0.1248499894812</v>
      </c>
      <c r="BD95" s="3">
        <f>BL334</f>
        <v>0.13345083368310001</v>
      </c>
      <c r="BE95" s="3">
        <f>BM334</f>
        <v>0.14176331627710001</v>
      </c>
      <c r="BF95" s="3">
        <f>BN334</f>
        <v>0.14257301454919999</v>
      </c>
      <c r="BG95" s="3">
        <f>BO334</f>
        <v>0.1433794516238</v>
      </c>
      <c r="BH95" s="3">
        <f>BP334</f>
        <v>0.14417859562650001</v>
      </c>
      <c r="BI95" s="3">
        <f>BQ334</f>
        <v>0.1449664432385</v>
      </c>
      <c r="BJ95" s="3">
        <f>BR334</f>
        <v>0.1457388540705</v>
      </c>
      <c r="BK95" s="3">
        <f>BS334</f>
        <v>0.1464916046536</v>
      </c>
      <c r="BL95" s="3">
        <f>BT334</f>
        <v>0.1472205129876</v>
      </c>
      <c r="BM95" s="3">
        <f>BU334</f>
        <v>0.14792145128750001</v>
      </c>
      <c r="BN95" s="3">
        <f>BV334</f>
        <v>0.1485904632542</v>
      </c>
      <c r="BO95" s="3">
        <f>BW334</f>
        <v>0.1492236322114</v>
      </c>
      <c r="BP95" s="3">
        <f>BX334</f>
        <v>0.1498170409813</v>
      </c>
      <c r="BQ95" s="3">
        <f>BY334</f>
        <v>0.1504268070193</v>
      </c>
      <c r="BR95" s="3">
        <f>BZ334</f>
        <v>0.1510532162188</v>
      </c>
      <c r="BS95" s="3">
        <f>CA334</f>
        <v>0.1516966240231</v>
      </c>
      <c r="BT95" s="3">
        <f t="shared" si="58"/>
        <v>0.1523573999134</v>
      </c>
      <c r="BU95" s="3">
        <f t="shared" si="58"/>
        <v>0.1530356785941</v>
      </c>
      <c r="BV95" s="3">
        <f t="shared" si="58"/>
        <v>0.1537317160611</v>
      </c>
      <c r="BW95" s="3">
        <f t="shared" si="58"/>
        <v>0.15444598118630001</v>
      </c>
      <c r="BX95" s="3">
        <f t="shared" si="58"/>
        <v>0.1551787301276</v>
      </c>
      <c r="BY95" s="3">
        <f t="shared" si="58"/>
        <v>0.15593032024430001</v>
      </c>
      <c r="BZ95" s="3">
        <f t="shared" si="58"/>
        <v>0.15670106918179999</v>
      </c>
      <c r="CA95" s="3">
        <f t="shared" si="58"/>
        <v>0.15749126798740001</v>
      </c>
      <c r="CB95" s="3">
        <f t="shared" si="58"/>
        <v>0.15830133576720001</v>
      </c>
      <c r="CC95" s="3">
        <f t="shared" si="58"/>
        <v>0.15913172738869999</v>
      </c>
      <c r="CD95" s="3">
        <f t="shared" si="58"/>
        <v>0.15998275076970001</v>
      </c>
    </row>
    <row r="96" spans="2:82" s="7" customFormat="1" x14ac:dyDescent="0.2">
      <c r="B96" s="7" t="s">
        <v>182</v>
      </c>
      <c r="G96" s="7">
        <f>SUM(G97:G99)</f>
        <v>0</v>
      </c>
      <c r="H96" s="7">
        <f t="shared" ref="H96:BS96" si="59">SUM(H97:H99)</f>
        <v>0</v>
      </c>
      <c r="I96" s="7">
        <f t="shared" si="59"/>
        <v>0</v>
      </c>
      <c r="J96" s="7">
        <f t="shared" si="59"/>
        <v>0</v>
      </c>
      <c r="K96" s="7">
        <f t="shared" si="59"/>
        <v>0</v>
      </c>
      <c r="L96" s="7">
        <f t="shared" si="59"/>
        <v>0</v>
      </c>
      <c r="M96" s="7">
        <f t="shared" si="59"/>
        <v>0</v>
      </c>
      <c r="N96" s="7">
        <f t="shared" si="59"/>
        <v>0</v>
      </c>
      <c r="O96" s="7">
        <f t="shared" si="59"/>
        <v>0</v>
      </c>
      <c r="P96" s="7">
        <f t="shared" si="59"/>
        <v>0</v>
      </c>
      <c r="Q96" s="7">
        <f t="shared" si="59"/>
        <v>0</v>
      </c>
      <c r="R96" s="7">
        <f t="shared" si="59"/>
        <v>0</v>
      </c>
      <c r="S96" s="7">
        <f t="shared" si="59"/>
        <v>0</v>
      </c>
      <c r="T96" s="7">
        <f t="shared" si="59"/>
        <v>0</v>
      </c>
      <c r="U96" s="7">
        <f t="shared" si="59"/>
        <v>0</v>
      </c>
      <c r="V96" s="7">
        <f t="shared" si="59"/>
        <v>0</v>
      </c>
      <c r="W96" s="7">
        <f t="shared" si="59"/>
        <v>0</v>
      </c>
      <c r="X96" s="7">
        <f t="shared" si="59"/>
        <v>0</v>
      </c>
      <c r="Y96" s="7">
        <f t="shared" si="59"/>
        <v>0</v>
      </c>
      <c r="Z96" s="7">
        <f t="shared" si="59"/>
        <v>0</v>
      </c>
      <c r="AA96" s="7">
        <f t="shared" si="59"/>
        <v>0</v>
      </c>
      <c r="AB96" s="7">
        <f t="shared" si="59"/>
        <v>0</v>
      </c>
      <c r="AC96" s="7">
        <f t="shared" si="59"/>
        <v>0</v>
      </c>
      <c r="AD96" s="7">
        <f t="shared" si="59"/>
        <v>0</v>
      </c>
      <c r="AE96" s="7">
        <f t="shared" si="59"/>
        <v>0</v>
      </c>
      <c r="AF96" s="7">
        <f t="shared" si="59"/>
        <v>0</v>
      </c>
      <c r="AG96" s="7">
        <f t="shared" si="59"/>
        <v>0</v>
      </c>
      <c r="AH96" s="7">
        <f t="shared" si="59"/>
        <v>0</v>
      </c>
      <c r="AI96" s="7">
        <f t="shared" si="59"/>
        <v>0</v>
      </c>
      <c r="AJ96" s="7">
        <f t="shared" si="59"/>
        <v>0</v>
      </c>
      <c r="AK96" s="7">
        <f t="shared" si="59"/>
        <v>0</v>
      </c>
      <c r="AL96" s="7">
        <f t="shared" si="59"/>
        <v>0</v>
      </c>
      <c r="AM96" s="7">
        <f t="shared" si="59"/>
        <v>0</v>
      </c>
      <c r="AN96" s="7">
        <f t="shared" si="59"/>
        <v>0</v>
      </c>
      <c r="AO96" s="7">
        <f t="shared" si="59"/>
        <v>0</v>
      </c>
      <c r="AP96" s="7">
        <f t="shared" si="59"/>
        <v>0</v>
      </c>
      <c r="AQ96" s="7">
        <f t="shared" si="59"/>
        <v>0</v>
      </c>
      <c r="AR96" s="7">
        <f t="shared" si="59"/>
        <v>0</v>
      </c>
      <c r="AS96" s="7">
        <f t="shared" si="59"/>
        <v>0</v>
      </c>
      <c r="AT96" s="7">
        <f t="shared" si="59"/>
        <v>0</v>
      </c>
      <c r="AU96" s="7">
        <f t="shared" si="59"/>
        <v>0</v>
      </c>
      <c r="AV96" s="7">
        <f t="shared" si="59"/>
        <v>0</v>
      </c>
      <c r="AW96" s="7">
        <f t="shared" si="59"/>
        <v>0</v>
      </c>
      <c r="AX96" s="7">
        <f t="shared" si="59"/>
        <v>0</v>
      </c>
      <c r="AY96" s="7">
        <f t="shared" si="59"/>
        <v>0</v>
      </c>
      <c r="AZ96" s="7">
        <f t="shared" si="59"/>
        <v>0</v>
      </c>
      <c r="BA96" s="7">
        <f t="shared" si="59"/>
        <v>0</v>
      </c>
      <c r="BB96" s="7">
        <f t="shared" si="59"/>
        <v>0</v>
      </c>
      <c r="BC96" s="7">
        <f t="shared" si="59"/>
        <v>0</v>
      </c>
      <c r="BD96" s="7">
        <f t="shared" si="59"/>
        <v>0</v>
      </c>
      <c r="BE96" s="7">
        <f t="shared" si="59"/>
        <v>0</v>
      </c>
      <c r="BF96" s="7">
        <f t="shared" si="59"/>
        <v>0</v>
      </c>
      <c r="BG96" s="7">
        <f t="shared" si="59"/>
        <v>0</v>
      </c>
      <c r="BH96" s="7">
        <f t="shared" si="59"/>
        <v>0</v>
      </c>
      <c r="BI96" s="7">
        <f t="shared" si="59"/>
        <v>0</v>
      </c>
      <c r="BJ96" s="7">
        <f t="shared" si="59"/>
        <v>0</v>
      </c>
      <c r="BK96" s="7">
        <f t="shared" si="59"/>
        <v>0</v>
      </c>
      <c r="BL96" s="7">
        <f t="shared" si="59"/>
        <v>0</v>
      </c>
      <c r="BM96" s="7">
        <f t="shared" si="59"/>
        <v>0</v>
      </c>
      <c r="BN96" s="7">
        <f t="shared" si="59"/>
        <v>0</v>
      </c>
      <c r="BO96" s="7">
        <f t="shared" si="59"/>
        <v>0</v>
      </c>
      <c r="BP96" s="7">
        <f t="shared" si="59"/>
        <v>0</v>
      </c>
      <c r="BQ96" s="7">
        <f t="shared" si="59"/>
        <v>0</v>
      </c>
      <c r="BR96" s="7">
        <f t="shared" si="59"/>
        <v>0</v>
      </c>
      <c r="BS96" s="7">
        <f t="shared" si="59"/>
        <v>0</v>
      </c>
      <c r="BT96" s="7">
        <f t="shared" ref="BT96:CD96" si="60">SUM(BT97:BT99)</f>
        <v>0</v>
      </c>
      <c r="BU96" s="7">
        <f t="shared" si="60"/>
        <v>0</v>
      </c>
      <c r="BV96" s="7">
        <f t="shared" si="60"/>
        <v>0</v>
      </c>
      <c r="BW96" s="7">
        <f t="shared" si="60"/>
        <v>0</v>
      </c>
      <c r="BX96" s="7">
        <f t="shared" si="60"/>
        <v>0</v>
      </c>
      <c r="BY96" s="7">
        <f t="shared" si="60"/>
        <v>0</v>
      </c>
      <c r="BZ96" s="7">
        <f t="shared" si="60"/>
        <v>0</v>
      </c>
      <c r="CA96" s="7">
        <f t="shared" si="60"/>
        <v>0</v>
      </c>
      <c r="CB96" s="7">
        <f t="shared" si="60"/>
        <v>0</v>
      </c>
      <c r="CC96" s="7">
        <f t="shared" si="60"/>
        <v>0</v>
      </c>
      <c r="CD96" s="7">
        <f t="shared" si="60"/>
        <v>0</v>
      </c>
    </row>
    <row r="97" spans="1:82" s="3" customFormat="1" x14ac:dyDescent="0.2">
      <c r="C97" s="3" t="s">
        <v>183</v>
      </c>
      <c r="F97" s="3" t="s">
        <v>6</v>
      </c>
      <c r="AF97" s="3">
        <f t="shared" ref="AF97:BR97" si="61">AN335</f>
        <v>0</v>
      </c>
      <c r="AG97" s="3">
        <f t="shared" si="61"/>
        <v>0</v>
      </c>
      <c r="AH97" s="3">
        <f t="shared" si="61"/>
        <v>0</v>
      </c>
      <c r="AI97" s="3">
        <f t="shared" si="61"/>
        <v>0</v>
      </c>
      <c r="AJ97" s="3">
        <f t="shared" si="61"/>
        <v>0</v>
      </c>
      <c r="AK97" s="3">
        <f t="shared" si="61"/>
        <v>0</v>
      </c>
      <c r="AL97" s="3">
        <f t="shared" si="61"/>
        <v>0</v>
      </c>
      <c r="AM97" s="3">
        <f t="shared" si="61"/>
        <v>0</v>
      </c>
      <c r="AN97" s="3">
        <f t="shared" si="61"/>
        <v>0</v>
      </c>
      <c r="AO97" s="3">
        <f t="shared" si="61"/>
        <v>0</v>
      </c>
      <c r="AP97" s="3">
        <f t="shared" si="61"/>
        <v>0</v>
      </c>
      <c r="AQ97" s="3">
        <f t="shared" si="61"/>
        <v>0</v>
      </c>
      <c r="AR97" s="3">
        <f t="shared" si="61"/>
        <v>0</v>
      </c>
      <c r="AS97" s="3">
        <f t="shared" si="61"/>
        <v>0</v>
      </c>
      <c r="AT97" s="3">
        <f t="shared" si="61"/>
        <v>0</v>
      </c>
      <c r="AU97" s="3">
        <f t="shared" si="61"/>
        <v>0</v>
      </c>
      <c r="AV97" s="3">
        <f t="shared" si="61"/>
        <v>0</v>
      </c>
      <c r="AW97" s="3">
        <f t="shared" si="61"/>
        <v>0</v>
      </c>
      <c r="AX97" s="3">
        <f t="shared" si="61"/>
        <v>0</v>
      </c>
      <c r="AY97" s="3">
        <f t="shared" si="61"/>
        <v>0</v>
      </c>
      <c r="AZ97" s="3">
        <f t="shared" si="61"/>
        <v>0</v>
      </c>
      <c r="BA97" s="3">
        <f t="shared" si="61"/>
        <v>0</v>
      </c>
      <c r="BB97" s="3">
        <f t="shared" si="61"/>
        <v>0</v>
      </c>
      <c r="BC97" s="3">
        <f t="shared" si="61"/>
        <v>0</v>
      </c>
      <c r="BD97" s="3">
        <f t="shared" si="61"/>
        <v>0</v>
      </c>
      <c r="BE97" s="3">
        <f t="shared" si="61"/>
        <v>0</v>
      </c>
      <c r="BF97" s="3">
        <f t="shared" si="61"/>
        <v>0</v>
      </c>
      <c r="BG97" s="3">
        <f t="shared" si="61"/>
        <v>0</v>
      </c>
      <c r="BH97" s="3">
        <f t="shared" si="61"/>
        <v>0</v>
      </c>
      <c r="BI97" s="3">
        <f t="shared" si="61"/>
        <v>0</v>
      </c>
      <c r="BJ97" s="3">
        <f t="shared" si="61"/>
        <v>0</v>
      </c>
      <c r="BK97" s="3">
        <f t="shared" si="61"/>
        <v>0</v>
      </c>
      <c r="BL97" s="3">
        <f t="shared" si="61"/>
        <v>0</v>
      </c>
      <c r="BM97" s="3">
        <f t="shared" si="61"/>
        <v>0</v>
      </c>
      <c r="BN97" s="3">
        <f t="shared" si="61"/>
        <v>0</v>
      </c>
      <c r="BO97" s="3">
        <f t="shared" si="61"/>
        <v>0</v>
      </c>
      <c r="BP97" s="3">
        <f t="shared" si="61"/>
        <v>0</v>
      </c>
      <c r="BQ97" s="3">
        <f t="shared" si="61"/>
        <v>0</v>
      </c>
      <c r="BR97" s="3">
        <f t="shared" si="61"/>
        <v>0</v>
      </c>
      <c r="BS97" s="3">
        <f>CA335</f>
        <v>0</v>
      </c>
      <c r="BT97" s="3">
        <f>CB335</f>
        <v>0</v>
      </c>
      <c r="BU97" s="3">
        <f>CC335</f>
        <v>0</v>
      </c>
      <c r="BV97" s="3">
        <f>CD335</f>
        <v>0</v>
      </c>
      <c r="BW97" s="3">
        <f>CE335</f>
        <v>0</v>
      </c>
      <c r="BX97" s="3">
        <f>CF335</f>
        <v>0</v>
      </c>
      <c r="BY97" s="3">
        <f>CG335</f>
        <v>0</v>
      </c>
      <c r="BZ97" s="3">
        <f>CH335</f>
        <v>0</v>
      </c>
      <c r="CA97" s="3">
        <f>CI335</f>
        <v>0</v>
      </c>
      <c r="CB97" s="3">
        <f>CJ335</f>
        <v>0</v>
      </c>
      <c r="CC97" s="3">
        <f>CK335</f>
        <v>0</v>
      </c>
      <c r="CD97" s="3">
        <f>CL335</f>
        <v>0</v>
      </c>
    </row>
    <row r="98" spans="1:82" s="3" customFormat="1" x14ac:dyDescent="0.2">
      <c r="C98" s="3" t="s">
        <v>183</v>
      </c>
      <c r="F98" s="3" t="s">
        <v>7</v>
      </c>
      <c r="AF98" s="3">
        <f>AN336</f>
        <v>0</v>
      </c>
      <c r="AG98" s="3">
        <f>AO336</f>
        <v>0</v>
      </c>
      <c r="AH98" s="3">
        <f>AP336</f>
        <v>0</v>
      </c>
      <c r="AI98" s="3">
        <f>AQ336</f>
        <v>0</v>
      </c>
      <c r="AJ98" s="3">
        <f>AR336</f>
        <v>0</v>
      </c>
      <c r="AK98" s="3">
        <f>AS336</f>
        <v>0</v>
      </c>
      <c r="AL98" s="3">
        <f>AT336</f>
        <v>0</v>
      </c>
      <c r="AM98" s="3">
        <f>AU336</f>
        <v>0</v>
      </c>
      <c r="AN98" s="3">
        <f>AV336</f>
        <v>0</v>
      </c>
      <c r="AO98" s="3">
        <f>AW336</f>
        <v>0</v>
      </c>
      <c r="AP98" s="3">
        <f>AX336</f>
        <v>0</v>
      </c>
      <c r="AQ98" s="3">
        <f>AY336</f>
        <v>0</v>
      </c>
      <c r="AR98" s="3">
        <f>AZ336</f>
        <v>0</v>
      </c>
      <c r="AS98" s="3">
        <f>BA336</f>
        <v>0</v>
      </c>
      <c r="AT98" s="3">
        <f>BB336</f>
        <v>0</v>
      </c>
      <c r="AU98" s="3">
        <f>BC336</f>
        <v>0</v>
      </c>
      <c r="AV98" s="3">
        <f>BD336</f>
        <v>0</v>
      </c>
      <c r="AW98" s="3">
        <f>BE336</f>
        <v>0</v>
      </c>
      <c r="AX98" s="3">
        <f>BF336</f>
        <v>0</v>
      </c>
      <c r="AY98" s="3">
        <f>BG336</f>
        <v>0</v>
      </c>
      <c r="AZ98" s="3">
        <f>BH336</f>
        <v>0</v>
      </c>
      <c r="BA98" s="3">
        <f>BI336</f>
        <v>0</v>
      </c>
      <c r="BB98" s="3">
        <f>BJ336</f>
        <v>0</v>
      </c>
      <c r="BC98" s="3">
        <f>BK336</f>
        <v>0</v>
      </c>
      <c r="BD98" s="3">
        <f>BL336</f>
        <v>0</v>
      </c>
      <c r="BE98" s="3">
        <f>BM336</f>
        <v>0</v>
      </c>
      <c r="BF98" s="3">
        <f>BN336</f>
        <v>0</v>
      </c>
      <c r="BG98" s="3">
        <f>BO336</f>
        <v>0</v>
      </c>
      <c r="BH98" s="3">
        <f>BP336</f>
        <v>0</v>
      </c>
      <c r="BI98" s="3">
        <f>BQ336</f>
        <v>0</v>
      </c>
      <c r="BJ98" s="3">
        <f>BR336</f>
        <v>0</v>
      </c>
      <c r="BK98" s="3">
        <f>BS336</f>
        <v>0</v>
      </c>
      <c r="BL98" s="3">
        <f>BT336</f>
        <v>0</v>
      </c>
      <c r="BM98" s="3">
        <f>BU336</f>
        <v>0</v>
      </c>
      <c r="BN98" s="3">
        <f>BV336</f>
        <v>0</v>
      </c>
      <c r="BO98" s="3">
        <f>BW336</f>
        <v>0</v>
      </c>
      <c r="BP98" s="3">
        <f>BX336</f>
        <v>0</v>
      </c>
      <c r="BQ98" s="3">
        <f>BY336</f>
        <v>0</v>
      </c>
      <c r="BR98" s="3">
        <f>BZ336</f>
        <v>0</v>
      </c>
      <c r="BS98" s="3">
        <f>CA336</f>
        <v>0</v>
      </c>
      <c r="BT98" s="3">
        <f>CB336</f>
        <v>0</v>
      </c>
      <c r="BU98" s="3">
        <f>CC336</f>
        <v>0</v>
      </c>
      <c r="BV98" s="3">
        <f>CD336</f>
        <v>0</v>
      </c>
      <c r="BW98" s="3">
        <f>CE336</f>
        <v>0</v>
      </c>
      <c r="BX98" s="3">
        <f>CF336</f>
        <v>0</v>
      </c>
      <c r="BY98" s="3">
        <f>CG336</f>
        <v>0</v>
      </c>
      <c r="BZ98" s="3">
        <f>CH336</f>
        <v>0</v>
      </c>
      <c r="CA98" s="3">
        <f>CI336</f>
        <v>0</v>
      </c>
      <c r="CB98" s="3">
        <f>CJ336</f>
        <v>0</v>
      </c>
      <c r="CC98" s="3">
        <f>CK336</f>
        <v>0</v>
      </c>
      <c r="CD98" s="3">
        <f>CL336</f>
        <v>0</v>
      </c>
    </row>
    <row r="99" spans="1:82" s="3" customFormat="1" x14ac:dyDescent="0.2">
      <c r="C99" s="3" t="s">
        <v>183</v>
      </c>
      <c r="F99" s="3" t="s">
        <v>8</v>
      </c>
      <c r="AF99" s="3">
        <f>AN337</f>
        <v>0</v>
      </c>
      <c r="AG99" s="3">
        <f>AO337</f>
        <v>0</v>
      </c>
      <c r="AH99" s="3">
        <f>AP337</f>
        <v>0</v>
      </c>
      <c r="AI99" s="3">
        <f>AQ337</f>
        <v>0</v>
      </c>
      <c r="AJ99" s="3">
        <f>AR337</f>
        <v>0</v>
      </c>
      <c r="AK99" s="3">
        <f>AS337</f>
        <v>0</v>
      </c>
      <c r="AL99" s="3">
        <f>AT337</f>
        <v>0</v>
      </c>
      <c r="AM99" s="3">
        <f>AU337</f>
        <v>0</v>
      </c>
      <c r="AN99" s="3">
        <f>AV337</f>
        <v>0</v>
      </c>
      <c r="AO99" s="3">
        <f>AW337</f>
        <v>0</v>
      </c>
      <c r="AP99" s="3">
        <f>AX337</f>
        <v>0</v>
      </c>
      <c r="AQ99" s="3">
        <f>AY337</f>
        <v>0</v>
      </c>
      <c r="AR99" s="3">
        <f>AZ337</f>
        <v>0</v>
      </c>
      <c r="AS99" s="3">
        <f>BA337</f>
        <v>0</v>
      </c>
      <c r="AT99" s="3">
        <f>BB337</f>
        <v>0</v>
      </c>
      <c r="AU99" s="3">
        <f>BC337</f>
        <v>0</v>
      </c>
      <c r="AV99" s="3">
        <f>BD337</f>
        <v>0</v>
      </c>
      <c r="AW99" s="3">
        <f>BE337</f>
        <v>0</v>
      </c>
      <c r="AX99" s="3">
        <f>BF337</f>
        <v>0</v>
      </c>
      <c r="AY99" s="3">
        <f>BG337</f>
        <v>0</v>
      </c>
      <c r="AZ99" s="3">
        <f>BH337</f>
        <v>0</v>
      </c>
      <c r="BA99" s="3">
        <f>BI337</f>
        <v>0</v>
      </c>
      <c r="BB99" s="3">
        <f>BJ337</f>
        <v>0</v>
      </c>
      <c r="BC99" s="3">
        <f>BK337</f>
        <v>0</v>
      </c>
      <c r="BD99" s="3">
        <f>BL337</f>
        <v>0</v>
      </c>
      <c r="BE99" s="3">
        <f>BM337</f>
        <v>0</v>
      </c>
      <c r="BF99" s="3">
        <f>BN337</f>
        <v>0</v>
      </c>
      <c r="BG99" s="3">
        <f>BO337</f>
        <v>0</v>
      </c>
      <c r="BH99" s="3">
        <f>BP337</f>
        <v>0</v>
      </c>
      <c r="BI99" s="3">
        <f>BQ337</f>
        <v>0</v>
      </c>
      <c r="BJ99" s="3">
        <f>BR337</f>
        <v>0</v>
      </c>
      <c r="BK99" s="3">
        <f>BS337</f>
        <v>0</v>
      </c>
      <c r="BL99" s="3">
        <f>BT337</f>
        <v>0</v>
      </c>
      <c r="BM99" s="3">
        <f>BU337</f>
        <v>0</v>
      </c>
      <c r="BN99" s="3">
        <f>BV337</f>
        <v>0</v>
      </c>
      <c r="BO99" s="3">
        <f>BW337</f>
        <v>0</v>
      </c>
      <c r="BP99" s="3">
        <f>BX337</f>
        <v>0</v>
      </c>
      <c r="BQ99" s="3">
        <f>BY337</f>
        <v>0</v>
      </c>
      <c r="BR99" s="3">
        <f>BZ337</f>
        <v>0</v>
      </c>
      <c r="BS99" s="3">
        <f>CA337</f>
        <v>0</v>
      </c>
      <c r="BT99" s="3">
        <f>CB337</f>
        <v>0</v>
      </c>
      <c r="BU99" s="3">
        <f>CC337</f>
        <v>0</v>
      </c>
      <c r="BV99" s="3">
        <f>CD337</f>
        <v>0</v>
      </c>
      <c r="BW99" s="3">
        <f>CE337</f>
        <v>0</v>
      </c>
      <c r="BX99" s="3">
        <f>CF337</f>
        <v>0</v>
      </c>
      <c r="BY99" s="3">
        <f>CG337</f>
        <v>0</v>
      </c>
      <c r="BZ99" s="3">
        <f>CH337</f>
        <v>0</v>
      </c>
      <c r="CA99" s="3">
        <f>CI337</f>
        <v>0</v>
      </c>
      <c r="CB99" s="3">
        <f>CJ337</f>
        <v>0</v>
      </c>
      <c r="CC99" s="3">
        <f>CK337</f>
        <v>0</v>
      </c>
      <c r="CD99" s="3">
        <f>CL337</f>
        <v>0</v>
      </c>
    </row>
    <row r="100" spans="1:82" s="2" customFormat="1" ht="22" x14ac:dyDescent="0.3">
      <c r="A100" s="2" t="s">
        <v>49</v>
      </c>
      <c r="G100" s="2">
        <f>SUM(G101,G105,G113,G118,G122,G127,G131,G135)</f>
        <v>135.78800000000001</v>
      </c>
      <c r="H100" s="2">
        <f t="shared" ref="H100:BS100" si="62">SUM(H101,H105,H113,H118,H122,H127,H131,H135)</f>
        <v>139.273</v>
      </c>
      <c r="I100" s="2">
        <f t="shared" si="62"/>
        <v>146.38800000000001</v>
      </c>
      <c r="J100" s="2">
        <f t="shared" si="62"/>
        <v>151.5</v>
      </c>
      <c r="K100" s="2">
        <f t="shared" si="62"/>
        <v>164.88400000000001</v>
      </c>
      <c r="L100" s="2">
        <f t="shared" si="62"/>
        <v>175.91</v>
      </c>
      <c r="M100" s="2">
        <f t="shared" si="62"/>
        <v>149.48999999999998</v>
      </c>
      <c r="N100" s="2">
        <f t="shared" si="62"/>
        <v>217.804</v>
      </c>
      <c r="O100" s="2">
        <f t="shared" si="62"/>
        <v>192.65700000000001</v>
      </c>
      <c r="P100" s="2">
        <f t="shared" si="62"/>
        <v>239.92600000000002</v>
      </c>
      <c r="Q100" s="2">
        <f t="shared" si="62"/>
        <v>242.983</v>
      </c>
      <c r="R100" s="2">
        <f t="shared" si="62"/>
        <v>249.84099999999998</v>
      </c>
      <c r="S100" s="2">
        <f t="shared" si="62"/>
        <v>224.05399999999997</v>
      </c>
      <c r="T100" s="2">
        <f t="shared" si="62"/>
        <v>307.35500000000002</v>
      </c>
      <c r="U100" s="2">
        <f t="shared" si="62"/>
        <v>301.69499999999999</v>
      </c>
      <c r="V100" s="2">
        <f t="shared" si="62"/>
        <v>512.77700000000004</v>
      </c>
      <c r="W100" s="2">
        <f t="shared" si="62"/>
        <v>473.44099999999997</v>
      </c>
      <c r="X100" s="2">
        <f t="shared" si="62"/>
        <v>385.01800000000003</v>
      </c>
      <c r="Y100" s="2">
        <f t="shared" si="62"/>
        <v>435.41899999999998</v>
      </c>
      <c r="Z100" s="2">
        <f t="shared" si="62"/>
        <v>488.55600000000004</v>
      </c>
      <c r="AA100" s="2">
        <f t="shared" si="62"/>
        <v>435.63400000000001</v>
      </c>
      <c r="AB100" s="2">
        <f t="shared" si="62"/>
        <v>455.36900000000003</v>
      </c>
      <c r="AC100" s="2">
        <f t="shared" si="62"/>
        <v>442.81699999999995</v>
      </c>
      <c r="AD100" s="2">
        <f t="shared" si="62"/>
        <v>461.36</v>
      </c>
      <c r="AE100" s="2">
        <f t="shared" si="62"/>
        <v>465.88099999999997</v>
      </c>
      <c r="AF100" s="2">
        <f t="shared" si="62"/>
        <v>543.9451353269809</v>
      </c>
      <c r="AG100" s="2">
        <f t="shared" si="62"/>
        <v>614.59464260406924</v>
      </c>
      <c r="AH100" s="2">
        <f t="shared" si="62"/>
        <v>627.72259684847495</v>
      </c>
      <c r="AI100" s="2">
        <f t="shared" si="62"/>
        <v>637.01314563078381</v>
      </c>
      <c r="AJ100" s="2">
        <f t="shared" si="62"/>
        <v>646.51501717172562</v>
      </c>
      <c r="AK100" s="2">
        <f t="shared" si="62"/>
        <v>656.22182328628821</v>
      </c>
      <c r="AL100" s="2">
        <f t="shared" si="62"/>
        <v>666.17220560827809</v>
      </c>
      <c r="AM100" s="2">
        <f t="shared" si="62"/>
        <v>684.30300613265865</v>
      </c>
      <c r="AN100" s="2">
        <f t="shared" si="62"/>
        <v>703.08288035263331</v>
      </c>
      <c r="AO100" s="2">
        <f t="shared" si="62"/>
        <v>720.00954752948815</v>
      </c>
      <c r="AP100" s="2">
        <f t="shared" si="62"/>
        <v>738.54543899492762</v>
      </c>
      <c r="AQ100" s="2">
        <f t="shared" si="62"/>
        <v>756.67903762053993</v>
      </c>
      <c r="AR100" s="2">
        <f t="shared" si="62"/>
        <v>773.99476776779738</v>
      </c>
      <c r="AS100" s="2">
        <f t="shared" si="62"/>
        <v>790.70751453538605</v>
      </c>
      <c r="AT100" s="2">
        <f t="shared" si="62"/>
        <v>807.03751417323497</v>
      </c>
      <c r="AU100" s="2">
        <f t="shared" si="62"/>
        <v>823.18772782098483</v>
      </c>
      <c r="AV100" s="2">
        <f t="shared" si="62"/>
        <v>839.33035925715592</v>
      </c>
      <c r="AW100" s="2">
        <f t="shared" si="62"/>
        <v>855.60251295311502</v>
      </c>
      <c r="AX100" s="2">
        <f t="shared" si="62"/>
        <v>872.10727717793418</v>
      </c>
      <c r="AY100" s="2">
        <f t="shared" si="62"/>
        <v>888.91820025079005</v>
      </c>
      <c r="AZ100" s="2">
        <f t="shared" si="62"/>
        <v>905.92019962539291</v>
      </c>
      <c r="BA100" s="2">
        <f t="shared" si="62"/>
        <v>923.10421452704406</v>
      </c>
      <c r="BB100" s="2">
        <f t="shared" si="62"/>
        <v>939.10533956196014</v>
      </c>
      <c r="BC100" s="2">
        <f t="shared" si="62"/>
        <v>953.80208372923209</v>
      </c>
      <c r="BD100" s="2">
        <f t="shared" si="62"/>
        <v>967.81240356562739</v>
      </c>
      <c r="BE100" s="2">
        <f t="shared" si="62"/>
        <v>980.9412762923572</v>
      </c>
      <c r="BF100" s="2">
        <f t="shared" si="62"/>
        <v>992.98567659366768</v>
      </c>
      <c r="BG100" s="2">
        <f t="shared" si="62"/>
        <v>1005.0475179675728</v>
      </c>
      <c r="BH100" s="2">
        <f t="shared" si="62"/>
        <v>1017.0718286858956</v>
      </c>
      <c r="BI100" s="2">
        <f t="shared" si="62"/>
        <v>1029.0034336982831</v>
      </c>
      <c r="BJ100" s="2">
        <f t="shared" si="62"/>
        <v>1040.7823002893892</v>
      </c>
      <c r="BK100" s="2">
        <f t="shared" si="62"/>
        <v>1052.3448610797477</v>
      </c>
      <c r="BL100" s="2">
        <f t="shared" si="62"/>
        <v>1063.6260271891235</v>
      </c>
      <c r="BM100" s="2">
        <f t="shared" si="62"/>
        <v>1074.5593086426682</v>
      </c>
      <c r="BN100" s="2">
        <f t="shared" si="62"/>
        <v>1085.0792628887034</v>
      </c>
      <c r="BO100" s="2">
        <f t="shared" si="62"/>
        <v>1095.1184331969787</v>
      </c>
      <c r="BP100" s="2">
        <f t="shared" si="62"/>
        <v>1104.6062151449803</v>
      </c>
      <c r="BQ100" s="2">
        <f t="shared" si="62"/>
        <v>1114.4614652671567</v>
      </c>
      <c r="BR100" s="2">
        <f t="shared" si="62"/>
        <v>1124.6923407727866</v>
      </c>
      <c r="BS100" s="2">
        <f t="shared" si="62"/>
        <v>1135.3089885604152</v>
      </c>
      <c r="BT100" s="2">
        <f t="shared" ref="BT100:CD100" si="63">SUM(BT101,BT105,BT113,BT118,BT122,BT127,BT131,BT135)</f>
        <v>1146.3222705829498</v>
      </c>
      <c r="BU100" s="2">
        <f t="shared" si="63"/>
        <v>1157.7380607748901</v>
      </c>
      <c r="BV100" s="2">
        <f t="shared" si="63"/>
        <v>1169.5651743825747</v>
      </c>
      <c r="BW100" s="2">
        <f t="shared" si="63"/>
        <v>1181.8176702567264</v>
      </c>
      <c r="BX100" s="2">
        <f t="shared" si="63"/>
        <v>1194.5047963379814</v>
      </c>
      <c r="BY100" s="2">
        <f t="shared" si="63"/>
        <v>1207.6383398677983</v>
      </c>
      <c r="BZ100" s="2">
        <f t="shared" si="63"/>
        <v>1221.2294807915757</v>
      </c>
      <c r="CA100" s="2">
        <f t="shared" si="63"/>
        <v>1235.289053250905</v>
      </c>
      <c r="CB100" s="2">
        <f t="shared" si="63"/>
        <v>1249.8304173330896</v>
      </c>
      <c r="CC100" s="2">
        <f t="shared" si="63"/>
        <v>1264.8667029178257</v>
      </c>
      <c r="CD100" s="2">
        <f t="shared" si="63"/>
        <v>1280.408772377561</v>
      </c>
    </row>
    <row r="101" spans="1:82" s="7" customFormat="1" x14ac:dyDescent="0.2">
      <c r="B101" s="7" t="s">
        <v>50</v>
      </c>
      <c r="G101" s="7">
        <f>SUM(G102:G104)</f>
        <v>122.11199999999999</v>
      </c>
      <c r="H101" s="7">
        <f t="shared" ref="H101:BS101" si="64">SUM(H102:H104)</f>
        <v>122.11199999999999</v>
      </c>
      <c r="I101" s="7">
        <f t="shared" si="64"/>
        <v>126.09</v>
      </c>
      <c r="J101" s="7">
        <f t="shared" si="64"/>
        <v>128.346</v>
      </c>
      <c r="K101" s="7">
        <f t="shared" si="64"/>
        <v>139.114</v>
      </c>
      <c r="L101" s="7">
        <f t="shared" si="64"/>
        <v>147.72499999999999</v>
      </c>
      <c r="M101" s="7">
        <f t="shared" si="64"/>
        <v>119.04599999999999</v>
      </c>
      <c r="N101" s="7">
        <f t="shared" si="64"/>
        <v>185.39699999999999</v>
      </c>
      <c r="O101" s="7">
        <f t="shared" si="64"/>
        <v>158.54</v>
      </c>
      <c r="P101" s="7">
        <f t="shared" si="64"/>
        <v>204.30800000000002</v>
      </c>
      <c r="Q101" s="7">
        <f t="shared" si="64"/>
        <v>206.04300000000001</v>
      </c>
      <c r="R101" s="7">
        <f t="shared" si="64"/>
        <v>211.726</v>
      </c>
      <c r="S101" s="7">
        <f t="shared" si="64"/>
        <v>184.26599999999999</v>
      </c>
      <c r="T101" s="7">
        <f t="shared" si="64"/>
        <v>240.078</v>
      </c>
      <c r="U101" s="7">
        <f t="shared" si="64"/>
        <v>239.096</v>
      </c>
      <c r="V101" s="7">
        <f t="shared" si="64"/>
        <v>278.68800000000005</v>
      </c>
      <c r="W101" s="7">
        <f t="shared" si="64"/>
        <v>413.48599999999999</v>
      </c>
      <c r="X101" s="7">
        <f t="shared" si="64"/>
        <v>323.71600000000001</v>
      </c>
      <c r="Y101" s="7">
        <f t="shared" si="64"/>
        <v>371.40199999999999</v>
      </c>
      <c r="Z101" s="7">
        <f t="shared" si="64"/>
        <v>420.64200000000005</v>
      </c>
      <c r="AA101" s="7">
        <f t="shared" si="64"/>
        <v>362.65800000000002</v>
      </c>
      <c r="AB101" s="7">
        <f t="shared" si="64"/>
        <v>375.44400000000002</v>
      </c>
      <c r="AC101" s="7">
        <f t="shared" si="64"/>
        <v>356.63399999999996</v>
      </c>
      <c r="AD101" s="7">
        <f t="shared" si="64"/>
        <v>369.44200000000001</v>
      </c>
      <c r="AE101" s="7">
        <f t="shared" si="64"/>
        <v>369.44200000000001</v>
      </c>
      <c r="AF101" s="7">
        <f t="shared" si="64"/>
        <v>347.23792351763296</v>
      </c>
      <c r="AG101" s="7">
        <f t="shared" si="64"/>
        <v>419.00752519069721</v>
      </c>
      <c r="AH101" s="7">
        <f t="shared" si="64"/>
        <v>423.87163306904421</v>
      </c>
      <c r="AI101" s="7">
        <f t="shared" si="64"/>
        <v>430.97421414846167</v>
      </c>
      <c r="AJ101" s="7">
        <f t="shared" si="64"/>
        <v>438.19649780454984</v>
      </c>
      <c r="AK101" s="7">
        <f t="shared" si="64"/>
        <v>445.54058107749859</v>
      </c>
      <c r="AL101" s="7">
        <f t="shared" si="64"/>
        <v>453.00849138865829</v>
      </c>
      <c r="AM101" s="7">
        <f t="shared" si="64"/>
        <v>466.6756376076014</v>
      </c>
      <c r="AN101" s="7">
        <f t="shared" si="64"/>
        <v>480.75840977360627</v>
      </c>
      <c r="AO101" s="7">
        <f t="shared" si="64"/>
        <v>491.96728423291938</v>
      </c>
      <c r="AP101" s="7">
        <f t="shared" si="64"/>
        <v>505.10575871733136</v>
      </c>
      <c r="AQ101" s="7">
        <f t="shared" si="64"/>
        <v>517.27772483420893</v>
      </c>
      <c r="AR101" s="7">
        <f t="shared" si="64"/>
        <v>527.62675551348718</v>
      </c>
      <c r="AS101" s="7">
        <f t="shared" si="64"/>
        <v>536.60275718606545</v>
      </c>
      <c r="AT101" s="7">
        <f t="shared" si="64"/>
        <v>544.64960121121248</v>
      </c>
      <c r="AU101" s="7">
        <f t="shared" si="64"/>
        <v>552.18416601028014</v>
      </c>
      <c r="AV101" s="7">
        <f t="shared" si="64"/>
        <v>559.58253728535783</v>
      </c>
      <c r="AW101" s="7">
        <f t="shared" si="64"/>
        <v>567.17184581311608</v>
      </c>
      <c r="AX101" s="7">
        <f t="shared" si="64"/>
        <v>575.22604805902449</v>
      </c>
      <c r="AY101" s="7">
        <f t="shared" si="64"/>
        <v>583.96398630324848</v>
      </c>
      <c r="AZ101" s="7">
        <f t="shared" si="64"/>
        <v>593.54851154886978</v>
      </c>
      <c r="BA101" s="7">
        <f t="shared" si="64"/>
        <v>604.08433515127933</v>
      </c>
      <c r="BB101" s="7">
        <f t="shared" si="64"/>
        <v>613.65769626680219</v>
      </c>
      <c r="BC101" s="7">
        <f t="shared" si="64"/>
        <v>622.25959653651921</v>
      </c>
      <c r="BD101" s="7">
        <f t="shared" si="64"/>
        <v>630.54356827686547</v>
      </c>
      <c r="BE101" s="7">
        <f t="shared" si="64"/>
        <v>638.38883249202138</v>
      </c>
      <c r="BF101" s="7">
        <f t="shared" si="64"/>
        <v>645.66991739196692</v>
      </c>
      <c r="BG101" s="7">
        <f t="shared" si="64"/>
        <v>653.02065590034454</v>
      </c>
      <c r="BH101" s="7">
        <f t="shared" si="64"/>
        <v>660.40571245524984</v>
      </c>
      <c r="BI101" s="7">
        <f t="shared" si="64"/>
        <v>667.78816301370011</v>
      </c>
      <c r="BJ101" s="7">
        <f t="shared" si="64"/>
        <v>675.12941854484882</v>
      </c>
      <c r="BK101" s="7">
        <f t="shared" si="64"/>
        <v>682.38924758725784</v>
      </c>
      <c r="BL101" s="7">
        <f t="shared" si="64"/>
        <v>689.52583013767662</v>
      </c>
      <c r="BM101" s="7">
        <f t="shared" si="64"/>
        <v>696.49581056022726</v>
      </c>
      <c r="BN101" s="7">
        <f t="shared" si="64"/>
        <v>703.25440631205834</v>
      </c>
      <c r="BO101" s="7">
        <f t="shared" si="64"/>
        <v>709.75547115648897</v>
      </c>
      <c r="BP101" s="7">
        <f t="shared" si="64"/>
        <v>715.9516115890151</v>
      </c>
      <c r="BQ101" s="7">
        <f t="shared" si="64"/>
        <v>722.40848906697795</v>
      </c>
      <c r="BR101" s="7">
        <f t="shared" si="64"/>
        <v>729.13209833684482</v>
      </c>
      <c r="BS101" s="7">
        <f t="shared" si="64"/>
        <v>736.12873843665943</v>
      </c>
      <c r="BT101" s="7">
        <f t="shared" ref="BT101:CD101" si="65">SUM(BT102:BT104)</f>
        <v>743.40500554034475</v>
      </c>
      <c r="BU101" s="7">
        <f t="shared" si="65"/>
        <v>750.96772826756364</v>
      </c>
      <c r="BV101" s="7">
        <f t="shared" si="65"/>
        <v>758.8240821621655</v>
      </c>
      <c r="BW101" s="7">
        <f t="shared" si="65"/>
        <v>766.98163097368536</v>
      </c>
      <c r="BX101" s="7">
        <f t="shared" si="65"/>
        <v>775.44820657483319</v>
      </c>
      <c r="BY101" s="7">
        <f t="shared" si="65"/>
        <v>784.23201755555954</v>
      </c>
      <c r="BZ101" s="7">
        <f t="shared" si="65"/>
        <v>793.34162088056792</v>
      </c>
      <c r="CA101" s="7">
        <f t="shared" si="65"/>
        <v>802.78593885794169</v>
      </c>
      <c r="CB101" s="7">
        <f t="shared" si="65"/>
        <v>812.5743109938112</v>
      </c>
      <c r="CC101" s="7">
        <f t="shared" si="65"/>
        <v>822.71647280666821</v>
      </c>
      <c r="CD101" s="7">
        <f t="shared" si="65"/>
        <v>833.22254480716322</v>
      </c>
    </row>
    <row r="102" spans="1:82" s="3" customFormat="1" x14ac:dyDescent="0.2">
      <c r="C102" s="3" t="s">
        <v>51</v>
      </c>
      <c r="F102" s="3" t="s">
        <v>7</v>
      </c>
      <c r="G102" s="3">
        <f>O338</f>
        <v>100.09</v>
      </c>
      <c r="H102" s="3">
        <f t="shared" ref="H102:BS103" si="66">P338</f>
        <v>100.09</v>
      </c>
      <c r="I102" s="3">
        <f t="shared" si="66"/>
        <v>99.442999999999998</v>
      </c>
      <c r="J102" s="3">
        <f t="shared" si="66"/>
        <v>99.034000000000006</v>
      </c>
      <c r="K102" s="3">
        <f t="shared" si="66"/>
        <v>107.751</v>
      </c>
      <c r="L102" s="3">
        <f t="shared" si="66"/>
        <v>114.167</v>
      </c>
      <c r="M102" s="3">
        <f t="shared" si="66"/>
        <v>83.114999999999995</v>
      </c>
      <c r="N102" s="3">
        <f t="shared" si="66"/>
        <v>146.976</v>
      </c>
      <c r="O102" s="3">
        <f t="shared" si="66"/>
        <v>118.19799999999999</v>
      </c>
      <c r="P102" s="3">
        <f t="shared" si="66"/>
        <v>161.94900000000001</v>
      </c>
      <c r="Q102" s="3">
        <f t="shared" si="66"/>
        <v>161.565</v>
      </c>
      <c r="R102" s="3">
        <f t="shared" si="66"/>
        <v>165.02500000000001</v>
      </c>
      <c r="S102" s="3">
        <f t="shared" si="66"/>
        <v>135.22999999999999</v>
      </c>
      <c r="T102" s="3">
        <f t="shared" si="66"/>
        <v>188.59</v>
      </c>
      <c r="U102" s="3">
        <f t="shared" si="66"/>
        <v>208.20400000000001</v>
      </c>
      <c r="V102" s="3">
        <f t="shared" si="66"/>
        <v>263.24200000000002</v>
      </c>
      <c r="W102" s="3">
        <f t="shared" si="66"/>
        <v>402.67399999999998</v>
      </c>
      <c r="X102" s="3">
        <f t="shared" si="66"/>
        <v>316.14699999999999</v>
      </c>
      <c r="Y102" s="3">
        <f t="shared" si="66"/>
        <v>364.59</v>
      </c>
      <c r="Z102" s="3">
        <f t="shared" si="66"/>
        <v>414.51100000000002</v>
      </c>
      <c r="AA102" s="3">
        <f t="shared" si="66"/>
        <v>356.46600000000001</v>
      </c>
      <c r="AB102" s="3">
        <f t="shared" si="66"/>
        <v>369.19</v>
      </c>
      <c r="AC102" s="3">
        <f t="shared" si="66"/>
        <v>350.31799999999998</v>
      </c>
      <c r="AD102" s="3">
        <f t="shared" si="66"/>
        <v>355.58199999999999</v>
      </c>
      <c r="AE102" s="3">
        <f t="shared" si="66"/>
        <v>355.58199999999999</v>
      </c>
      <c r="AF102" s="3">
        <f t="shared" si="66"/>
        <v>313.79508560339701</v>
      </c>
      <c r="AG102" s="3">
        <f t="shared" si="66"/>
        <v>386.81432908173099</v>
      </c>
      <c r="AH102" s="3">
        <f t="shared" si="66"/>
        <v>391.26337914639402</v>
      </c>
      <c r="AI102" s="3">
        <f t="shared" si="66"/>
        <v>398.033195388651</v>
      </c>
      <c r="AJ102" s="3">
        <f t="shared" si="66"/>
        <v>404.919643227731</v>
      </c>
      <c r="AK102" s="3">
        <f t="shared" si="66"/>
        <v>411.92473201350401</v>
      </c>
      <c r="AL102" s="3">
        <f t="shared" si="66"/>
        <v>419.050505713272</v>
      </c>
      <c r="AM102" s="3">
        <f t="shared" si="66"/>
        <v>432.097873744097</v>
      </c>
      <c r="AN102" s="3">
        <f t="shared" si="66"/>
        <v>445.549850048466</v>
      </c>
      <c r="AO102" s="3">
        <f t="shared" si="66"/>
        <v>455.99450483949499</v>
      </c>
      <c r="AP102" s="3">
        <f t="shared" si="66"/>
        <v>468.43530719059697</v>
      </c>
      <c r="AQ102" s="3">
        <f t="shared" si="66"/>
        <v>479.801259680567</v>
      </c>
      <c r="AR102" s="3">
        <f t="shared" si="66"/>
        <v>489.20156795425498</v>
      </c>
      <c r="AS102" s="3">
        <f t="shared" si="66"/>
        <v>497.12418206434802</v>
      </c>
      <c r="AT102" s="3">
        <f t="shared" si="66"/>
        <v>504.04930473726802</v>
      </c>
      <c r="AU102" s="3">
        <f t="shared" si="66"/>
        <v>510.428765269037</v>
      </c>
      <c r="AV102" s="3">
        <f t="shared" si="66"/>
        <v>516.67205815813895</v>
      </c>
      <c r="AW102" s="3">
        <f t="shared" si="66"/>
        <v>523.13763672001596</v>
      </c>
      <c r="AX102" s="3">
        <f t="shared" si="66"/>
        <v>530.12786655172499</v>
      </c>
      <c r="AY102" s="3">
        <f t="shared" si="66"/>
        <v>537.88608313035604</v>
      </c>
      <c r="AZ102" s="3">
        <f t="shared" si="66"/>
        <v>546.59436982382306</v>
      </c>
      <c r="BA102" s="3">
        <f t="shared" si="66"/>
        <v>556.37090979290906</v>
      </c>
      <c r="BB102" s="3">
        <f t="shared" si="66"/>
        <v>565.17986962932196</v>
      </c>
      <c r="BC102" s="3">
        <f t="shared" si="66"/>
        <v>573.02399605179403</v>
      </c>
      <c r="BD102" s="3">
        <f t="shared" si="66"/>
        <v>580.58609371192301</v>
      </c>
      <c r="BE102" s="3">
        <f t="shared" si="66"/>
        <v>587.75461408090905</v>
      </c>
      <c r="BF102" s="3">
        <f t="shared" si="66"/>
        <v>594.41367132766402</v>
      </c>
      <c r="BG102" s="3">
        <f t="shared" si="66"/>
        <v>601.1415785802709</v>
      </c>
      <c r="BH102" s="3">
        <f t="shared" si="66"/>
        <v>607.90564718596693</v>
      </c>
      <c r="BI102" s="3">
        <f t="shared" si="66"/>
        <v>614.6716963499041</v>
      </c>
      <c r="BJ102" s="3">
        <f t="shared" si="66"/>
        <v>621.40403708429005</v>
      </c>
      <c r="BK102" s="3">
        <f t="shared" si="66"/>
        <v>628.06547578464802</v>
      </c>
      <c r="BL102" s="3">
        <f t="shared" si="66"/>
        <v>634.61733890225503</v>
      </c>
      <c r="BM102" s="3">
        <f t="shared" si="66"/>
        <v>641.01952016821792</v>
      </c>
      <c r="BN102" s="3">
        <f t="shared" si="66"/>
        <v>647.23055177578703</v>
      </c>
      <c r="BO102" s="3">
        <f t="shared" si="66"/>
        <v>653.20770084038008</v>
      </c>
      <c r="BP102" s="3">
        <f t="shared" si="66"/>
        <v>658.90709232818097</v>
      </c>
      <c r="BQ102" s="3">
        <f t="shared" si="66"/>
        <v>664.84827149214993</v>
      </c>
      <c r="BR102" s="3">
        <f t="shared" si="66"/>
        <v>671.03679949884202</v>
      </c>
      <c r="BS102" s="3">
        <f t="shared" si="66"/>
        <v>677.47850179662908</v>
      </c>
      <c r="BT102" s="3">
        <f t="shared" ref="BT102:CD102" si="67">CB338</f>
        <v>684.17947719489507</v>
      </c>
      <c r="BU102" s="3">
        <f t="shared" si="67"/>
        <v>691.14610741989304</v>
      </c>
      <c r="BV102" s="3">
        <f t="shared" si="67"/>
        <v>698.38506716808899</v>
      </c>
      <c r="BW102" s="3">
        <f t="shared" si="67"/>
        <v>705.90333467901405</v>
      </c>
      <c r="BX102" s="3">
        <f t="shared" si="67"/>
        <v>713.708202850916</v>
      </c>
      <c r="BY102" s="3">
        <f t="shared" si="67"/>
        <v>721.80729092379704</v>
      </c>
      <c r="BZ102" s="3">
        <f t="shared" si="67"/>
        <v>730.20855675583493</v>
      </c>
      <c r="CA102" s="3">
        <f t="shared" si="67"/>
        <v>738.92030972065004</v>
      </c>
      <c r="CB102" s="3">
        <f t="shared" si="67"/>
        <v>747.951224254409</v>
      </c>
      <c r="CC102" s="3">
        <f t="shared" si="67"/>
        <v>757.31035408339994</v>
      </c>
      <c r="CD102" s="3">
        <f t="shared" si="67"/>
        <v>767.00714716440996</v>
      </c>
    </row>
    <row r="103" spans="1:82" s="3" customFormat="1" x14ac:dyDescent="0.2">
      <c r="C103" s="3" t="s">
        <v>53</v>
      </c>
      <c r="F103" s="3" t="s">
        <v>7</v>
      </c>
      <c r="G103" s="3">
        <f>O339</f>
        <v>22.021999999999998</v>
      </c>
      <c r="H103" s="3">
        <f t="shared" si="66"/>
        <v>22.021999999999998</v>
      </c>
      <c r="I103" s="3">
        <f t="shared" si="66"/>
        <v>26.646999999999998</v>
      </c>
      <c r="J103" s="3">
        <f t="shared" si="66"/>
        <v>29.312000000000001</v>
      </c>
      <c r="K103" s="3">
        <f t="shared" si="66"/>
        <v>31.363</v>
      </c>
      <c r="L103" s="3">
        <f t="shared" si="66"/>
        <v>33.558</v>
      </c>
      <c r="M103" s="3">
        <f t="shared" si="66"/>
        <v>35.930999999999997</v>
      </c>
      <c r="N103" s="3">
        <f t="shared" si="66"/>
        <v>38.420999999999999</v>
      </c>
      <c r="O103" s="3">
        <f t="shared" si="66"/>
        <v>40.341999999999999</v>
      </c>
      <c r="P103" s="3">
        <f t="shared" si="66"/>
        <v>42.359000000000002</v>
      </c>
      <c r="Q103" s="3">
        <f t="shared" si="66"/>
        <v>44.478000000000002</v>
      </c>
      <c r="R103" s="3">
        <f t="shared" si="66"/>
        <v>46.701000000000001</v>
      </c>
      <c r="S103" s="3">
        <f t="shared" si="66"/>
        <v>49.036000000000001</v>
      </c>
      <c r="T103" s="3">
        <f t="shared" si="66"/>
        <v>51.488</v>
      </c>
      <c r="U103" s="3">
        <f t="shared" si="66"/>
        <v>30.891999999999999</v>
      </c>
      <c r="V103" s="3">
        <f t="shared" si="66"/>
        <v>15.446</v>
      </c>
      <c r="W103" s="3">
        <f t="shared" si="66"/>
        <v>10.811999999999999</v>
      </c>
      <c r="X103" s="3">
        <f t="shared" si="66"/>
        <v>7.569</v>
      </c>
      <c r="Y103" s="3">
        <f t="shared" si="66"/>
        <v>6.8120000000000003</v>
      </c>
      <c r="Z103" s="3">
        <f t="shared" si="66"/>
        <v>6.1310000000000002</v>
      </c>
      <c r="AA103" s="3">
        <f t="shared" si="66"/>
        <v>6.1920000000000002</v>
      </c>
      <c r="AB103" s="3">
        <f t="shared" si="66"/>
        <v>6.2539999999999996</v>
      </c>
      <c r="AC103" s="3">
        <f t="shared" si="66"/>
        <v>6.3159999999999998</v>
      </c>
      <c r="AD103" s="3">
        <f t="shared" si="66"/>
        <v>13.86</v>
      </c>
      <c r="AE103" s="3">
        <f t="shared" si="66"/>
        <v>13.86</v>
      </c>
      <c r="AF103" s="3">
        <f t="shared" si="66"/>
        <v>33.011338737215603</v>
      </c>
      <c r="AG103" s="3">
        <f t="shared" si="66"/>
        <v>31.789919203938702</v>
      </c>
      <c r="AH103" s="3">
        <f t="shared" si="66"/>
        <v>32.203188153589899</v>
      </c>
      <c r="AI103" s="3">
        <f t="shared" si="66"/>
        <v>32.536069501272401</v>
      </c>
      <c r="AJ103" s="3">
        <f t="shared" si="66"/>
        <v>32.872391812349903</v>
      </c>
      <c r="AK103" s="3">
        <f t="shared" si="66"/>
        <v>33.212190655739413</v>
      </c>
      <c r="AL103" s="3">
        <f t="shared" si="66"/>
        <v>33.555501968030804</v>
      </c>
      <c r="AM103" s="3">
        <f t="shared" si="66"/>
        <v>34.172142126708202</v>
      </c>
      <c r="AN103" s="3">
        <f t="shared" si="66"/>
        <v>34.800114110659997</v>
      </c>
      <c r="AO103" s="3">
        <f t="shared" si="66"/>
        <v>35.559534671267812</v>
      </c>
      <c r="AP103" s="3">
        <f t="shared" si="66"/>
        <v>36.253844115461803</v>
      </c>
      <c r="AQ103" s="3">
        <f t="shared" si="66"/>
        <v>37.0541216835326</v>
      </c>
      <c r="AR103" s="3">
        <f t="shared" si="66"/>
        <v>37.994728835170399</v>
      </c>
      <c r="AS103" s="3">
        <f t="shared" si="66"/>
        <v>39.038320184506297</v>
      </c>
      <c r="AT103" s="3">
        <f t="shared" si="66"/>
        <v>40.149231118074297</v>
      </c>
      <c r="AU103" s="3">
        <f t="shared" si="66"/>
        <v>41.293152970646602</v>
      </c>
      <c r="AV103" s="3">
        <f t="shared" si="66"/>
        <v>42.437289957474903</v>
      </c>
      <c r="AW103" s="3">
        <f t="shared" si="66"/>
        <v>43.5508942181335</v>
      </c>
      <c r="AX103" s="3">
        <f t="shared" si="66"/>
        <v>44.606077782318401</v>
      </c>
      <c r="AY103" s="3">
        <f t="shared" si="66"/>
        <v>45.578796779013487</v>
      </c>
      <c r="AZ103" s="3">
        <f t="shared" si="66"/>
        <v>46.4499001458435</v>
      </c>
      <c r="BA103" s="3">
        <f t="shared" si="66"/>
        <v>47.206137383081902</v>
      </c>
      <c r="BB103" s="3">
        <f t="shared" si="66"/>
        <v>47.966715744827297</v>
      </c>
      <c r="BC103" s="3">
        <f t="shared" si="66"/>
        <v>48.7206632279646</v>
      </c>
      <c r="BD103" s="3">
        <f t="shared" si="66"/>
        <v>49.439200514339099</v>
      </c>
      <c r="BE103" s="3">
        <f t="shared" si="66"/>
        <v>50.113215784084403</v>
      </c>
      <c r="BF103" s="3">
        <f t="shared" si="66"/>
        <v>50.733290669059102</v>
      </c>
      <c r="BG103" s="3">
        <f t="shared" si="66"/>
        <v>51.354172223133403</v>
      </c>
      <c r="BH103" s="3">
        <f t="shared" si="66"/>
        <v>51.973243440074413</v>
      </c>
      <c r="BI103" s="3">
        <f t="shared" si="66"/>
        <v>52.587766740154301</v>
      </c>
      <c r="BJ103" s="3">
        <f t="shared" si="66"/>
        <v>53.1948852667389</v>
      </c>
      <c r="BK103" s="3">
        <f t="shared" si="66"/>
        <v>53.791625647547797</v>
      </c>
      <c r="BL103" s="3">
        <f t="shared" si="66"/>
        <v>54.374902320152302</v>
      </c>
      <c r="BM103" s="3">
        <f t="shared" si="66"/>
        <v>54.941523516677002</v>
      </c>
      <c r="BN103" s="3">
        <f t="shared" si="66"/>
        <v>55.488198995689302</v>
      </c>
      <c r="BO103" s="3">
        <f t="shared" si="66"/>
        <v>56.011549599718698</v>
      </c>
      <c r="BP103" s="3">
        <f t="shared" si="66"/>
        <v>56.508118704602097</v>
      </c>
      <c r="BQ103" s="3">
        <f t="shared" si="66"/>
        <v>57.0233307567227</v>
      </c>
      <c r="BR103" s="3">
        <f t="shared" si="66"/>
        <v>57.557610712139301</v>
      </c>
      <c r="BS103" s="3">
        <f>CA339</f>
        <v>58.111401710270002</v>
      </c>
      <c r="BT103" s="3">
        <f>CB339</f>
        <v>58.685165681799198</v>
      </c>
      <c r="BU103" s="3">
        <f>CC339</f>
        <v>59.279383985652103</v>
      </c>
      <c r="BV103" s="3">
        <f>CD339</f>
        <v>59.8945580762567</v>
      </c>
      <c r="BW103" s="3">
        <f>CE339</f>
        <v>60.531210202380002</v>
      </c>
      <c r="BX103" s="3">
        <f>CF339</f>
        <v>61.189884138888601</v>
      </c>
      <c r="BY103" s="3">
        <f>CG339</f>
        <v>61.871145952860097</v>
      </c>
      <c r="BZ103" s="3">
        <f>CH339</f>
        <v>62.575584805539691</v>
      </c>
      <c r="CA103" s="3">
        <f>CI339</f>
        <v>63.303813791719499</v>
      </c>
      <c r="CB103" s="3">
        <f>CJ339</f>
        <v>64.056470818197809</v>
      </c>
      <c r="CC103" s="3">
        <f>CK339</f>
        <v>64.834219523060995</v>
      </c>
      <c r="CD103" s="3">
        <f>CL339</f>
        <v>65.63775023762409</v>
      </c>
    </row>
    <row r="104" spans="1:82" s="3" customFormat="1" x14ac:dyDescent="0.2">
      <c r="C104" s="3" t="s">
        <v>54</v>
      </c>
      <c r="F104" s="3" t="s">
        <v>7</v>
      </c>
      <c r="G104" s="3">
        <f>O340</f>
        <v>0</v>
      </c>
      <c r="H104" s="3">
        <f>P340</f>
        <v>0</v>
      </c>
      <c r="I104" s="3">
        <f>Q340</f>
        <v>0</v>
      </c>
      <c r="J104" s="3">
        <f>R340</f>
        <v>0</v>
      </c>
      <c r="K104" s="3">
        <f>S340</f>
        <v>0</v>
      </c>
      <c r="L104" s="3">
        <f>T340</f>
        <v>0</v>
      </c>
      <c r="M104" s="3">
        <f>U340</f>
        <v>0</v>
      </c>
      <c r="N104" s="3">
        <f>V340</f>
        <v>0</v>
      </c>
      <c r="O104" s="3">
        <f>W340</f>
        <v>0</v>
      </c>
      <c r="P104" s="3">
        <f>X340</f>
        <v>0</v>
      </c>
      <c r="Q104" s="3">
        <f>Y340</f>
        <v>0</v>
      </c>
      <c r="R104" s="3">
        <f>Z340</f>
        <v>0</v>
      </c>
      <c r="S104" s="3">
        <f>AA340</f>
        <v>0</v>
      </c>
      <c r="T104" s="3">
        <f>AB340</f>
        <v>0</v>
      </c>
      <c r="U104" s="3">
        <f>AC340</f>
        <v>0</v>
      </c>
      <c r="V104" s="3">
        <f>AD340</f>
        <v>0</v>
      </c>
      <c r="W104" s="3">
        <f>AE340</f>
        <v>0</v>
      </c>
      <c r="X104" s="3">
        <f>AF340</f>
        <v>0</v>
      </c>
      <c r="Y104" s="3">
        <f>AG340</f>
        <v>0</v>
      </c>
      <c r="Z104" s="3">
        <f>AH340</f>
        <v>0</v>
      </c>
      <c r="AA104" s="3">
        <f>AI340</f>
        <v>0</v>
      </c>
      <c r="AB104" s="3">
        <f>AJ340</f>
        <v>0</v>
      </c>
      <c r="AC104" s="3">
        <f>AK340</f>
        <v>0</v>
      </c>
      <c r="AD104" s="3">
        <f>AL340</f>
        <v>0</v>
      </c>
      <c r="AE104" s="3">
        <f>AM340</f>
        <v>0</v>
      </c>
      <c r="AF104" s="3">
        <f>AN340</f>
        <v>0.4314991770203</v>
      </c>
      <c r="AG104" s="3">
        <f>AO340</f>
        <v>0.40327690502750002</v>
      </c>
      <c r="AH104" s="3">
        <f>AP340</f>
        <v>0.40506576906030001</v>
      </c>
      <c r="AI104" s="3">
        <f>AQ340</f>
        <v>0.40494925853829999</v>
      </c>
      <c r="AJ104" s="3">
        <f>AR340</f>
        <v>0.4044627644689</v>
      </c>
      <c r="AK104" s="3">
        <f>AS340</f>
        <v>0.4036584082552</v>
      </c>
      <c r="AL104" s="3">
        <f>AT340</f>
        <v>0.40248370735549999</v>
      </c>
      <c r="AM104" s="3">
        <f>AU340</f>
        <v>0.40562173679620001</v>
      </c>
      <c r="AN104" s="3">
        <f>AV340</f>
        <v>0.40844561448029998</v>
      </c>
      <c r="AO104" s="3">
        <f>AW340</f>
        <v>0.41324472215660002</v>
      </c>
      <c r="AP104" s="3">
        <f>AX340</f>
        <v>0.41660741127259998</v>
      </c>
      <c r="AQ104" s="3">
        <f>AY340</f>
        <v>0.42234347010939999</v>
      </c>
      <c r="AR104" s="3">
        <f>AZ340</f>
        <v>0.43045872406180002</v>
      </c>
      <c r="AS104" s="3">
        <f>BA340</f>
        <v>0.44025493721109998</v>
      </c>
      <c r="AT104" s="3">
        <f>BB340</f>
        <v>0.45106535587009999</v>
      </c>
      <c r="AU104" s="3">
        <f>BC340</f>
        <v>0.46224777059650002</v>
      </c>
      <c r="AV104" s="3">
        <f>BD340</f>
        <v>0.47318916974390002</v>
      </c>
      <c r="AW104" s="3">
        <f>BE340</f>
        <v>0.48331487496660003</v>
      </c>
      <c r="AX104" s="3">
        <f>BF340</f>
        <v>0.49210372498110011</v>
      </c>
      <c r="AY104" s="3">
        <f>BG340</f>
        <v>0.49910639387900002</v>
      </c>
      <c r="AZ104" s="3">
        <f>BH340</f>
        <v>0.50424157920330004</v>
      </c>
      <c r="BA104" s="3">
        <f>BI340</f>
        <v>0.50728797528839997</v>
      </c>
      <c r="BB104" s="3">
        <f>BJ340</f>
        <v>0.5111108926529</v>
      </c>
      <c r="BC104" s="3">
        <f>BK340</f>
        <v>0.51493725676059998</v>
      </c>
      <c r="BD104" s="3">
        <f>BL340</f>
        <v>0.51827405060340004</v>
      </c>
      <c r="BE104" s="3">
        <f>BM340</f>
        <v>0.52100262702790001</v>
      </c>
      <c r="BF104" s="3">
        <f>BN340</f>
        <v>0.52295539524379997</v>
      </c>
      <c r="BG104" s="3">
        <f>BO340</f>
        <v>0.52490509694020004</v>
      </c>
      <c r="BH104" s="3">
        <f>BP340</f>
        <v>0.52682182920849996</v>
      </c>
      <c r="BI104" s="3">
        <f>BQ340</f>
        <v>0.52869992364170004</v>
      </c>
      <c r="BJ104" s="3">
        <f>BR340</f>
        <v>0.53049619381989999</v>
      </c>
      <c r="BK104" s="3">
        <f>BS340</f>
        <v>0.53214615506199991</v>
      </c>
      <c r="BL104" s="3">
        <f>BT340</f>
        <v>0.53358891526929997</v>
      </c>
      <c r="BM104" s="3">
        <f>BU340</f>
        <v>0.53476687533239997</v>
      </c>
      <c r="BN104" s="3">
        <f>BV340</f>
        <v>0.53565554058190001</v>
      </c>
      <c r="BO104" s="3">
        <f>BW340</f>
        <v>0.53622071639019997</v>
      </c>
      <c r="BP104" s="3">
        <f>BX340</f>
        <v>0.536400556232</v>
      </c>
      <c r="BQ104" s="3">
        <f>BY340</f>
        <v>0.53688681810540007</v>
      </c>
      <c r="BR104" s="3">
        <f>BZ340</f>
        <v>0.53768812586350001</v>
      </c>
      <c r="BS104" s="3">
        <f>CA340</f>
        <v>0.53883492976040004</v>
      </c>
      <c r="BT104" s="3">
        <f>CB340</f>
        <v>0.54036266365050001</v>
      </c>
      <c r="BU104" s="3">
        <f>CC340</f>
        <v>0.54223686201849997</v>
      </c>
      <c r="BV104" s="3">
        <f>CD340</f>
        <v>0.54445691781989991</v>
      </c>
      <c r="BW104" s="3">
        <f>CE340</f>
        <v>0.54708609229130001</v>
      </c>
      <c r="BX104" s="3">
        <f>CF340</f>
        <v>0.55011958502859992</v>
      </c>
      <c r="BY104" s="3">
        <f>CG340</f>
        <v>0.55358067890249996</v>
      </c>
      <c r="BZ104" s="3">
        <f>CH340</f>
        <v>0.55747931919329996</v>
      </c>
      <c r="CA104" s="3">
        <f>CI340</f>
        <v>0.56181534557220003</v>
      </c>
      <c r="CB104" s="3">
        <f>CJ340</f>
        <v>0.56661592120439996</v>
      </c>
      <c r="CC104" s="3">
        <f>CK340</f>
        <v>0.57189920020730001</v>
      </c>
      <c r="CD104" s="3">
        <f>CL340</f>
        <v>0.57764740512909996</v>
      </c>
    </row>
    <row r="105" spans="1:82" s="7" customFormat="1" x14ac:dyDescent="0.2">
      <c r="B105" s="7" t="s">
        <v>55</v>
      </c>
      <c r="G105" s="7">
        <f>SUM(G106:G112)</f>
        <v>0</v>
      </c>
      <c r="H105" s="7">
        <f t="shared" ref="H105:BS105" si="68">SUM(H106:H112)</f>
        <v>0</v>
      </c>
      <c r="I105" s="7">
        <f t="shared" si="68"/>
        <v>0</v>
      </c>
      <c r="J105" s="7">
        <f t="shared" si="68"/>
        <v>0</v>
      </c>
      <c r="K105" s="7">
        <f t="shared" si="68"/>
        <v>0</v>
      </c>
      <c r="L105" s="7">
        <f t="shared" si="68"/>
        <v>0</v>
      </c>
      <c r="M105" s="7">
        <f t="shared" si="68"/>
        <v>0</v>
      </c>
      <c r="N105" s="7">
        <f t="shared" si="68"/>
        <v>0</v>
      </c>
      <c r="O105" s="7">
        <f t="shared" si="68"/>
        <v>0</v>
      </c>
      <c r="P105" s="7">
        <f t="shared" si="68"/>
        <v>0</v>
      </c>
      <c r="Q105" s="7">
        <f t="shared" si="68"/>
        <v>0</v>
      </c>
      <c r="R105" s="7">
        <f t="shared" si="68"/>
        <v>0</v>
      </c>
      <c r="S105" s="7">
        <f t="shared" si="68"/>
        <v>0</v>
      </c>
      <c r="T105" s="7">
        <f t="shared" si="68"/>
        <v>0</v>
      </c>
      <c r="U105" s="7">
        <f t="shared" si="68"/>
        <v>0</v>
      </c>
      <c r="V105" s="7">
        <f t="shared" si="68"/>
        <v>0</v>
      </c>
      <c r="W105" s="7">
        <f t="shared" si="68"/>
        <v>0</v>
      </c>
      <c r="X105" s="7">
        <f t="shared" si="68"/>
        <v>0</v>
      </c>
      <c r="Y105" s="7">
        <f t="shared" si="68"/>
        <v>0</v>
      </c>
      <c r="Z105" s="7">
        <f t="shared" si="68"/>
        <v>0</v>
      </c>
      <c r="AA105" s="7">
        <f t="shared" si="68"/>
        <v>0</v>
      </c>
      <c r="AB105" s="7">
        <f t="shared" si="68"/>
        <v>0</v>
      </c>
      <c r="AC105" s="7">
        <f t="shared" si="68"/>
        <v>0</v>
      </c>
      <c r="AD105" s="7">
        <f t="shared" si="68"/>
        <v>0</v>
      </c>
      <c r="AE105" s="7">
        <f t="shared" si="68"/>
        <v>0</v>
      </c>
      <c r="AF105" s="7">
        <f t="shared" si="68"/>
        <v>35.854362793610797</v>
      </c>
      <c r="AG105" s="7">
        <f t="shared" si="68"/>
        <v>32.0099899467643</v>
      </c>
      <c r="AH105" s="7">
        <f t="shared" si="68"/>
        <v>31.795869546037999</v>
      </c>
      <c r="AI105" s="7">
        <f t="shared" si="68"/>
        <v>31.830565739601099</v>
      </c>
      <c r="AJ105" s="7">
        <f t="shared" si="68"/>
        <v>31.840429855660599</v>
      </c>
      <c r="AK105" s="7">
        <f t="shared" si="68"/>
        <v>31.829026783372999</v>
      </c>
      <c r="AL105" s="7">
        <f t="shared" si="68"/>
        <v>31.792776127372001</v>
      </c>
      <c r="AM105" s="7">
        <f t="shared" si="68"/>
        <v>32.086145215694401</v>
      </c>
      <c r="AN105" s="7">
        <f t="shared" si="68"/>
        <v>32.359507130207199</v>
      </c>
      <c r="AO105" s="7">
        <f t="shared" si="68"/>
        <v>32.784637506952798</v>
      </c>
      <c r="AP105" s="7">
        <f t="shared" si="68"/>
        <v>33.103305154835098</v>
      </c>
      <c r="AQ105" s="7">
        <f t="shared" si="68"/>
        <v>33.597672544718499</v>
      </c>
      <c r="AR105" s="7">
        <f t="shared" si="68"/>
        <v>34.272540618699097</v>
      </c>
      <c r="AS105" s="7">
        <f t="shared" si="68"/>
        <v>35.075428601084099</v>
      </c>
      <c r="AT105" s="7">
        <f t="shared" si="68"/>
        <v>35.956221589404002</v>
      </c>
      <c r="AU105" s="7">
        <f t="shared" si="68"/>
        <v>36.866655008982903</v>
      </c>
      <c r="AV105" s="7">
        <f t="shared" si="68"/>
        <v>37.760652598781803</v>
      </c>
      <c r="AW105" s="7">
        <f t="shared" si="68"/>
        <v>38.595019002993688</v>
      </c>
      <c r="AX105" s="7">
        <f t="shared" si="68"/>
        <v>39.330580993921501</v>
      </c>
      <c r="AY105" s="7">
        <f t="shared" si="68"/>
        <v>39.933564882125907</v>
      </c>
      <c r="AZ105" s="7">
        <f t="shared" si="68"/>
        <v>40.395963039829098</v>
      </c>
      <c r="BA105" s="7">
        <f t="shared" si="68"/>
        <v>40.700960527318003</v>
      </c>
      <c r="BB105" s="7">
        <f t="shared" si="68"/>
        <v>41.035307862440803</v>
      </c>
      <c r="BC105" s="7">
        <f t="shared" si="68"/>
        <v>41.348219722067597</v>
      </c>
      <c r="BD105" s="7">
        <f t="shared" si="68"/>
        <v>41.612612547342202</v>
      </c>
      <c r="BE105" s="7">
        <f t="shared" si="68"/>
        <v>41.822155588116587</v>
      </c>
      <c r="BF105" s="7">
        <f t="shared" si="68"/>
        <v>41.967389141665201</v>
      </c>
      <c r="BG105" s="7">
        <f t="shared" si="68"/>
        <v>42.103603882226913</v>
      </c>
      <c r="BH105" s="7">
        <f t="shared" si="68"/>
        <v>42.229285911143997</v>
      </c>
      <c r="BI105" s="7">
        <f t="shared" si="68"/>
        <v>42.344629337886097</v>
      </c>
      <c r="BJ105" s="7">
        <f t="shared" si="68"/>
        <v>42.447320672024901</v>
      </c>
      <c r="BK105" s="7">
        <f t="shared" si="68"/>
        <v>42.533648655864702</v>
      </c>
      <c r="BL105" s="7">
        <f t="shared" si="68"/>
        <v>42.600205606070404</v>
      </c>
      <c r="BM105" s="7">
        <f t="shared" si="68"/>
        <v>42.643867159381898</v>
      </c>
      <c r="BN105" s="7">
        <f t="shared" si="68"/>
        <v>42.663827904655307</v>
      </c>
      <c r="BO105" s="7">
        <f t="shared" si="68"/>
        <v>42.658675716339097</v>
      </c>
      <c r="BP105" s="7">
        <f t="shared" si="68"/>
        <v>42.625162630966599</v>
      </c>
      <c r="BQ105" s="7">
        <f t="shared" si="68"/>
        <v>42.6066533675667</v>
      </c>
      <c r="BR105" s="7">
        <f t="shared" si="68"/>
        <v>42.6035381329432</v>
      </c>
      <c r="BS105" s="7">
        <f t="shared" si="68"/>
        <v>42.6176868415778</v>
      </c>
      <c r="BT105" s="7">
        <f t="shared" ref="BT105:CD105" si="69">SUM(BT106:BT112)</f>
        <v>42.651298169632803</v>
      </c>
      <c r="BU105" s="7">
        <f t="shared" si="69"/>
        <v>42.701783951901298</v>
      </c>
      <c r="BV105" s="7">
        <f t="shared" si="69"/>
        <v>42.768856227640804</v>
      </c>
      <c r="BW105" s="7">
        <f t="shared" si="69"/>
        <v>42.856576647828888</v>
      </c>
      <c r="BX105" s="7">
        <f t="shared" si="69"/>
        <v>42.964344005357702</v>
      </c>
      <c r="BY105" s="7">
        <f t="shared" si="69"/>
        <v>43.093461171584593</v>
      </c>
      <c r="BZ105" s="7">
        <f t="shared" si="69"/>
        <v>43.244305099549003</v>
      </c>
      <c r="CA105" s="7">
        <f t="shared" si="69"/>
        <v>43.416546961816302</v>
      </c>
      <c r="CB105" s="7">
        <f t="shared" si="69"/>
        <v>43.611708206932299</v>
      </c>
      <c r="CC105" s="7">
        <f t="shared" si="69"/>
        <v>43.830678038818803</v>
      </c>
      <c r="CD105" s="7">
        <f t="shared" si="69"/>
        <v>44.071873643527901</v>
      </c>
    </row>
    <row r="106" spans="1:82" s="3" customFormat="1" x14ac:dyDescent="0.2">
      <c r="F106" s="3" t="s">
        <v>6</v>
      </c>
      <c r="G106" s="3">
        <f>O341</f>
        <v>0</v>
      </c>
      <c r="H106" s="3">
        <f t="shared" ref="H106:BS108" si="70">P341</f>
        <v>0</v>
      </c>
      <c r="I106" s="3">
        <f t="shared" si="70"/>
        <v>0</v>
      </c>
      <c r="J106" s="3">
        <f t="shared" si="70"/>
        <v>0</v>
      </c>
      <c r="K106" s="3">
        <f t="shared" si="70"/>
        <v>0</v>
      </c>
      <c r="L106" s="3">
        <f t="shared" si="70"/>
        <v>0</v>
      </c>
      <c r="M106" s="3">
        <f t="shared" si="70"/>
        <v>0</v>
      </c>
      <c r="N106" s="3">
        <f t="shared" si="70"/>
        <v>0</v>
      </c>
      <c r="O106" s="3">
        <f t="shared" si="70"/>
        <v>0</v>
      </c>
      <c r="P106" s="3">
        <f t="shared" si="70"/>
        <v>0</v>
      </c>
      <c r="Q106" s="3">
        <f t="shared" si="70"/>
        <v>0</v>
      </c>
      <c r="R106" s="3">
        <f t="shared" si="70"/>
        <v>0</v>
      </c>
      <c r="S106" s="3">
        <f t="shared" si="70"/>
        <v>0</v>
      </c>
      <c r="T106" s="3">
        <f t="shared" si="70"/>
        <v>0</v>
      </c>
      <c r="U106" s="3">
        <f t="shared" si="70"/>
        <v>0</v>
      </c>
      <c r="V106" s="3">
        <f t="shared" si="70"/>
        <v>0</v>
      </c>
      <c r="W106" s="3">
        <f t="shared" si="70"/>
        <v>0</v>
      </c>
      <c r="X106" s="3">
        <f t="shared" si="70"/>
        <v>0</v>
      </c>
      <c r="Y106" s="3">
        <f t="shared" si="70"/>
        <v>0</v>
      </c>
      <c r="Z106" s="3">
        <f t="shared" si="70"/>
        <v>0</v>
      </c>
      <c r="AA106" s="3">
        <f t="shared" si="70"/>
        <v>0</v>
      </c>
      <c r="AB106" s="3">
        <f t="shared" si="70"/>
        <v>0</v>
      </c>
      <c r="AC106" s="3">
        <f t="shared" si="70"/>
        <v>0</v>
      </c>
      <c r="AD106" s="3">
        <f t="shared" si="70"/>
        <v>0</v>
      </c>
      <c r="AE106" s="3">
        <f t="shared" si="70"/>
        <v>0</v>
      </c>
      <c r="AF106" s="3">
        <f t="shared" si="70"/>
        <v>0</v>
      </c>
      <c r="AG106" s="3">
        <f t="shared" si="70"/>
        <v>0</v>
      </c>
      <c r="AH106" s="3">
        <f t="shared" si="70"/>
        <v>0</v>
      </c>
      <c r="AI106" s="3">
        <f t="shared" si="70"/>
        <v>0</v>
      </c>
      <c r="AJ106" s="3">
        <f t="shared" si="70"/>
        <v>0</v>
      </c>
      <c r="AK106" s="3">
        <f t="shared" si="70"/>
        <v>0</v>
      </c>
      <c r="AL106" s="3">
        <f t="shared" si="70"/>
        <v>0</v>
      </c>
      <c r="AM106" s="3">
        <f t="shared" si="70"/>
        <v>0</v>
      </c>
      <c r="AN106" s="3">
        <f t="shared" si="70"/>
        <v>0</v>
      </c>
      <c r="AO106" s="3">
        <f t="shared" si="70"/>
        <v>0</v>
      </c>
      <c r="AP106" s="3">
        <f t="shared" si="70"/>
        <v>0</v>
      </c>
      <c r="AQ106" s="3">
        <f t="shared" si="70"/>
        <v>0</v>
      </c>
      <c r="AR106" s="3">
        <f t="shared" si="70"/>
        <v>0</v>
      </c>
      <c r="AS106" s="3">
        <f t="shared" si="70"/>
        <v>0</v>
      </c>
      <c r="AT106" s="3">
        <f t="shared" si="70"/>
        <v>0</v>
      </c>
      <c r="AU106" s="3">
        <f t="shared" si="70"/>
        <v>0</v>
      </c>
      <c r="AV106" s="3">
        <f t="shared" si="70"/>
        <v>0</v>
      </c>
      <c r="AW106" s="3">
        <f t="shared" si="70"/>
        <v>0</v>
      </c>
      <c r="AX106" s="3">
        <f t="shared" si="70"/>
        <v>0</v>
      </c>
      <c r="AY106" s="3">
        <f t="shared" si="70"/>
        <v>0</v>
      </c>
      <c r="AZ106" s="3">
        <f t="shared" si="70"/>
        <v>0</v>
      </c>
      <c r="BA106" s="3">
        <f t="shared" si="70"/>
        <v>0</v>
      </c>
      <c r="BB106" s="3">
        <f t="shared" si="70"/>
        <v>0</v>
      </c>
      <c r="BC106" s="3">
        <f t="shared" si="70"/>
        <v>0</v>
      </c>
      <c r="BD106" s="3">
        <f t="shared" si="70"/>
        <v>0</v>
      </c>
      <c r="BE106" s="3">
        <f t="shared" si="70"/>
        <v>0</v>
      </c>
      <c r="BF106" s="3">
        <f t="shared" si="70"/>
        <v>0</v>
      </c>
      <c r="BG106" s="3">
        <f t="shared" si="70"/>
        <v>0</v>
      </c>
      <c r="BH106" s="3">
        <f t="shared" si="70"/>
        <v>0</v>
      </c>
      <c r="BI106" s="3">
        <f t="shared" si="70"/>
        <v>0</v>
      </c>
      <c r="BJ106" s="3">
        <f t="shared" si="70"/>
        <v>0</v>
      </c>
      <c r="BK106" s="3">
        <f t="shared" si="70"/>
        <v>0</v>
      </c>
      <c r="BL106" s="3">
        <f t="shared" si="70"/>
        <v>0</v>
      </c>
      <c r="BM106" s="3">
        <f t="shared" si="70"/>
        <v>0</v>
      </c>
      <c r="BN106" s="3">
        <f t="shared" si="70"/>
        <v>0</v>
      </c>
      <c r="BO106" s="3">
        <f t="shared" si="70"/>
        <v>0</v>
      </c>
      <c r="BP106" s="3">
        <f t="shared" si="70"/>
        <v>0</v>
      </c>
      <c r="BQ106" s="3">
        <f t="shared" si="70"/>
        <v>0</v>
      </c>
      <c r="BR106" s="3">
        <f t="shared" si="70"/>
        <v>0</v>
      </c>
      <c r="BS106" s="3">
        <f t="shared" si="70"/>
        <v>0</v>
      </c>
      <c r="BT106" s="3">
        <f t="shared" ref="BT106:CD107" si="71">CB341</f>
        <v>0</v>
      </c>
      <c r="BU106" s="3">
        <f t="shared" si="71"/>
        <v>0</v>
      </c>
      <c r="BV106" s="3">
        <f t="shared" si="71"/>
        <v>0</v>
      </c>
      <c r="BW106" s="3">
        <f t="shared" si="71"/>
        <v>0</v>
      </c>
      <c r="BX106" s="3">
        <f t="shared" si="71"/>
        <v>0</v>
      </c>
      <c r="BY106" s="3">
        <f t="shared" si="71"/>
        <v>0</v>
      </c>
      <c r="BZ106" s="3">
        <f t="shared" si="71"/>
        <v>0</v>
      </c>
      <c r="CA106" s="3">
        <f t="shared" si="71"/>
        <v>0</v>
      </c>
      <c r="CB106" s="3">
        <f t="shared" si="71"/>
        <v>0</v>
      </c>
      <c r="CC106" s="3">
        <f t="shared" si="71"/>
        <v>0</v>
      </c>
      <c r="CD106" s="3">
        <f t="shared" si="71"/>
        <v>0</v>
      </c>
    </row>
    <row r="107" spans="1:82" s="3" customFormat="1" x14ac:dyDescent="0.2">
      <c r="F107" s="3" t="s">
        <v>7</v>
      </c>
      <c r="G107" s="3">
        <f>O342</f>
        <v>0</v>
      </c>
      <c r="H107" s="3">
        <f t="shared" si="70"/>
        <v>0</v>
      </c>
      <c r="I107" s="3">
        <f t="shared" si="70"/>
        <v>0</v>
      </c>
      <c r="J107" s="3">
        <f t="shared" si="70"/>
        <v>0</v>
      </c>
      <c r="K107" s="3">
        <f t="shared" si="70"/>
        <v>0</v>
      </c>
      <c r="L107" s="3">
        <f t="shared" si="70"/>
        <v>0</v>
      </c>
      <c r="M107" s="3">
        <f t="shared" si="70"/>
        <v>0</v>
      </c>
      <c r="N107" s="3">
        <f t="shared" si="70"/>
        <v>0</v>
      </c>
      <c r="O107" s="3">
        <f t="shared" si="70"/>
        <v>0</v>
      </c>
      <c r="P107" s="3">
        <f t="shared" si="70"/>
        <v>0</v>
      </c>
      <c r="Q107" s="3">
        <f t="shared" si="70"/>
        <v>0</v>
      </c>
      <c r="R107" s="3">
        <f t="shared" si="70"/>
        <v>0</v>
      </c>
      <c r="S107" s="3">
        <f t="shared" si="70"/>
        <v>0</v>
      </c>
      <c r="T107" s="3">
        <f t="shared" si="70"/>
        <v>0</v>
      </c>
      <c r="U107" s="3">
        <f t="shared" si="70"/>
        <v>0</v>
      </c>
      <c r="V107" s="3">
        <f t="shared" si="70"/>
        <v>0</v>
      </c>
      <c r="W107" s="3">
        <f t="shared" si="70"/>
        <v>0</v>
      </c>
      <c r="X107" s="3">
        <f t="shared" si="70"/>
        <v>0</v>
      </c>
      <c r="Y107" s="3">
        <f t="shared" si="70"/>
        <v>0</v>
      </c>
      <c r="Z107" s="3">
        <f t="shared" si="70"/>
        <v>0</v>
      </c>
      <c r="AA107" s="3">
        <f t="shared" si="70"/>
        <v>0</v>
      </c>
      <c r="AB107" s="3">
        <f t="shared" si="70"/>
        <v>0</v>
      </c>
      <c r="AC107" s="3">
        <f t="shared" si="70"/>
        <v>0</v>
      </c>
      <c r="AD107" s="3">
        <f t="shared" si="70"/>
        <v>0</v>
      </c>
      <c r="AE107" s="3">
        <f t="shared" si="70"/>
        <v>0</v>
      </c>
      <c r="AF107" s="3">
        <f t="shared" si="70"/>
        <v>35.854362793610797</v>
      </c>
      <c r="AG107" s="3">
        <f t="shared" si="70"/>
        <v>32.0099899467643</v>
      </c>
      <c r="AH107" s="3">
        <f t="shared" si="70"/>
        <v>31.795869546037999</v>
      </c>
      <c r="AI107" s="3">
        <f t="shared" si="70"/>
        <v>31.830565739601099</v>
      </c>
      <c r="AJ107" s="3">
        <f t="shared" si="70"/>
        <v>31.840429855660599</v>
      </c>
      <c r="AK107" s="3">
        <f t="shared" si="70"/>
        <v>31.829026783372999</v>
      </c>
      <c r="AL107" s="3">
        <f t="shared" si="70"/>
        <v>31.792776127372001</v>
      </c>
      <c r="AM107" s="3">
        <f t="shared" si="70"/>
        <v>32.086145215694401</v>
      </c>
      <c r="AN107" s="3">
        <f t="shared" si="70"/>
        <v>32.359507130207199</v>
      </c>
      <c r="AO107" s="3">
        <f t="shared" si="70"/>
        <v>32.784637506952798</v>
      </c>
      <c r="AP107" s="3">
        <f t="shared" si="70"/>
        <v>33.103305154835098</v>
      </c>
      <c r="AQ107" s="3">
        <f t="shared" si="70"/>
        <v>33.597672544718499</v>
      </c>
      <c r="AR107" s="3">
        <f t="shared" si="70"/>
        <v>34.272540618699097</v>
      </c>
      <c r="AS107" s="3">
        <f t="shared" si="70"/>
        <v>35.075428601084099</v>
      </c>
      <c r="AT107" s="3">
        <f t="shared" si="70"/>
        <v>35.956221589404002</v>
      </c>
      <c r="AU107" s="3">
        <f t="shared" si="70"/>
        <v>36.866655008982903</v>
      </c>
      <c r="AV107" s="3">
        <f t="shared" si="70"/>
        <v>37.760652598781803</v>
      </c>
      <c r="AW107" s="3">
        <f t="shared" si="70"/>
        <v>38.595019002993688</v>
      </c>
      <c r="AX107" s="3">
        <f t="shared" si="70"/>
        <v>39.330580993921501</v>
      </c>
      <c r="AY107" s="3">
        <f t="shared" si="70"/>
        <v>39.933564882125907</v>
      </c>
      <c r="AZ107" s="3">
        <f t="shared" si="70"/>
        <v>40.395963039829098</v>
      </c>
      <c r="BA107" s="3">
        <f t="shared" si="70"/>
        <v>40.700960527318003</v>
      </c>
      <c r="BB107" s="3">
        <f t="shared" si="70"/>
        <v>41.035307862440803</v>
      </c>
      <c r="BC107" s="3">
        <f t="shared" si="70"/>
        <v>41.348219722067597</v>
      </c>
      <c r="BD107" s="3">
        <f t="shared" si="70"/>
        <v>41.612612547342202</v>
      </c>
      <c r="BE107" s="3">
        <f t="shared" si="70"/>
        <v>41.822155588116587</v>
      </c>
      <c r="BF107" s="3">
        <f t="shared" si="70"/>
        <v>41.967389141665201</v>
      </c>
      <c r="BG107" s="3">
        <f t="shared" si="70"/>
        <v>42.103603882226913</v>
      </c>
      <c r="BH107" s="3">
        <f t="shared" si="70"/>
        <v>42.229285911143997</v>
      </c>
      <c r="BI107" s="3">
        <f t="shared" si="70"/>
        <v>42.344629337886097</v>
      </c>
      <c r="BJ107" s="3">
        <f t="shared" si="70"/>
        <v>42.447320672024901</v>
      </c>
      <c r="BK107" s="3">
        <f t="shared" si="70"/>
        <v>42.533648655864702</v>
      </c>
      <c r="BL107" s="3">
        <f t="shared" si="70"/>
        <v>42.600205606070404</v>
      </c>
      <c r="BM107" s="3">
        <f t="shared" si="70"/>
        <v>42.643867159381898</v>
      </c>
      <c r="BN107" s="3">
        <f t="shared" si="70"/>
        <v>42.663827904655307</v>
      </c>
      <c r="BO107" s="3">
        <f t="shared" si="70"/>
        <v>42.658675716339097</v>
      </c>
      <c r="BP107" s="3">
        <f t="shared" si="70"/>
        <v>42.625162630966599</v>
      </c>
      <c r="BQ107" s="3">
        <f t="shared" si="70"/>
        <v>42.6066533675667</v>
      </c>
      <c r="BR107" s="3">
        <f t="shared" si="70"/>
        <v>42.6035381329432</v>
      </c>
      <c r="BS107" s="3">
        <f t="shared" si="70"/>
        <v>42.6176868415778</v>
      </c>
      <c r="BT107" s="3">
        <f t="shared" si="71"/>
        <v>42.651298169632803</v>
      </c>
      <c r="BU107" s="3">
        <f t="shared" si="71"/>
        <v>42.701783951901298</v>
      </c>
      <c r="BV107" s="3">
        <f t="shared" si="71"/>
        <v>42.768856227640804</v>
      </c>
      <c r="BW107" s="3">
        <f t="shared" si="71"/>
        <v>42.856576647828888</v>
      </c>
      <c r="BX107" s="3">
        <f t="shared" si="71"/>
        <v>42.964344005357702</v>
      </c>
      <c r="BY107" s="3">
        <f t="shared" si="71"/>
        <v>43.093461171584593</v>
      </c>
      <c r="BZ107" s="3">
        <f t="shared" si="71"/>
        <v>43.244305099549003</v>
      </c>
      <c r="CA107" s="3">
        <f t="shared" si="71"/>
        <v>43.416546961816302</v>
      </c>
      <c r="CB107" s="3">
        <f t="shared" si="71"/>
        <v>43.611708206932299</v>
      </c>
      <c r="CC107" s="3">
        <f t="shared" si="71"/>
        <v>43.830678038818803</v>
      </c>
      <c r="CD107" s="3">
        <f t="shared" si="71"/>
        <v>44.071873643527901</v>
      </c>
    </row>
    <row r="108" spans="1:82" s="3" customFormat="1" x14ac:dyDescent="0.2">
      <c r="F108" s="3" t="s">
        <v>56</v>
      </c>
      <c r="G108" s="3">
        <f>O343</f>
        <v>0</v>
      </c>
      <c r="H108" s="3">
        <f t="shared" si="70"/>
        <v>0</v>
      </c>
      <c r="I108" s="3">
        <f t="shared" si="70"/>
        <v>0</v>
      </c>
      <c r="J108" s="3">
        <f t="shared" si="70"/>
        <v>0</v>
      </c>
      <c r="K108" s="3">
        <f t="shared" si="70"/>
        <v>0</v>
      </c>
      <c r="L108" s="3">
        <f t="shared" si="70"/>
        <v>0</v>
      </c>
      <c r="M108" s="3">
        <f t="shared" si="70"/>
        <v>0</v>
      </c>
      <c r="N108" s="3">
        <f t="shared" si="70"/>
        <v>0</v>
      </c>
      <c r="O108" s="3">
        <f t="shared" si="70"/>
        <v>0</v>
      </c>
      <c r="P108" s="3">
        <f t="shared" si="70"/>
        <v>0</v>
      </c>
      <c r="Q108" s="3">
        <f t="shared" si="70"/>
        <v>0</v>
      </c>
      <c r="R108" s="3">
        <f t="shared" si="70"/>
        <v>0</v>
      </c>
      <c r="S108" s="3">
        <f t="shared" si="70"/>
        <v>0</v>
      </c>
      <c r="T108" s="3">
        <f t="shared" si="70"/>
        <v>0</v>
      </c>
      <c r="U108" s="3">
        <f t="shared" si="70"/>
        <v>0</v>
      </c>
      <c r="V108" s="3">
        <f t="shared" si="70"/>
        <v>0</v>
      </c>
      <c r="W108" s="3">
        <f t="shared" si="70"/>
        <v>0</v>
      </c>
      <c r="X108" s="3">
        <f t="shared" si="70"/>
        <v>0</v>
      </c>
      <c r="Y108" s="3">
        <f t="shared" si="70"/>
        <v>0</v>
      </c>
      <c r="Z108" s="3">
        <f t="shared" si="70"/>
        <v>0</v>
      </c>
      <c r="AA108" s="3">
        <f t="shared" si="70"/>
        <v>0</v>
      </c>
      <c r="AB108" s="3">
        <f t="shared" si="70"/>
        <v>0</v>
      </c>
      <c r="AC108" s="3">
        <f t="shared" si="70"/>
        <v>0</v>
      </c>
      <c r="AD108" s="3">
        <f t="shared" si="70"/>
        <v>0</v>
      </c>
      <c r="AE108" s="3">
        <f t="shared" si="70"/>
        <v>0</v>
      </c>
      <c r="AF108" s="3">
        <f t="shared" si="70"/>
        <v>0</v>
      </c>
      <c r="AG108" s="3">
        <f t="shared" si="70"/>
        <v>0</v>
      </c>
      <c r="AH108" s="3">
        <f t="shared" si="70"/>
        <v>0</v>
      </c>
      <c r="AI108" s="3">
        <f t="shared" si="70"/>
        <v>0</v>
      </c>
      <c r="AJ108" s="3">
        <f t="shared" si="70"/>
        <v>0</v>
      </c>
      <c r="AK108" s="3">
        <f t="shared" si="70"/>
        <v>0</v>
      </c>
      <c r="AL108" s="3">
        <f t="shared" si="70"/>
        <v>0</v>
      </c>
      <c r="AM108" s="3">
        <f t="shared" si="70"/>
        <v>0</v>
      </c>
      <c r="AN108" s="3">
        <f t="shared" si="70"/>
        <v>0</v>
      </c>
      <c r="AO108" s="3">
        <f t="shared" si="70"/>
        <v>0</v>
      </c>
      <c r="AP108" s="3">
        <f t="shared" si="70"/>
        <v>0</v>
      </c>
      <c r="AQ108" s="3">
        <f t="shared" si="70"/>
        <v>0</v>
      </c>
      <c r="AR108" s="3">
        <f t="shared" si="70"/>
        <v>0</v>
      </c>
      <c r="AS108" s="3">
        <f t="shared" si="70"/>
        <v>0</v>
      </c>
      <c r="AT108" s="3">
        <f t="shared" si="70"/>
        <v>0</v>
      </c>
      <c r="AU108" s="3">
        <f t="shared" si="70"/>
        <v>0</v>
      </c>
      <c r="AV108" s="3">
        <f t="shared" si="70"/>
        <v>0</v>
      </c>
      <c r="AW108" s="3">
        <f t="shared" si="70"/>
        <v>0</v>
      </c>
      <c r="AX108" s="3">
        <f t="shared" si="70"/>
        <v>0</v>
      </c>
      <c r="AY108" s="3">
        <f t="shared" si="70"/>
        <v>0</v>
      </c>
      <c r="AZ108" s="3">
        <f t="shared" si="70"/>
        <v>0</v>
      </c>
      <c r="BA108" s="3">
        <f t="shared" si="70"/>
        <v>0</v>
      </c>
      <c r="BB108" s="3">
        <f t="shared" si="70"/>
        <v>0</v>
      </c>
      <c r="BC108" s="3">
        <f t="shared" si="70"/>
        <v>0</v>
      </c>
      <c r="BD108" s="3">
        <f t="shared" si="70"/>
        <v>0</v>
      </c>
      <c r="BE108" s="3">
        <f t="shared" si="70"/>
        <v>0</v>
      </c>
      <c r="BF108" s="3">
        <f t="shared" si="70"/>
        <v>0</v>
      </c>
      <c r="BG108" s="3">
        <f t="shared" si="70"/>
        <v>0</v>
      </c>
      <c r="BH108" s="3">
        <f t="shared" si="70"/>
        <v>0</v>
      </c>
      <c r="BI108" s="3">
        <f t="shared" si="70"/>
        <v>0</v>
      </c>
      <c r="BJ108" s="3">
        <f t="shared" si="70"/>
        <v>0</v>
      </c>
      <c r="BK108" s="3">
        <f t="shared" si="70"/>
        <v>0</v>
      </c>
      <c r="BL108" s="3">
        <f t="shared" si="70"/>
        <v>0</v>
      </c>
      <c r="BM108" s="3">
        <f t="shared" si="70"/>
        <v>0</v>
      </c>
      <c r="BN108" s="3">
        <f t="shared" si="70"/>
        <v>0</v>
      </c>
      <c r="BO108" s="3">
        <f t="shared" si="70"/>
        <v>0</v>
      </c>
      <c r="BP108" s="3">
        <f t="shared" si="70"/>
        <v>0</v>
      </c>
      <c r="BQ108" s="3">
        <f t="shared" si="70"/>
        <v>0</v>
      </c>
      <c r="BR108" s="3">
        <f t="shared" si="70"/>
        <v>0</v>
      </c>
      <c r="BS108" s="3">
        <f t="shared" ref="BS108:CD111" si="72">CA343</f>
        <v>0</v>
      </c>
      <c r="BT108" s="3">
        <f t="shared" si="72"/>
        <v>0</v>
      </c>
      <c r="BU108" s="3">
        <f t="shared" si="72"/>
        <v>0</v>
      </c>
      <c r="BV108" s="3">
        <f t="shared" si="72"/>
        <v>0</v>
      </c>
      <c r="BW108" s="3">
        <f t="shared" si="72"/>
        <v>0</v>
      </c>
      <c r="BX108" s="3">
        <f t="shared" si="72"/>
        <v>0</v>
      </c>
      <c r="BY108" s="3">
        <f t="shared" si="72"/>
        <v>0</v>
      </c>
      <c r="BZ108" s="3">
        <f t="shared" si="72"/>
        <v>0</v>
      </c>
      <c r="CA108" s="3">
        <f t="shared" si="72"/>
        <v>0</v>
      </c>
      <c r="CB108" s="3">
        <f t="shared" si="72"/>
        <v>0</v>
      </c>
      <c r="CC108" s="3">
        <f t="shared" si="72"/>
        <v>0</v>
      </c>
      <c r="CD108" s="3">
        <f t="shared" si="72"/>
        <v>0</v>
      </c>
    </row>
    <row r="109" spans="1:82" s="3" customFormat="1" x14ac:dyDescent="0.2">
      <c r="F109" s="3" t="s">
        <v>8</v>
      </c>
      <c r="G109" s="3">
        <f>O344</f>
        <v>0</v>
      </c>
      <c r="H109" s="3">
        <f t="shared" ref="H109:BS112" si="73">P344</f>
        <v>0</v>
      </c>
      <c r="I109" s="3">
        <f t="shared" si="73"/>
        <v>0</v>
      </c>
      <c r="J109" s="3">
        <f t="shared" si="73"/>
        <v>0</v>
      </c>
      <c r="K109" s="3">
        <f t="shared" si="73"/>
        <v>0</v>
      </c>
      <c r="L109" s="3">
        <f t="shared" si="73"/>
        <v>0</v>
      </c>
      <c r="M109" s="3">
        <f t="shared" si="73"/>
        <v>0</v>
      </c>
      <c r="N109" s="3">
        <f t="shared" si="73"/>
        <v>0</v>
      </c>
      <c r="O109" s="3">
        <f t="shared" si="73"/>
        <v>0</v>
      </c>
      <c r="P109" s="3">
        <f t="shared" si="73"/>
        <v>0</v>
      </c>
      <c r="Q109" s="3">
        <f t="shared" si="73"/>
        <v>0</v>
      </c>
      <c r="R109" s="3">
        <f t="shared" si="73"/>
        <v>0</v>
      </c>
      <c r="S109" s="3">
        <f t="shared" si="73"/>
        <v>0</v>
      </c>
      <c r="T109" s="3">
        <f t="shared" si="73"/>
        <v>0</v>
      </c>
      <c r="U109" s="3">
        <f t="shared" si="73"/>
        <v>0</v>
      </c>
      <c r="V109" s="3">
        <f t="shared" si="73"/>
        <v>0</v>
      </c>
      <c r="W109" s="3">
        <f t="shared" si="73"/>
        <v>0</v>
      </c>
      <c r="X109" s="3">
        <f t="shared" si="73"/>
        <v>0</v>
      </c>
      <c r="Y109" s="3">
        <f t="shared" si="73"/>
        <v>0</v>
      </c>
      <c r="Z109" s="3">
        <f t="shared" si="73"/>
        <v>0</v>
      </c>
      <c r="AA109" s="3">
        <f t="shared" si="73"/>
        <v>0</v>
      </c>
      <c r="AB109" s="3">
        <f t="shared" si="73"/>
        <v>0</v>
      </c>
      <c r="AC109" s="3">
        <f t="shared" si="73"/>
        <v>0</v>
      </c>
      <c r="AD109" s="3">
        <f t="shared" si="73"/>
        <v>0</v>
      </c>
      <c r="AE109" s="3">
        <f t="shared" si="73"/>
        <v>0</v>
      </c>
      <c r="AF109" s="3">
        <f t="shared" si="73"/>
        <v>0</v>
      </c>
      <c r="AG109" s="3">
        <f t="shared" si="73"/>
        <v>0</v>
      </c>
      <c r="AH109" s="3">
        <f t="shared" si="73"/>
        <v>0</v>
      </c>
      <c r="AI109" s="3">
        <f t="shared" si="73"/>
        <v>0</v>
      </c>
      <c r="AJ109" s="3">
        <f t="shared" si="73"/>
        <v>0</v>
      </c>
      <c r="AK109" s="3">
        <f t="shared" si="73"/>
        <v>0</v>
      </c>
      <c r="AL109" s="3">
        <f t="shared" si="73"/>
        <v>0</v>
      </c>
      <c r="AM109" s="3">
        <f t="shared" si="73"/>
        <v>0</v>
      </c>
      <c r="AN109" s="3">
        <f t="shared" si="73"/>
        <v>0</v>
      </c>
      <c r="AO109" s="3">
        <f t="shared" si="73"/>
        <v>0</v>
      </c>
      <c r="AP109" s="3">
        <f t="shared" si="73"/>
        <v>0</v>
      </c>
      <c r="AQ109" s="3">
        <f t="shared" si="73"/>
        <v>0</v>
      </c>
      <c r="AR109" s="3">
        <f t="shared" si="73"/>
        <v>0</v>
      </c>
      <c r="AS109" s="3">
        <f t="shared" si="73"/>
        <v>0</v>
      </c>
      <c r="AT109" s="3">
        <f t="shared" si="73"/>
        <v>0</v>
      </c>
      <c r="AU109" s="3">
        <f t="shared" si="73"/>
        <v>0</v>
      </c>
      <c r="AV109" s="3">
        <f t="shared" si="73"/>
        <v>0</v>
      </c>
      <c r="AW109" s="3">
        <f t="shared" si="73"/>
        <v>0</v>
      </c>
      <c r="AX109" s="3">
        <f t="shared" si="73"/>
        <v>0</v>
      </c>
      <c r="AY109" s="3">
        <f t="shared" si="73"/>
        <v>0</v>
      </c>
      <c r="AZ109" s="3">
        <f t="shared" si="73"/>
        <v>0</v>
      </c>
      <c r="BA109" s="3">
        <f t="shared" si="73"/>
        <v>0</v>
      </c>
      <c r="BB109" s="3">
        <f t="shared" si="73"/>
        <v>0</v>
      </c>
      <c r="BC109" s="3">
        <f t="shared" si="73"/>
        <v>0</v>
      </c>
      <c r="BD109" s="3">
        <f t="shared" si="73"/>
        <v>0</v>
      </c>
      <c r="BE109" s="3">
        <f t="shared" si="73"/>
        <v>0</v>
      </c>
      <c r="BF109" s="3">
        <f t="shared" si="73"/>
        <v>0</v>
      </c>
      <c r="BG109" s="3">
        <f t="shared" si="73"/>
        <v>0</v>
      </c>
      <c r="BH109" s="3">
        <f t="shared" si="73"/>
        <v>0</v>
      </c>
      <c r="BI109" s="3">
        <f t="shared" si="73"/>
        <v>0</v>
      </c>
      <c r="BJ109" s="3">
        <f t="shared" si="73"/>
        <v>0</v>
      </c>
      <c r="BK109" s="3">
        <f t="shared" si="73"/>
        <v>0</v>
      </c>
      <c r="BL109" s="3">
        <f t="shared" si="73"/>
        <v>0</v>
      </c>
      <c r="BM109" s="3">
        <f t="shared" si="73"/>
        <v>0</v>
      </c>
      <c r="BN109" s="3">
        <f t="shared" si="73"/>
        <v>0</v>
      </c>
      <c r="BO109" s="3">
        <f t="shared" si="73"/>
        <v>0</v>
      </c>
      <c r="BP109" s="3">
        <f t="shared" si="73"/>
        <v>0</v>
      </c>
      <c r="BQ109" s="3">
        <f t="shared" si="73"/>
        <v>0</v>
      </c>
      <c r="BR109" s="3">
        <f t="shared" si="73"/>
        <v>0</v>
      </c>
      <c r="BS109" s="3">
        <f t="shared" si="73"/>
        <v>0</v>
      </c>
      <c r="BT109" s="3">
        <f t="shared" si="72"/>
        <v>0</v>
      </c>
      <c r="BU109" s="3">
        <f t="shared" si="72"/>
        <v>0</v>
      </c>
      <c r="BV109" s="3">
        <f t="shared" si="72"/>
        <v>0</v>
      </c>
      <c r="BW109" s="3">
        <f t="shared" si="72"/>
        <v>0</v>
      </c>
      <c r="BX109" s="3">
        <f t="shared" si="72"/>
        <v>0</v>
      </c>
      <c r="BY109" s="3">
        <f t="shared" si="72"/>
        <v>0</v>
      </c>
      <c r="BZ109" s="3">
        <f t="shared" si="72"/>
        <v>0</v>
      </c>
      <c r="CA109" s="3">
        <f t="shared" si="72"/>
        <v>0</v>
      </c>
      <c r="CB109" s="3">
        <f t="shared" si="72"/>
        <v>0</v>
      </c>
      <c r="CC109" s="3">
        <f t="shared" si="72"/>
        <v>0</v>
      </c>
      <c r="CD109" s="3">
        <f t="shared" si="72"/>
        <v>0</v>
      </c>
    </row>
    <row r="110" spans="1:82" s="3" customFormat="1" x14ac:dyDescent="0.2">
      <c r="F110" s="3" t="s">
        <v>57</v>
      </c>
      <c r="G110" s="3">
        <f>O345</f>
        <v>0</v>
      </c>
      <c r="H110" s="3">
        <f t="shared" si="73"/>
        <v>0</v>
      </c>
      <c r="I110" s="3">
        <f t="shared" si="73"/>
        <v>0</v>
      </c>
      <c r="J110" s="3">
        <f t="shared" si="73"/>
        <v>0</v>
      </c>
      <c r="K110" s="3">
        <f t="shared" si="73"/>
        <v>0</v>
      </c>
      <c r="L110" s="3">
        <f t="shared" si="73"/>
        <v>0</v>
      </c>
      <c r="M110" s="3">
        <f t="shared" si="73"/>
        <v>0</v>
      </c>
      <c r="N110" s="3">
        <f t="shared" si="73"/>
        <v>0</v>
      </c>
      <c r="O110" s="3">
        <f t="shared" si="73"/>
        <v>0</v>
      </c>
      <c r="P110" s="3">
        <f t="shared" si="73"/>
        <v>0</v>
      </c>
      <c r="Q110" s="3">
        <f t="shared" si="73"/>
        <v>0</v>
      </c>
      <c r="R110" s="3">
        <f t="shared" si="73"/>
        <v>0</v>
      </c>
      <c r="S110" s="3">
        <f t="shared" si="73"/>
        <v>0</v>
      </c>
      <c r="T110" s="3">
        <f t="shared" si="73"/>
        <v>0</v>
      </c>
      <c r="U110" s="3">
        <f t="shared" si="73"/>
        <v>0</v>
      </c>
      <c r="V110" s="3">
        <f t="shared" si="73"/>
        <v>0</v>
      </c>
      <c r="W110" s="3">
        <f t="shared" si="73"/>
        <v>0</v>
      </c>
      <c r="X110" s="3">
        <f t="shared" si="73"/>
        <v>0</v>
      </c>
      <c r="Y110" s="3">
        <f t="shared" si="73"/>
        <v>0</v>
      </c>
      <c r="Z110" s="3">
        <f t="shared" si="73"/>
        <v>0</v>
      </c>
      <c r="AA110" s="3">
        <f t="shared" si="73"/>
        <v>0</v>
      </c>
      <c r="AB110" s="3">
        <f t="shared" si="73"/>
        <v>0</v>
      </c>
      <c r="AC110" s="3">
        <f t="shared" si="73"/>
        <v>0</v>
      </c>
      <c r="AD110" s="3">
        <f t="shared" si="73"/>
        <v>0</v>
      </c>
      <c r="AE110" s="3">
        <f t="shared" si="73"/>
        <v>0</v>
      </c>
      <c r="AF110" s="3">
        <f t="shared" si="73"/>
        <v>0</v>
      </c>
      <c r="AG110" s="3">
        <f t="shared" si="73"/>
        <v>0</v>
      </c>
      <c r="AH110" s="3">
        <f t="shared" si="73"/>
        <v>0</v>
      </c>
      <c r="AI110" s="3">
        <f t="shared" si="73"/>
        <v>0</v>
      </c>
      <c r="AJ110" s="3">
        <f t="shared" si="73"/>
        <v>0</v>
      </c>
      <c r="AK110" s="3">
        <f t="shared" si="73"/>
        <v>0</v>
      </c>
      <c r="AL110" s="3">
        <f t="shared" si="73"/>
        <v>0</v>
      </c>
      <c r="AM110" s="3">
        <f t="shared" si="73"/>
        <v>0</v>
      </c>
      <c r="AN110" s="3">
        <f t="shared" si="73"/>
        <v>0</v>
      </c>
      <c r="AO110" s="3">
        <f t="shared" si="73"/>
        <v>0</v>
      </c>
      <c r="AP110" s="3">
        <f t="shared" si="73"/>
        <v>0</v>
      </c>
      <c r="AQ110" s="3">
        <f t="shared" si="73"/>
        <v>0</v>
      </c>
      <c r="AR110" s="3">
        <f t="shared" si="73"/>
        <v>0</v>
      </c>
      <c r="AS110" s="3">
        <f t="shared" si="73"/>
        <v>0</v>
      </c>
      <c r="AT110" s="3">
        <f t="shared" si="73"/>
        <v>0</v>
      </c>
      <c r="AU110" s="3">
        <f t="shared" si="73"/>
        <v>0</v>
      </c>
      <c r="AV110" s="3">
        <f t="shared" si="73"/>
        <v>0</v>
      </c>
      <c r="AW110" s="3">
        <f t="shared" si="73"/>
        <v>0</v>
      </c>
      <c r="AX110" s="3">
        <f t="shared" si="73"/>
        <v>0</v>
      </c>
      <c r="AY110" s="3">
        <f t="shared" si="73"/>
        <v>0</v>
      </c>
      <c r="AZ110" s="3">
        <f t="shared" si="73"/>
        <v>0</v>
      </c>
      <c r="BA110" s="3">
        <f t="shared" si="73"/>
        <v>0</v>
      </c>
      <c r="BB110" s="3">
        <f t="shared" si="73"/>
        <v>0</v>
      </c>
      <c r="BC110" s="3">
        <f t="shared" si="73"/>
        <v>0</v>
      </c>
      <c r="BD110" s="3">
        <f t="shared" si="73"/>
        <v>0</v>
      </c>
      <c r="BE110" s="3">
        <f t="shared" si="73"/>
        <v>0</v>
      </c>
      <c r="BF110" s="3">
        <f t="shared" si="73"/>
        <v>0</v>
      </c>
      <c r="BG110" s="3">
        <f t="shared" si="73"/>
        <v>0</v>
      </c>
      <c r="BH110" s="3">
        <f t="shared" si="73"/>
        <v>0</v>
      </c>
      <c r="BI110" s="3">
        <f t="shared" si="73"/>
        <v>0</v>
      </c>
      <c r="BJ110" s="3">
        <f t="shared" si="73"/>
        <v>0</v>
      </c>
      <c r="BK110" s="3">
        <f t="shared" si="73"/>
        <v>0</v>
      </c>
      <c r="BL110" s="3">
        <f t="shared" si="73"/>
        <v>0</v>
      </c>
      <c r="BM110" s="3">
        <f t="shared" si="73"/>
        <v>0</v>
      </c>
      <c r="BN110" s="3">
        <f t="shared" si="73"/>
        <v>0</v>
      </c>
      <c r="BO110" s="3">
        <f t="shared" si="73"/>
        <v>0</v>
      </c>
      <c r="BP110" s="3">
        <f t="shared" si="73"/>
        <v>0</v>
      </c>
      <c r="BQ110" s="3">
        <f t="shared" si="73"/>
        <v>0</v>
      </c>
      <c r="BR110" s="3">
        <f t="shared" si="73"/>
        <v>0</v>
      </c>
      <c r="BS110" s="3">
        <f t="shared" si="73"/>
        <v>0</v>
      </c>
      <c r="BT110" s="3">
        <f t="shared" si="72"/>
        <v>0</v>
      </c>
      <c r="BU110" s="3">
        <f t="shared" si="72"/>
        <v>0</v>
      </c>
      <c r="BV110" s="3">
        <f t="shared" si="72"/>
        <v>0</v>
      </c>
      <c r="BW110" s="3">
        <f t="shared" si="72"/>
        <v>0</v>
      </c>
      <c r="BX110" s="3">
        <f t="shared" si="72"/>
        <v>0</v>
      </c>
      <c r="BY110" s="3">
        <f t="shared" si="72"/>
        <v>0</v>
      </c>
      <c r="BZ110" s="3">
        <f t="shared" si="72"/>
        <v>0</v>
      </c>
      <c r="CA110" s="3">
        <f t="shared" si="72"/>
        <v>0</v>
      </c>
      <c r="CB110" s="3">
        <f t="shared" si="72"/>
        <v>0</v>
      </c>
      <c r="CC110" s="3">
        <f t="shared" si="72"/>
        <v>0</v>
      </c>
      <c r="CD110" s="3">
        <f t="shared" si="72"/>
        <v>0</v>
      </c>
    </row>
    <row r="111" spans="1:82" s="3" customFormat="1" x14ac:dyDescent="0.2">
      <c r="F111" s="3" t="s">
        <v>58</v>
      </c>
      <c r="G111" s="3">
        <f>O346</f>
        <v>0</v>
      </c>
      <c r="H111" s="3">
        <f t="shared" si="73"/>
        <v>0</v>
      </c>
      <c r="I111" s="3">
        <f t="shared" si="73"/>
        <v>0</v>
      </c>
      <c r="J111" s="3">
        <f t="shared" si="73"/>
        <v>0</v>
      </c>
      <c r="K111" s="3">
        <f t="shared" si="73"/>
        <v>0</v>
      </c>
      <c r="L111" s="3">
        <f t="shared" si="73"/>
        <v>0</v>
      </c>
      <c r="M111" s="3">
        <f t="shared" si="73"/>
        <v>0</v>
      </c>
      <c r="N111" s="3">
        <f t="shared" si="73"/>
        <v>0</v>
      </c>
      <c r="O111" s="3">
        <f t="shared" si="73"/>
        <v>0</v>
      </c>
      <c r="P111" s="3">
        <f t="shared" si="73"/>
        <v>0</v>
      </c>
      <c r="Q111" s="3">
        <f t="shared" si="73"/>
        <v>0</v>
      </c>
      <c r="R111" s="3">
        <f t="shared" si="73"/>
        <v>0</v>
      </c>
      <c r="S111" s="3">
        <f t="shared" si="73"/>
        <v>0</v>
      </c>
      <c r="T111" s="3">
        <f t="shared" si="73"/>
        <v>0</v>
      </c>
      <c r="U111" s="3">
        <f t="shared" si="73"/>
        <v>0</v>
      </c>
      <c r="V111" s="3">
        <f t="shared" si="73"/>
        <v>0</v>
      </c>
      <c r="W111" s="3">
        <f t="shared" si="73"/>
        <v>0</v>
      </c>
      <c r="X111" s="3">
        <f t="shared" si="73"/>
        <v>0</v>
      </c>
      <c r="Y111" s="3">
        <f t="shared" si="73"/>
        <v>0</v>
      </c>
      <c r="Z111" s="3">
        <f t="shared" si="73"/>
        <v>0</v>
      </c>
      <c r="AA111" s="3">
        <f t="shared" si="73"/>
        <v>0</v>
      </c>
      <c r="AB111" s="3">
        <f t="shared" si="73"/>
        <v>0</v>
      </c>
      <c r="AC111" s="3">
        <f t="shared" si="73"/>
        <v>0</v>
      </c>
      <c r="AD111" s="3">
        <f t="shared" si="73"/>
        <v>0</v>
      </c>
      <c r="AE111" s="3">
        <f t="shared" si="73"/>
        <v>0</v>
      </c>
      <c r="AF111" s="3">
        <f t="shared" si="73"/>
        <v>0</v>
      </c>
      <c r="AG111" s="3">
        <f t="shared" si="73"/>
        <v>0</v>
      </c>
      <c r="AH111" s="3">
        <f t="shared" si="73"/>
        <v>0</v>
      </c>
      <c r="AI111" s="3">
        <f t="shared" si="73"/>
        <v>0</v>
      </c>
      <c r="AJ111" s="3">
        <f t="shared" si="73"/>
        <v>0</v>
      </c>
      <c r="AK111" s="3">
        <f t="shared" si="73"/>
        <v>0</v>
      </c>
      <c r="AL111" s="3">
        <f t="shared" si="73"/>
        <v>0</v>
      </c>
      <c r="AM111" s="3">
        <f t="shared" si="73"/>
        <v>0</v>
      </c>
      <c r="AN111" s="3">
        <f t="shared" si="73"/>
        <v>0</v>
      </c>
      <c r="AO111" s="3">
        <f t="shared" si="73"/>
        <v>0</v>
      </c>
      <c r="AP111" s="3">
        <f t="shared" si="73"/>
        <v>0</v>
      </c>
      <c r="AQ111" s="3">
        <f t="shared" si="73"/>
        <v>0</v>
      </c>
      <c r="AR111" s="3">
        <f t="shared" si="73"/>
        <v>0</v>
      </c>
      <c r="AS111" s="3">
        <f t="shared" si="73"/>
        <v>0</v>
      </c>
      <c r="AT111" s="3">
        <f t="shared" si="73"/>
        <v>0</v>
      </c>
      <c r="AU111" s="3">
        <f t="shared" si="73"/>
        <v>0</v>
      </c>
      <c r="AV111" s="3">
        <f t="shared" si="73"/>
        <v>0</v>
      </c>
      <c r="AW111" s="3">
        <f t="shared" si="73"/>
        <v>0</v>
      </c>
      <c r="AX111" s="3">
        <f t="shared" si="73"/>
        <v>0</v>
      </c>
      <c r="AY111" s="3">
        <f t="shared" si="73"/>
        <v>0</v>
      </c>
      <c r="AZ111" s="3">
        <f t="shared" si="73"/>
        <v>0</v>
      </c>
      <c r="BA111" s="3">
        <f t="shared" si="73"/>
        <v>0</v>
      </c>
      <c r="BB111" s="3">
        <f t="shared" si="73"/>
        <v>0</v>
      </c>
      <c r="BC111" s="3">
        <f t="shared" si="73"/>
        <v>0</v>
      </c>
      <c r="BD111" s="3">
        <f t="shared" si="73"/>
        <v>0</v>
      </c>
      <c r="BE111" s="3">
        <f t="shared" si="73"/>
        <v>0</v>
      </c>
      <c r="BF111" s="3">
        <f t="shared" si="73"/>
        <v>0</v>
      </c>
      <c r="BG111" s="3">
        <f t="shared" si="73"/>
        <v>0</v>
      </c>
      <c r="BH111" s="3">
        <f t="shared" si="73"/>
        <v>0</v>
      </c>
      <c r="BI111" s="3">
        <f t="shared" si="73"/>
        <v>0</v>
      </c>
      <c r="BJ111" s="3">
        <f t="shared" si="73"/>
        <v>0</v>
      </c>
      <c r="BK111" s="3">
        <f t="shared" si="73"/>
        <v>0</v>
      </c>
      <c r="BL111" s="3">
        <f t="shared" si="73"/>
        <v>0</v>
      </c>
      <c r="BM111" s="3">
        <f t="shared" si="73"/>
        <v>0</v>
      </c>
      <c r="BN111" s="3">
        <f t="shared" si="73"/>
        <v>0</v>
      </c>
      <c r="BO111" s="3">
        <f t="shared" si="73"/>
        <v>0</v>
      </c>
      <c r="BP111" s="3">
        <f t="shared" si="73"/>
        <v>0</v>
      </c>
      <c r="BQ111" s="3">
        <f t="shared" si="73"/>
        <v>0</v>
      </c>
      <c r="BR111" s="3">
        <f t="shared" si="73"/>
        <v>0</v>
      </c>
      <c r="BS111" s="3">
        <f t="shared" si="73"/>
        <v>0</v>
      </c>
      <c r="BT111" s="3">
        <f t="shared" si="72"/>
        <v>0</v>
      </c>
      <c r="BU111" s="3">
        <f t="shared" si="72"/>
        <v>0</v>
      </c>
      <c r="BV111" s="3">
        <f t="shared" si="72"/>
        <v>0</v>
      </c>
      <c r="BW111" s="3">
        <f t="shared" si="72"/>
        <v>0</v>
      </c>
      <c r="BX111" s="3">
        <f t="shared" si="72"/>
        <v>0</v>
      </c>
      <c r="BY111" s="3">
        <f t="shared" si="72"/>
        <v>0</v>
      </c>
      <c r="BZ111" s="3">
        <f t="shared" si="72"/>
        <v>0</v>
      </c>
      <c r="CA111" s="3">
        <f t="shared" si="72"/>
        <v>0</v>
      </c>
      <c r="CB111" s="3">
        <f t="shared" si="72"/>
        <v>0</v>
      </c>
      <c r="CC111" s="3">
        <f t="shared" si="72"/>
        <v>0</v>
      </c>
      <c r="CD111" s="3">
        <f t="shared" si="72"/>
        <v>0</v>
      </c>
    </row>
    <row r="112" spans="1:82" s="3" customFormat="1" x14ac:dyDescent="0.2">
      <c r="F112" s="3" t="s">
        <v>59</v>
      </c>
      <c r="G112" s="3">
        <f>O347</f>
        <v>0</v>
      </c>
      <c r="H112" s="3">
        <f t="shared" si="73"/>
        <v>0</v>
      </c>
      <c r="I112" s="3">
        <f t="shared" si="73"/>
        <v>0</v>
      </c>
      <c r="J112" s="3">
        <f t="shared" si="73"/>
        <v>0</v>
      </c>
      <c r="K112" s="3">
        <f t="shared" si="73"/>
        <v>0</v>
      </c>
      <c r="L112" s="3">
        <f t="shared" si="73"/>
        <v>0</v>
      </c>
      <c r="M112" s="3">
        <f t="shared" si="73"/>
        <v>0</v>
      </c>
      <c r="N112" s="3">
        <f t="shared" si="73"/>
        <v>0</v>
      </c>
      <c r="O112" s="3">
        <f t="shared" si="73"/>
        <v>0</v>
      </c>
      <c r="P112" s="3">
        <f t="shared" si="73"/>
        <v>0</v>
      </c>
      <c r="Q112" s="3">
        <f t="shared" si="73"/>
        <v>0</v>
      </c>
      <c r="R112" s="3">
        <f t="shared" si="73"/>
        <v>0</v>
      </c>
      <c r="S112" s="3">
        <f t="shared" si="73"/>
        <v>0</v>
      </c>
      <c r="T112" s="3">
        <f t="shared" si="73"/>
        <v>0</v>
      </c>
      <c r="U112" s="3">
        <f t="shared" si="73"/>
        <v>0</v>
      </c>
      <c r="V112" s="3">
        <f t="shared" si="73"/>
        <v>0</v>
      </c>
      <c r="W112" s="3">
        <f t="shared" si="73"/>
        <v>0</v>
      </c>
      <c r="X112" s="3">
        <f t="shared" si="73"/>
        <v>0</v>
      </c>
      <c r="Y112" s="3">
        <f t="shared" si="73"/>
        <v>0</v>
      </c>
      <c r="Z112" s="3">
        <f t="shared" si="73"/>
        <v>0</v>
      </c>
      <c r="AA112" s="3">
        <f t="shared" si="73"/>
        <v>0</v>
      </c>
      <c r="AB112" s="3">
        <f t="shared" si="73"/>
        <v>0</v>
      </c>
      <c r="AC112" s="3">
        <f t="shared" si="73"/>
        <v>0</v>
      </c>
      <c r="AD112" s="3">
        <f t="shared" si="73"/>
        <v>0</v>
      </c>
      <c r="AE112" s="3">
        <f t="shared" si="73"/>
        <v>0</v>
      </c>
      <c r="AF112" s="3">
        <f t="shared" si="73"/>
        <v>0</v>
      </c>
      <c r="AG112" s="3">
        <f t="shared" si="73"/>
        <v>0</v>
      </c>
      <c r="AH112" s="3">
        <f t="shared" si="73"/>
        <v>0</v>
      </c>
      <c r="AI112" s="3">
        <f t="shared" si="73"/>
        <v>0</v>
      </c>
      <c r="AJ112" s="3">
        <f t="shared" si="73"/>
        <v>0</v>
      </c>
      <c r="AK112" s="3">
        <f t="shared" si="73"/>
        <v>0</v>
      </c>
      <c r="AL112" s="3">
        <f t="shared" si="73"/>
        <v>0</v>
      </c>
      <c r="AM112" s="3">
        <f t="shared" si="73"/>
        <v>0</v>
      </c>
      <c r="AN112" s="3">
        <f t="shared" si="73"/>
        <v>0</v>
      </c>
      <c r="AO112" s="3">
        <f t="shared" si="73"/>
        <v>0</v>
      </c>
      <c r="AP112" s="3">
        <f t="shared" si="73"/>
        <v>0</v>
      </c>
      <c r="AQ112" s="3">
        <f t="shared" si="73"/>
        <v>0</v>
      </c>
      <c r="AR112" s="3">
        <f t="shared" si="73"/>
        <v>0</v>
      </c>
      <c r="AS112" s="3">
        <f t="shared" si="73"/>
        <v>0</v>
      </c>
      <c r="AT112" s="3">
        <f t="shared" si="73"/>
        <v>0</v>
      </c>
      <c r="AU112" s="3">
        <f t="shared" si="73"/>
        <v>0</v>
      </c>
      <c r="AV112" s="3">
        <f t="shared" si="73"/>
        <v>0</v>
      </c>
      <c r="AW112" s="3">
        <f t="shared" si="73"/>
        <v>0</v>
      </c>
      <c r="AX112" s="3">
        <f t="shared" si="73"/>
        <v>0</v>
      </c>
      <c r="AY112" s="3">
        <f t="shared" si="73"/>
        <v>0</v>
      </c>
      <c r="AZ112" s="3">
        <f t="shared" si="73"/>
        <v>0</v>
      </c>
      <c r="BA112" s="3">
        <f t="shared" si="73"/>
        <v>0</v>
      </c>
      <c r="BB112" s="3">
        <f t="shared" si="73"/>
        <v>0</v>
      </c>
      <c r="BC112" s="3">
        <f t="shared" si="73"/>
        <v>0</v>
      </c>
      <c r="BD112" s="3">
        <f t="shared" si="73"/>
        <v>0</v>
      </c>
      <c r="BE112" s="3">
        <f t="shared" si="73"/>
        <v>0</v>
      </c>
      <c r="BF112" s="3">
        <f t="shared" si="73"/>
        <v>0</v>
      </c>
      <c r="BG112" s="3">
        <f t="shared" si="73"/>
        <v>0</v>
      </c>
      <c r="BH112" s="3">
        <f t="shared" si="73"/>
        <v>0</v>
      </c>
      <c r="BI112" s="3">
        <f t="shared" si="73"/>
        <v>0</v>
      </c>
      <c r="BJ112" s="3">
        <f t="shared" si="73"/>
        <v>0</v>
      </c>
      <c r="BK112" s="3">
        <f t="shared" si="73"/>
        <v>0</v>
      </c>
      <c r="BL112" s="3">
        <f t="shared" si="73"/>
        <v>0</v>
      </c>
      <c r="BM112" s="3">
        <f t="shared" si="73"/>
        <v>0</v>
      </c>
      <c r="BN112" s="3">
        <f t="shared" si="73"/>
        <v>0</v>
      </c>
      <c r="BO112" s="3">
        <f t="shared" si="73"/>
        <v>0</v>
      </c>
      <c r="BP112" s="3">
        <f t="shared" si="73"/>
        <v>0</v>
      </c>
      <c r="BQ112" s="3">
        <f t="shared" si="73"/>
        <v>0</v>
      </c>
      <c r="BR112" s="3">
        <f t="shared" si="73"/>
        <v>0</v>
      </c>
      <c r="BS112" s="3">
        <f>CA347</f>
        <v>0</v>
      </c>
      <c r="BT112" s="3">
        <f>CB347</f>
        <v>0</v>
      </c>
      <c r="BU112" s="3">
        <f>CC347</f>
        <v>0</v>
      </c>
      <c r="BV112" s="3">
        <f>CD347</f>
        <v>0</v>
      </c>
      <c r="BW112" s="3">
        <f>CE347</f>
        <v>0</v>
      </c>
      <c r="BX112" s="3">
        <f>CF347</f>
        <v>0</v>
      </c>
      <c r="BY112" s="3">
        <f>CG347</f>
        <v>0</v>
      </c>
      <c r="BZ112" s="3">
        <f>CH347</f>
        <v>0</v>
      </c>
      <c r="CA112" s="3">
        <f>CI347</f>
        <v>0</v>
      </c>
      <c r="CB112" s="3">
        <f>CJ347</f>
        <v>0</v>
      </c>
      <c r="CC112" s="3">
        <f>CK347</f>
        <v>0</v>
      </c>
      <c r="CD112" s="3">
        <f>CL347</f>
        <v>0</v>
      </c>
    </row>
    <row r="113" spans="2:82" s="7" customFormat="1" x14ac:dyDescent="0.2">
      <c r="B113" s="7" t="s">
        <v>60</v>
      </c>
      <c r="G113" s="7">
        <f>SUM(G114:G117)</f>
        <v>0</v>
      </c>
      <c r="H113" s="7">
        <f t="shared" ref="H113:BS113" si="74">SUM(H114:H117)</f>
        <v>0</v>
      </c>
      <c r="I113" s="7">
        <f t="shared" si="74"/>
        <v>0</v>
      </c>
      <c r="J113" s="7">
        <f t="shared" si="74"/>
        <v>0</v>
      </c>
      <c r="K113" s="7">
        <f t="shared" si="74"/>
        <v>0</v>
      </c>
      <c r="L113" s="7">
        <f t="shared" si="74"/>
        <v>0</v>
      </c>
      <c r="M113" s="7">
        <f t="shared" si="74"/>
        <v>0</v>
      </c>
      <c r="N113" s="7">
        <f t="shared" si="74"/>
        <v>0</v>
      </c>
      <c r="O113" s="7">
        <f t="shared" si="74"/>
        <v>0</v>
      </c>
      <c r="P113" s="7">
        <f t="shared" si="74"/>
        <v>0</v>
      </c>
      <c r="Q113" s="7">
        <f t="shared" si="74"/>
        <v>0</v>
      </c>
      <c r="R113" s="7">
        <f t="shared" si="74"/>
        <v>0</v>
      </c>
      <c r="S113" s="7">
        <f t="shared" si="74"/>
        <v>0</v>
      </c>
      <c r="T113" s="7">
        <f t="shared" si="74"/>
        <v>0</v>
      </c>
      <c r="U113" s="7">
        <f t="shared" si="74"/>
        <v>0</v>
      </c>
      <c r="V113" s="7">
        <f t="shared" si="74"/>
        <v>0</v>
      </c>
      <c r="W113" s="7">
        <f t="shared" si="74"/>
        <v>0</v>
      </c>
      <c r="X113" s="7">
        <f t="shared" si="74"/>
        <v>0</v>
      </c>
      <c r="Y113" s="7">
        <f t="shared" si="74"/>
        <v>0</v>
      </c>
      <c r="Z113" s="7">
        <f t="shared" si="74"/>
        <v>0</v>
      </c>
      <c r="AA113" s="7">
        <f t="shared" si="74"/>
        <v>0</v>
      </c>
      <c r="AB113" s="7">
        <f t="shared" si="74"/>
        <v>0</v>
      </c>
      <c r="AC113" s="7">
        <f t="shared" si="74"/>
        <v>0</v>
      </c>
      <c r="AD113" s="7">
        <f t="shared" si="74"/>
        <v>0</v>
      </c>
      <c r="AE113" s="7">
        <f t="shared" si="74"/>
        <v>0</v>
      </c>
      <c r="AF113" s="7">
        <f t="shared" si="74"/>
        <v>152.17204867878499</v>
      </c>
      <c r="AG113" s="7">
        <f t="shared" si="74"/>
        <v>154.58919659205301</v>
      </c>
      <c r="AH113" s="7">
        <f t="shared" si="74"/>
        <v>162.65532922887101</v>
      </c>
      <c r="AI113" s="7">
        <f t="shared" si="74"/>
        <v>164.30655555714199</v>
      </c>
      <c r="AJ113" s="7">
        <f t="shared" si="74"/>
        <v>165.97226890461599</v>
      </c>
      <c r="AK113" s="7">
        <f t="shared" si="74"/>
        <v>167.65301065846199</v>
      </c>
      <c r="AL113" s="7">
        <f t="shared" si="74"/>
        <v>169.348591774922</v>
      </c>
      <c r="AM113" s="7">
        <f t="shared" si="74"/>
        <v>172.43085465031899</v>
      </c>
      <c r="AN113" s="7">
        <f t="shared" si="74"/>
        <v>175.56715658745799</v>
      </c>
      <c r="AO113" s="7">
        <f t="shared" si="74"/>
        <v>179.369645918103</v>
      </c>
      <c r="AP113" s="7">
        <f t="shared" si="74"/>
        <v>182.83894289026401</v>
      </c>
      <c r="AQ113" s="7">
        <f t="shared" si="74"/>
        <v>186.850758542656</v>
      </c>
      <c r="AR113" s="7">
        <f t="shared" si="74"/>
        <v>191.57566460410601</v>
      </c>
      <c r="AS113" s="7">
        <f t="shared" si="74"/>
        <v>196.82343349304799</v>
      </c>
      <c r="AT113" s="7">
        <f t="shared" si="74"/>
        <v>202.412399442062</v>
      </c>
      <c r="AU113" s="7">
        <f t="shared" si="74"/>
        <v>208.16779787480201</v>
      </c>
      <c r="AV113" s="7">
        <f t="shared" si="74"/>
        <v>213.922576814096</v>
      </c>
      <c r="AW113" s="7">
        <f t="shared" si="74"/>
        <v>219.520116178054</v>
      </c>
      <c r="AX113" s="7">
        <f t="shared" si="74"/>
        <v>224.81836373917</v>
      </c>
      <c r="AY113" s="7">
        <f t="shared" si="74"/>
        <v>229.69484784500901</v>
      </c>
      <c r="AZ113" s="7">
        <f t="shared" si="74"/>
        <v>234.05395540676699</v>
      </c>
      <c r="BA113" s="7">
        <f t="shared" si="74"/>
        <v>237.82837691380499</v>
      </c>
      <c r="BB113" s="7">
        <f t="shared" si="74"/>
        <v>241.411745139695</v>
      </c>
      <c r="BC113" s="7">
        <f t="shared" si="74"/>
        <v>244.77518488607799</v>
      </c>
      <c r="BD113" s="7">
        <f t="shared" si="74"/>
        <v>247.94368133586099</v>
      </c>
      <c r="BE113" s="7">
        <f t="shared" si="74"/>
        <v>250.88271817551501</v>
      </c>
      <c r="BF113" s="7">
        <f t="shared" si="74"/>
        <v>253.5567447919</v>
      </c>
      <c r="BG113" s="7">
        <f t="shared" si="74"/>
        <v>256.21016361941798</v>
      </c>
      <c r="BH113" s="7">
        <f t="shared" si="74"/>
        <v>258.83303482520989</v>
      </c>
      <c r="BI113" s="7">
        <f t="shared" si="74"/>
        <v>261.41523946244502</v>
      </c>
      <c r="BJ113" s="7">
        <f t="shared" si="74"/>
        <v>263.946059569098</v>
      </c>
      <c r="BK113" s="7">
        <f t="shared" si="74"/>
        <v>266.41430803885697</v>
      </c>
      <c r="BL113" s="7">
        <f t="shared" si="74"/>
        <v>268.80852331999</v>
      </c>
      <c r="BM113" s="7">
        <f t="shared" si="74"/>
        <v>271.11699206685</v>
      </c>
      <c r="BN113" s="7">
        <f t="shared" si="74"/>
        <v>273.32798701100302</v>
      </c>
      <c r="BO113" s="7">
        <f t="shared" si="74"/>
        <v>275.42950105078802</v>
      </c>
      <c r="BP113" s="7">
        <f t="shared" si="74"/>
        <v>277.40915994616898</v>
      </c>
      <c r="BQ113" s="7">
        <f t="shared" si="74"/>
        <v>279.45363623420599</v>
      </c>
      <c r="BR113" s="7">
        <f t="shared" si="74"/>
        <v>281.56416397262399</v>
      </c>
      <c r="BS113" s="7">
        <f t="shared" si="74"/>
        <v>283.74217214519598</v>
      </c>
      <c r="BT113" s="7">
        <f t="shared" ref="BT113:CD113" si="75">SUM(BT114:BT117)</f>
        <v>285.98916791325098</v>
      </c>
      <c r="BU113" s="7">
        <f t="shared" si="75"/>
        <v>288.30621361650901</v>
      </c>
      <c r="BV113" s="7">
        <f t="shared" si="75"/>
        <v>290.69465435507402</v>
      </c>
      <c r="BW113" s="7">
        <f t="shared" si="75"/>
        <v>293.15632936476402</v>
      </c>
      <c r="BX113" s="7">
        <f t="shared" si="75"/>
        <v>295.692649821933</v>
      </c>
      <c r="BY113" s="7">
        <f t="shared" si="75"/>
        <v>298.30527328608002</v>
      </c>
      <c r="BZ113" s="7">
        <f t="shared" si="75"/>
        <v>300.99581519979301</v>
      </c>
      <c r="CA113" s="7">
        <f t="shared" si="75"/>
        <v>303.76587302724801</v>
      </c>
      <c r="CB113" s="7">
        <f t="shared" si="75"/>
        <v>306.61728984036898</v>
      </c>
      <c r="CC113" s="7">
        <f t="shared" si="75"/>
        <v>309.55190161452202</v>
      </c>
      <c r="CD113" s="7">
        <f t="shared" si="75"/>
        <v>312.57135045989702</v>
      </c>
    </row>
    <row r="114" spans="2:82" s="3" customFormat="1" x14ac:dyDescent="0.2">
      <c r="F114" s="3" t="s">
        <v>6</v>
      </c>
      <c r="G114" s="3">
        <f>O348</f>
        <v>0</v>
      </c>
      <c r="H114" s="3">
        <f t="shared" ref="H114:BS117" si="76">P348</f>
        <v>0</v>
      </c>
      <c r="I114" s="3">
        <f t="shared" si="76"/>
        <v>0</v>
      </c>
      <c r="J114" s="3">
        <f t="shared" si="76"/>
        <v>0</v>
      </c>
      <c r="K114" s="3">
        <f t="shared" si="76"/>
        <v>0</v>
      </c>
      <c r="L114" s="3">
        <f t="shared" si="76"/>
        <v>0</v>
      </c>
      <c r="M114" s="3">
        <f t="shared" si="76"/>
        <v>0</v>
      </c>
      <c r="N114" s="3">
        <f t="shared" si="76"/>
        <v>0</v>
      </c>
      <c r="O114" s="3">
        <f t="shared" si="76"/>
        <v>0</v>
      </c>
      <c r="P114" s="3">
        <f t="shared" si="76"/>
        <v>0</v>
      </c>
      <c r="Q114" s="3">
        <f t="shared" si="76"/>
        <v>0</v>
      </c>
      <c r="R114" s="3">
        <f t="shared" si="76"/>
        <v>0</v>
      </c>
      <c r="S114" s="3">
        <f t="shared" si="76"/>
        <v>0</v>
      </c>
      <c r="T114" s="3">
        <f t="shared" si="76"/>
        <v>0</v>
      </c>
      <c r="U114" s="3">
        <f t="shared" si="76"/>
        <v>0</v>
      </c>
      <c r="V114" s="3">
        <f t="shared" si="76"/>
        <v>0</v>
      </c>
      <c r="W114" s="3">
        <f t="shared" si="76"/>
        <v>0</v>
      </c>
      <c r="X114" s="3">
        <f t="shared" si="76"/>
        <v>0</v>
      </c>
      <c r="Y114" s="3">
        <f t="shared" si="76"/>
        <v>0</v>
      </c>
      <c r="Z114" s="3">
        <f t="shared" si="76"/>
        <v>0</v>
      </c>
      <c r="AA114" s="3">
        <f t="shared" si="76"/>
        <v>0</v>
      </c>
      <c r="AB114" s="3">
        <f t="shared" si="76"/>
        <v>0</v>
      </c>
      <c r="AC114" s="3">
        <f t="shared" si="76"/>
        <v>0</v>
      </c>
      <c r="AD114" s="3">
        <f t="shared" si="76"/>
        <v>0</v>
      </c>
      <c r="AE114" s="3">
        <f t="shared" si="76"/>
        <v>0</v>
      </c>
      <c r="AF114" s="3">
        <f t="shared" si="76"/>
        <v>0</v>
      </c>
      <c r="AG114" s="3">
        <f t="shared" si="76"/>
        <v>0</v>
      </c>
      <c r="AH114" s="3">
        <f t="shared" si="76"/>
        <v>0</v>
      </c>
      <c r="AI114" s="3">
        <f t="shared" si="76"/>
        <v>0</v>
      </c>
      <c r="AJ114" s="3">
        <f t="shared" si="76"/>
        <v>0</v>
      </c>
      <c r="AK114" s="3">
        <f t="shared" si="76"/>
        <v>0</v>
      </c>
      <c r="AL114" s="3">
        <f t="shared" si="76"/>
        <v>0</v>
      </c>
      <c r="AM114" s="3">
        <f t="shared" si="76"/>
        <v>0</v>
      </c>
      <c r="AN114" s="3">
        <f t="shared" si="76"/>
        <v>0</v>
      </c>
      <c r="AO114" s="3">
        <f t="shared" si="76"/>
        <v>0</v>
      </c>
      <c r="AP114" s="3">
        <f t="shared" si="76"/>
        <v>0</v>
      </c>
      <c r="AQ114" s="3">
        <f t="shared" si="76"/>
        <v>0</v>
      </c>
      <c r="AR114" s="3">
        <f t="shared" si="76"/>
        <v>0</v>
      </c>
      <c r="AS114" s="3">
        <f t="shared" si="76"/>
        <v>0</v>
      </c>
      <c r="AT114" s="3">
        <f t="shared" si="76"/>
        <v>0</v>
      </c>
      <c r="AU114" s="3">
        <f t="shared" si="76"/>
        <v>0</v>
      </c>
      <c r="AV114" s="3">
        <f t="shared" si="76"/>
        <v>0</v>
      </c>
      <c r="AW114" s="3">
        <f t="shared" si="76"/>
        <v>0</v>
      </c>
      <c r="AX114" s="3">
        <f t="shared" si="76"/>
        <v>0</v>
      </c>
      <c r="AY114" s="3">
        <f t="shared" si="76"/>
        <v>0</v>
      </c>
      <c r="AZ114" s="3">
        <f t="shared" si="76"/>
        <v>0</v>
      </c>
      <c r="BA114" s="3">
        <f t="shared" si="76"/>
        <v>0</v>
      </c>
      <c r="BB114" s="3">
        <f t="shared" si="76"/>
        <v>0</v>
      </c>
      <c r="BC114" s="3">
        <f t="shared" si="76"/>
        <v>0</v>
      </c>
      <c r="BD114" s="3">
        <f t="shared" si="76"/>
        <v>0</v>
      </c>
      <c r="BE114" s="3">
        <f t="shared" si="76"/>
        <v>0</v>
      </c>
      <c r="BF114" s="3">
        <f t="shared" si="76"/>
        <v>0</v>
      </c>
      <c r="BG114" s="3">
        <f t="shared" si="76"/>
        <v>0</v>
      </c>
      <c r="BH114" s="3">
        <f t="shared" si="76"/>
        <v>0</v>
      </c>
      <c r="BI114" s="3">
        <f t="shared" si="76"/>
        <v>0</v>
      </c>
      <c r="BJ114" s="3">
        <f t="shared" si="76"/>
        <v>0</v>
      </c>
      <c r="BK114" s="3">
        <f t="shared" si="76"/>
        <v>0</v>
      </c>
      <c r="BL114" s="3">
        <f t="shared" si="76"/>
        <v>0</v>
      </c>
      <c r="BM114" s="3">
        <f t="shared" si="76"/>
        <v>0</v>
      </c>
      <c r="BN114" s="3">
        <f t="shared" si="76"/>
        <v>0</v>
      </c>
      <c r="BO114" s="3">
        <f t="shared" si="76"/>
        <v>0</v>
      </c>
      <c r="BP114" s="3">
        <f t="shared" si="76"/>
        <v>0</v>
      </c>
      <c r="BQ114" s="3">
        <f t="shared" si="76"/>
        <v>0</v>
      </c>
      <c r="BR114" s="3">
        <f t="shared" si="76"/>
        <v>0</v>
      </c>
      <c r="BS114" s="3">
        <f t="shared" si="76"/>
        <v>0</v>
      </c>
      <c r="BT114" s="3">
        <f t="shared" ref="BT114:CD116" si="77">CB348</f>
        <v>0</v>
      </c>
      <c r="BU114" s="3">
        <f t="shared" si="77"/>
        <v>0</v>
      </c>
      <c r="BV114" s="3">
        <f t="shared" si="77"/>
        <v>0</v>
      </c>
      <c r="BW114" s="3">
        <f t="shared" si="77"/>
        <v>0</v>
      </c>
      <c r="BX114" s="3">
        <f t="shared" si="77"/>
        <v>0</v>
      </c>
      <c r="BY114" s="3">
        <f t="shared" si="77"/>
        <v>0</v>
      </c>
      <c r="BZ114" s="3">
        <f t="shared" si="77"/>
        <v>0</v>
      </c>
      <c r="CA114" s="3">
        <f t="shared" si="77"/>
        <v>0</v>
      </c>
      <c r="CB114" s="3">
        <f t="shared" si="77"/>
        <v>0</v>
      </c>
      <c r="CC114" s="3">
        <f t="shared" si="77"/>
        <v>0</v>
      </c>
      <c r="CD114" s="3">
        <f t="shared" si="77"/>
        <v>0</v>
      </c>
    </row>
    <row r="115" spans="2:82" s="3" customFormat="1" x14ac:dyDescent="0.2">
      <c r="F115" s="3" t="s">
        <v>7</v>
      </c>
      <c r="G115" s="3">
        <f>O349</f>
        <v>0</v>
      </c>
      <c r="H115" s="3">
        <f t="shared" si="76"/>
        <v>0</v>
      </c>
      <c r="I115" s="3">
        <f t="shared" si="76"/>
        <v>0</v>
      </c>
      <c r="J115" s="3">
        <f t="shared" si="76"/>
        <v>0</v>
      </c>
      <c r="K115" s="3">
        <f t="shared" si="76"/>
        <v>0</v>
      </c>
      <c r="L115" s="3">
        <f t="shared" si="76"/>
        <v>0</v>
      </c>
      <c r="M115" s="3">
        <f t="shared" si="76"/>
        <v>0</v>
      </c>
      <c r="N115" s="3">
        <f t="shared" si="76"/>
        <v>0</v>
      </c>
      <c r="O115" s="3">
        <f t="shared" si="76"/>
        <v>0</v>
      </c>
      <c r="P115" s="3">
        <f t="shared" si="76"/>
        <v>0</v>
      </c>
      <c r="Q115" s="3">
        <f t="shared" si="76"/>
        <v>0</v>
      </c>
      <c r="R115" s="3">
        <f t="shared" si="76"/>
        <v>0</v>
      </c>
      <c r="S115" s="3">
        <f t="shared" si="76"/>
        <v>0</v>
      </c>
      <c r="T115" s="3">
        <f t="shared" si="76"/>
        <v>0</v>
      </c>
      <c r="U115" s="3">
        <f t="shared" si="76"/>
        <v>0</v>
      </c>
      <c r="V115" s="3">
        <f t="shared" si="76"/>
        <v>0</v>
      </c>
      <c r="W115" s="3">
        <f t="shared" si="76"/>
        <v>0</v>
      </c>
      <c r="X115" s="3">
        <f t="shared" si="76"/>
        <v>0</v>
      </c>
      <c r="Y115" s="3">
        <f t="shared" si="76"/>
        <v>0</v>
      </c>
      <c r="Z115" s="3">
        <f t="shared" si="76"/>
        <v>0</v>
      </c>
      <c r="AA115" s="3">
        <f t="shared" si="76"/>
        <v>0</v>
      </c>
      <c r="AB115" s="3">
        <f t="shared" si="76"/>
        <v>0</v>
      </c>
      <c r="AC115" s="3">
        <f t="shared" si="76"/>
        <v>0</v>
      </c>
      <c r="AD115" s="3">
        <f t="shared" si="76"/>
        <v>0</v>
      </c>
      <c r="AE115" s="3">
        <f t="shared" si="76"/>
        <v>0</v>
      </c>
      <c r="AF115" s="3">
        <f t="shared" si="76"/>
        <v>152.17204867878499</v>
      </c>
      <c r="AG115" s="3">
        <f t="shared" si="76"/>
        <v>154.58919659205301</v>
      </c>
      <c r="AH115" s="3">
        <f t="shared" si="76"/>
        <v>162.65532922887101</v>
      </c>
      <c r="AI115" s="3">
        <f t="shared" si="76"/>
        <v>164.30655555714199</v>
      </c>
      <c r="AJ115" s="3">
        <f t="shared" si="76"/>
        <v>165.97226890461599</v>
      </c>
      <c r="AK115" s="3">
        <f t="shared" si="76"/>
        <v>167.65301065846199</v>
      </c>
      <c r="AL115" s="3">
        <f t="shared" si="76"/>
        <v>169.348591774922</v>
      </c>
      <c r="AM115" s="3">
        <f t="shared" si="76"/>
        <v>172.43085465031899</v>
      </c>
      <c r="AN115" s="3">
        <f t="shared" si="76"/>
        <v>175.56715658745799</v>
      </c>
      <c r="AO115" s="3">
        <f t="shared" si="76"/>
        <v>179.369645918103</v>
      </c>
      <c r="AP115" s="3">
        <f t="shared" si="76"/>
        <v>182.83894289026401</v>
      </c>
      <c r="AQ115" s="3">
        <f t="shared" si="76"/>
        <v>186.850758542656</v>
      </c>
      <c r="AR115" s="3">
        <f t="shared" si="76"/>
        <v>191.57566460410601</v>
      </c>
      <c r="AS115" s="3">
        <f t="shared" si="76"/>
        <v>196.82343349304799</v>
      </c>
      <c r="AT115" s="3">
        <f t="shared" si="76"/>
        <v>202.412399442062</v>
      </c>
      <c r="AU115" s="3">
        <f t="shared" si="76"/>
        <v>208.16779787480201</v>
      </c>
      <c r="AV115" s="3">
        <f t="shared" si="76"/>
        <v>213.922576814096</v>
      </c>
      <c r="AW115" s="3">
        <f t="shared" si="76"/>
        <v>219.520116178054</v>
      </c>
      <c r="AX115" s="3">
        <f t="shared" si="76"/>
        <v>224.81836373917</v>
      </c>
      <c r="AY115" s="3">
        <f t="shared" si="76"/>
        <v>229.69484784500901</v>
      </c>
      <c r="AZ115" s="3">
        <f t="shared" si="76"/>
        <v>234.05395540676699</v>
      </c>
      <c r="BA115" s="3">
        <f t="shared" si="76"/>
        <v>237.82837691380499</v>
      </c>
      <c r="BB115" s="3">
        <f t="shared" si="76"/>
        <v>241.411745139695</v>
      </c>
      <c r="BC115" s="3">
        <f t="shared" si="76"/>
        <v>244.77518488607799</v>
      </c>
      <c r="BD115" s="3">
        <f t="shared" si="76"/>
        <v>247.94368133586099</v>
      </c>
      <c r="BE115" s="3">
        <f t="shared" si="76"/>
        <v>250.88271817551501</v>
      </c>
      <c r="BF115" s="3">
        <f t="shared" si="76"/>
        <v>253.5567447919</v>
      </c>
      <c r="BG115" s="3">
        <f t="shared" si="76"/>
        <v>256.21016361941798</v>
      </c>
      <c r="BH115" s="3">
        <f t="shared" si="76"/>
        <v>258.83303482520989</v>
      </c>
      <c r="BI115" s="3">
        <f t="shared" si="76"/>
        <v>261.41523946244502</v>
      </c>
      <c r="BJ115" s="3">
        <f t="shared" si="76"/>
        <v>263.946059569098</v>
      </c>
      <c r="BK115" s="3">
        <f t="shared" si="76"/>
        <v>266.41430803885697</v>
      </c>
      <c r="BL115" s="3">
        <f t="shared" si="76"/>
        <v>268.80852331999</v>
      </c>
      <c r="BM115" s="3">
        <f t="shared" si="76"/>
        <v>271.11699206685</v>
      </c>
      <c r="BN115" s="3">
        <f t="shared" si="76"/>
        <v>273.32798701100302</v>
      </c>
      <c r="BO115" s="3">
        <f t="shared" si="76"/>
        <v>275.42950105078802</v>
      </c>
      <c r="BP115" s="3">
        <f t="shared" si="76"/>
        <v>277.40915994616898</v>
      </c>
      <c r="BQ115" s="3">
        <f t="shared" si="76"/>
        <v>279.45363623420599</v>
      </c>
      <c r="BR115" s="3">
        <f t="shared" si="76"/>
        <v>281.56416397262399</v>
      </c>
      <c r="BS115" s="3">
        <f t="shared" si="76"/>
        <v>283.74217214519598</v>
      </c>
      <c r="BT115" s="3">
        <f t="shared" si="77"/>
        <v>285.98916791325098</v>
      </c>
      <c r="BU115" s="3">
        <f t="shared" si="77"/>
        <v>288.30621361650901</v>
      </c>
      <c r="BV115" s="3">
        <f t="shared" si="77"/>
        <v>290.69465435507402</v>
      </c>
      <c r="BW115" s="3">
        <f t="shared" si="77"/>
        <v>293.15632936476402</v>
      </c>
      <c r="BX115" s="3">
        <f t="shared" si="77"/>
        <v>295.692649821933</v>
      </c>
      <c r="BY115" s="3">
        <f t="shared" si="77"/>
        <v>298.30527328608002</v>
      </c>
      <c r="BZ115" s="3">
        <f t="shared" si="77"/>
        <v>300.99581519979301</v>
      </c>
      <c r="CA115" s="3">
        <f t="shared" si="77"/>
        <v>303.76587302724801</v>
      </c>
      <c r="CB115" s="3">
        <f t="shared" si="77"/>
        <v>306.61728984036898</v>
      </c>
      <c r="CC115" s="3">
        <f t="shared" si="77"/>
        <v>309.55190161452202</v>
      </c>
      <c r="CD115" s="3">
        <f t="shared" si="77"/>
        <v>312.57135045989702</v>
      </c>
    </row>
    <row r="116" spans="2:82" s="3" customFormat="1" x14ac:dyDescent="0.2">
      <c r="F116" s="3" t="s">
        <v>56</v>
      </c>
      <c r="G116" s="3">
        <f>O350</f>
        <v>0</v>
      </c>
      <c r="H116" s="3">
        <f t="shared" si="76"/>
        <v>0</v>
      </c>
      <c r="I116" s="3">
        <f t="shared" si="76"/>
        <v>0</v>
      </c>
      <c r="J116" s="3">
        <f t="shared" si="76"/>
        <v>0</v>
      </c>
      <c r="K116" s="3">
        <f t="shared" si="76"/>
        <v>0</v>
      </c>
      <c r="L116" s="3">
        <f t="shared" si="76"/>
        <v>0</v>
      </c>
      <c r="M116" s="3">
        <f t="shared" si="76"/>
        <v>0</v>
      </c>
      <c r="N116" s="3">
        <f t="shared" si="76"/>
        <v>0</v>
      </c>
      <c r="O116" s="3">
        <f t="shared" si="76"/>
        <v>0</v>
      </c>
      <c r="P116" s="3">
        <f t="shared" si="76"/>
        <v>0</v>
      </c>
      <c r="Q116" s="3">
        <f t="shared" si="76"/>
        <v>0</v>
      </c>
      <c r="R116" s="3">
        <f t="shared" si="76"/>
        <v>0</v>
      </c>
      <c r="S116" s="3">
        <f t="shared" si="76"/>
        <v>0</v>
      </c>
      <c r="T116" s="3">
        <f t="shared" si="76"/>
        <v>0</v>
      </c>
      <c r="U116" s="3">
        <f t="shared" si="76"/>
        <v>0</v>
      </c>
      <c r="V116" s="3">
        <f t="shared" si="76"/>
        <v>0</v>
      </c>
      <c r="W116" s="3">
        <f t="shared" si="76"/>
        <v>0</v>
      </c>
      <c r="X116" s="3">
        <f t="shared" si="76"/>
        <v>0</v>
      </c>
      <c r="Y116" s="3">
        <f t="shared" si="76"/>
        <v>0</v>
      </c>
      <c r="Z116" s="3">
        <f t="shared" si="76"/>
        <v>0</v>
      </c>
      <c r="AA116" s="3">
        <f t="shared" si="76"/>
        <v>0</v>
      </c>
      <c r="AB116" s="3">
        <f t="shared" si="76"/>
        <v>0</v>
      </c>
      <c r="AC116" s="3">
        <f t="shared" si="76"/>
        <v>0</v>
      </c>
      <c r="AD116" s="3">
        <f t="shared" si="76"/>
        <v>0</v>
      </c>
      <c r="AE116" s="3">
        <f t="shared" si="76"/>
        <v>0</v>
      </c>
      <c r="AF116" s="3">
        <f t="shared" si="76"/>
        <v>0</v>
      </c>
      <c r="AG116" s="3">
        <f t="shared" si="76"/>
        <v>0</v>
      </c>
      <c r="AH116" s="3">
        <f t="shared" si="76"/>
        <v>0</v>
      </c>
      <c r="AI116" s="3">
        <f t="shared" si="76"/>
        <v>0</v>
      </c>
      <c r="AJ116" s="3">
        <f t="shared" si="76"/>
        <v>0</v>
      </c>
      <c r="AK116" s="3">
        <f t="shared" si="76"/>
        <v>0</v>
      </c>
      <c r="AL116" s="3">
        <f t="shared" si="76"/>
        <v>0</v>
      </c>
      <c r="AM116" s="3">
        <f t="shared" si="76"/>
        <v>0</v>
      </c>
      <c r="AN116" s="3">
        <f t="shared" si="76"/>
        <v>0</v>
      </c>
      <c r="AO116" s="3">
        <f t="shared" si="76"/>
        <v>0</v>
      </c>
      <c r="AP116" s="3">
        <f t="shared" si="76"/>
        <v>0</v>
      </c>
      <c r="AQ116" s="3">
        <f t="shared" si="76"/>
        <v>0</v>
      </c>
      <c r="AR116" s="3">
        <f t="shared" si="76"/>
        <v>0</v>
      </c>
      <c r="AS116" s="3">
        <f t="shared" si="76"/>
        <v>0</v>
      </c>
      <c r="AT116" s="3">
        <f t="shared" si="76"/>
        <v>0</v>
      </c>
      <c r="AU116" s="3">
        <f t="shared" si="76"/>
        <v>0</v>
      </c>
      <c r="AV116" s="3">
        <f t="shared" si="76"/>
        <v>0</v>
      </c>
      <c r="AW116" s="3">
        <f t="shared" si="76"/>
        <v>0</v>
      </c>
      <c r="AX116" s="3">
        <f t="shared" si="76"/>
        <v>0</v>
      </c>
      <c r="AY116" s="3">
        <f t="shared" si="76"/>
        <v>0</v>
      </c>
      <c r="AZ116" s="3">
        <f t="shared" si="76"/>
        <v>0</v>
      </c>
      <c r="BA116" s="3">
        <f t="shared" si="76"/>
        <v>0</v>
      </c>
      <c r="BB116" s="3">
        <f t="shared" si="76"/>
        <v>0</v>
      </c>
      <c r="BC116" s="3">
        <f t="shared" si="76"/>
        <v>0</v>
      </c>
      <c r="BD116" s="3">
        <f t="shared" si="76"/>
        <v>0</v>
      </c>
      <c r="BE116" s="3">
        <f t="shared" si="76"/>
        <v>0</v>
      </c>
      <c r="BF116" s="3">
        <f t="shared" si="76"/>
        <v>0</v>
      </c>
      <c r="BG116" s="3">
        <f t="shared" si="76"/>
        <v>0</v>
      </c>
      <c r="BH116" s="3">
        <f t="shared" si="76"/>
        <v>0</v>
      </c>
      <c r="BI116" s="3">
        <f t="shared" si="76"/>
        <v>0</v>
      </c>
      <c r="BJ116" s="3">
        <f t="shared" si="76"/>
        <v>0</v>
      </c>
      <c r="BK116" s="3">
        <f t="shared" si="76"/>
        <v>0</v>
      </c>
      <c r="BL116" s="3">
        <f t="shared" si="76"/>
        <v>0</v>
      </c>
      <c r="BM116" s="3">
        <f t="shared" si="76"/>
        <v>0</v>
      </c>
      <c r="BN116" s="3">
        <f t="shared" si="76"/>
        <v>0</v>
      </c>
      <c r="BO116" s="3">
        <f t="shared" si="76"/>
        <v>0</v>
      </c>
      <c r="BP116" s="3">
        <f t="shared" si="76"/>
        <v>0</v>
      </c>
      <c r="BQ116" s="3">
        <f t="shared" si="76"/>
        <v>0</v>
      </c>
      <c r="BR116" s="3">
        <f t="shared" si="76"/>
        <v>0</v>
      </c>
      <c r="BS116" s="3">
        <f t="shared" si="76"/>
        <v>0</v>
      </c>
      <c r="BT116" s="3">
        <f t="shared" si="77"/>
        <v>0</v>
      </c>
      <c r="BU116" s="3">
        <f t="shared" si="77"/>
        <v>0</v>
      </c>
      <c r="BV116" s="3">
        <f t="shared" si="77"/>
        <v>0</v>
      </c>
      <c r="BW116" s="3">
        <f t="shared" si="77"/>
        <v>0</v>
      </c>
      <c r="BX116" s="3">
        <f t="shared" si="77"/>
        <v>0</v>
      </c>
      <c r="BY116" s="3">
        <f t="shared" si="77"/>
        <v>0</v>
      </c>
      <c r="BZ116" s="3">
        <f t="shared" si="77"/>
        <v>0</v>
      </c>
      <c r="CA116" s="3">
        <f t="shared" si="77"/>
        <v>0</v>
      </c>
      <c r="CB116" s="3">
        <f t="shared" si="77"/>
        <v>0</v>
      </c>
      <c r="CC116" s="3">
        <f t="shared" si="77"/>
        <v>0</v>
      </c>
      <c r="CD116" s="3">
        <f t="shared" si="77"/>
        <v>0</v>
      </c>
    </row>
    <row r="117" spans="2:82" s="3" customFormat="1" x14ac:dyDescent="0.2">
      <c r="F117" s="3" t="s">
        <v>59</v>
      </c>
      <c r="G117" s="3">
        <f>O351</f>
        <v>0</v>
      </c>
      <c r="H117" s="3">
        <f t="shared" si="76"/>
        <v>0</v>
      </c>
      <c r="I117" s="3">
        <f t="shared" si="76"/>
        <v>0</v>
      </c>
      <c r="J117" s="3">
        <f t="shared" si="76"/>
        <v>0</v>
      </c>
      <c r="K117" s="3">
        <f t="shared" si="76"/>
        <v>0</v>
      </c>
      <c r="L117" s="3">
        <f t="shared" si="76"/>
        <v>0</v>
      </c>
      <c r="M117" s="3">
        <f t="shared" si="76"/>
        <v>0</v>
      </c>
      <c r="N117" s="3">
        <f t="shared" si="76"/>
        <v>0</v>
      </c>
      <c r="O117" s="3">
        <f t="shared" si="76"/>
        <v>0</v>
      </c>
      <c r="P117" s="3">
        <f t="shared" si="76"/>
        <v>0</v>
      </c>
      <c r="Q117" s="3">
        <f t="shared" si="76"/>
        <v>0</v>
      </c>
      <c r="R117" s="3">
        <f t="shared" si="76"/>
        <v>0</v>
      </c>
      <c r="S117" s="3">
        <f t="shared" si="76"/>
        <v>0</v>
      </c>
      <c r="T117" s="3">
        <f t="shared" si="76"/>
        <v>0</v>
      </c>
      <c r="U117" s="3">
        <f t="shared" si="76"/>
        <v>0</v>
      </c>
      <c r="V117" s="3">
        <f t="shared" si="76"/>
        <v>0</v>
      </c>
      <c r="W117" s="3">
        <f t="shared" si="76"/>
        <v>0</v>
      </c>
      <c r="X117" s="3">
        <f t="shared" si="76"/>
        <v>0</v>
      </c>
      <c r="Y117" s="3">
        <f t="shared" si="76"/>
        <v>0</v>
      </c>
      <c r="Z117" s="3">
        <f t="shared" si="76"/>
        <v>0</v>
      </c>
      <c r="AA117" s="3">
        <f t="shared" si="76"/>
        <v>0</v>
      </c>
      <c r="AB117" s="3">
        <f t="shared" si="76"/>
        <v>0</v>
      </c>
      <c r="AC117" s="3">
        <f t="shared" si="76"/>
        <v>0</v>
      </c>
      <c r="AD117" s="3">
        <f t="shared" si="76"/>
        <v>0</v>
      </c>
      <c r="AE117" s="3">
        <f t="shared" si="76"/>
        <v>0</v>
      </c>
      <c r="AF117" s="3">
        <f t="shared" si="76"/>
        <v>0</v>
      </c>
      <c r="AG117" s="3">
        <f t="shared" si="76"/>
        <v>0</v>
      </c>
      <c r="AH117" s="3">
        <f t="shared" si="76"/>
        <v>0</v>
      </c>
      <c r="AI117" s="3">
        <f t="shared" si="76"/>
        <v>0</v>
      </c>
      <c r="AJ117" s="3">
        <f t="shared" si="76"/>
        <v>0</v>
      </c>
      <c r="AK117" s="3">
        <f t="shared" si="76"/>
        <v>0</v>
      </c>
      <c r="AL117" s="3">
        <f t="shared" si="76"/>
        <v>0</v>
      </c>
      <c r="AM117" s="3">
        <f t="shared" si="76"/>
        <v>0</v>
      </c>
      <c r="AN117" s="3">
        <f t="shared" si="76"/>
        <v>0</v>
      </c>
      <c r="AO117" s="3">
        <f t="shared" si="76"/>
        <v>0</v>
      </c>
      <c r="AP117" s="3">
        <f t="shared" si="76"/>
        <v>0</v>
      </c>
      <c r="AQ117" s="3">
        <f t="shared" si="76"/>
        <v>0</v>
      </c>
      <c r="AR117" s="3">
        <f t="shared" si="76"/>
        <v>0</v>
      </c>
      <c r="AS117" s="3">
        <f t="shared" si="76"/>
        <v>0</v>
      </c>
      <c r="AT117" s="3">
        <f t="shared" si="76"/>
        <v>0</v>
      </c>
      <c r="AU117" s="3">
        <f t="shared" si="76"/>
        <v>0</v>
      </c>
      <c r="AV117" s="3">
        <f t="shared" si="76"/>
        <v>0</v>
      </c>
      <c r="AW117" s="3">
        <f t="shared" si="76"/>
        <v>0</v>
      </c>
      <c r="AX117" s="3">
        <f t="shared" si="76"/>
        <v>0</v>
      </c>
      <c r="AY117" s="3">
        <f t="shared" si="76"/>
        <v>0</v>
      </c>
      <c r="AZ117" s="3">
        <f t="shared" si="76"/>
        <v>0</v>
      </c>
      <c r="BA117" s="3">
        <f t="shared" si="76"/>
        <v>0</v>
      </c>
      <c r="BB117" s="3">
        <f t="shared" si="76"/>
        <v>0</v>
      </c>
      <c r="BC117" s="3">
        <f t="shared" si="76"/>
        <v>0</v>
      </c>
      <c r="BD117" s="3">
        <f t="shared" si="76"/>
        <v>0</v>
      </c>
      <c r="BE117" s="3">
        <f t="shared" si="76"/>
        <v>0</v>
      </c>
      <c r="BF117" s="3">
        <f t="shared" si="76"/>
        <v>0</v>
      </c>
      <c r="BG117" s="3">
        <f t="shared" si="76"/>
        <v>0</v>
      </c>
      <c r="BH117" s="3">
        <f t="shared" si="76"/>
        <v>0</v>
      </c>
      <c r="BI117" s="3">
        <f t="shared" si="76"/>
        <v>0</v>
      </c>
      <c r="BJ117" s="3">
        <f t="shared" si="76"/>
        <v>0</v>
      </c>
      <c r="BK117" s="3">
        <f t="shared" si="76"/>
        <v>0</v>
      </c>
      <c r="BL117" s="3">
        <f t="shared" si="76"/>
        <v>0</v>
      </c>
      <c r="BM117" s="3">
        <f t="shared" si="76"/>
        <v>0</v>
      </c>
      <c r="BN117" s="3">
        <f t="shared" si="76"/>
        <v>0</v>
      </c>
      <c r="BO117" s="3">
        <f t="shared" si="76"/>
        <v>0</v>
      </c>
      <c r="BP117" s="3">
        <f t="shared" si="76"/>
        <v>0</v>
      </c>
      <c r="BQ117" s="3">
        <f t="shared" si="76"/>
        <v>0</v>
      </c>
      <c r="BR117" s="3">
        <f t="shared" si="76"/>
        <v>0</v>
      </c>
      <c r="BS117" s="3">
        <f>CA351</f>
        <v>0</v>
      </c>
      <c r="BT117" s="3">
        <f>CB351</f>
        <v>0</v>
      </c>
      <c r="BU117" s="3">
        <f>CC351</f>
        <v>0</v>
      </c>
      <c r="BV117" s="3">
        <f>CD351</f>
        <v>0</v>
      </c>
      <c r="BW117" s="3">
        <f>CE351</f>
        <v>0</v>
      </c>
      <c r="BX117" s="3">
        <f>CF351</f>
        <v>0</v>
      </c>
      <c r="BY117" s="3">
        <f>CG351</f>
        <v>0</v>
      </c>
      <c r="BZ117" s="3">
        <f>CH351</f>
        <v>0</v>
      </c>
      <c r="CA117" s="3">
        <f>CI351</f>
        <v>0</v>
      </c>
      <c r="CB117" s="3">
        <f>CJ351</f>
        <v>0</v>
      </c>
      <c r="CC117" s="3">
        <f>CK351</f>
        <v>0</v>
      </c>
      <c r="CD117" s="3">
        <f>CL351</f>
        <v>0</v>
      </c>
    </row>
    <row r="118" spans="2:82" s="7" customFormat="1" x14ac:dyDescent="0.2">
      <c r="B118" s="7" t="s">
        <v>61</v>
      </c>
      <c r="G118" s="7">
        <f>SUM(G119:G121)</f>
        <v>1E-3</v>
      </c>
      <c r="H118" s="7">
        <f t="shared" ref="H118:BS118" si="78">SUM(H119:H121)</f>
        <v>1E-3</v>
      </c>
      <c r="I118" s="7">
        <f t="shared" si="78"/>
        <v>1E-3</v>
      </c>
      <c r="J118" s="7">
        <f t="shared" si="78"/>
        <v>1E-3</v>
      </c>
      <c r="K118" s="7">
        <f t="shared" si="78"/>
        <v>1E-3</v>
      </c>
      <c r="L118" s="7">
        <f t="shared" si="78"/>
        <v>1E-3</v>
      </c>
      <c r="M118" s="7">
        <f t="shared" si="78"/>
        <v>2E-3</v>
      </c>
      <c r="N118" s="7">
        <f t="shared" si="78"/>
        <v>2E-3</v>
      </c>
      <c r="O118" s="7">
        <f t="shared" si="78"/>
        <v>2E-3</v>
      </c>
      <c r="P118" s="7">
        <f t="shared" si="78"/>
        <v>3.0000000000000001E-3</v>
      </c>
      <c r="Q118" s="7">
        <f t="shared" si="78"/>
        <v>3.0000000000000001E-3</v>
      </c>
      <c r="R118" s="7">
        <f t="shared" si="78"/>
        <v>3.0000000000000001E-3</v>
      </c>
      <c r="S118" s="7">
        <f t="shared" si="78"/>
        <v>4.0000000000000001E-3</v>
      </c>
      <c r="T118" s="7">
        <f t="shared" si="78"/>
        <v>4.0000000000000001E-3</v>
      </c>
      <c r="U118" s="7">
        <f t="shared" si="78"/>
        <v>4.0000000000000001E-3</v>
      </c>
      <c r="V118" s="7">
        <f t="shared" si="78"/>
        <v>5.0000000000000001E-3</v>
      </c>
      <c r="W118" s="7">
        <f t="shared" si="78"/>
        <v>5.0000000000000001E-3</v>
      </c>
      <c r="X118" s="7">
        <f t="shared" si="78"/>
        <v>5.0000000000000001E-3</v>
      </c>
      <c r="Y118" s="7">
        <f t="shared" si="78"/>
        <v>5.0000000000000001E-3</v>
      </c>
      <c r="Z118" s="7">
        <f t="shared" si="78"/>
        <v>6.0000000000000001E-3</v>
      </c>
      <c r="AA118" s="7">
        <f t="shared" si="78"/>
        <v>8.9999999999999993E-3</v>
      </c>
      <c r="AB118" s="7">
        <f t="shared" si="78"/>
        <v>0.01</v>
      </c>
      <c r="AC118" s="7">
        <f t="shared" si="78"/>
        <v>1.2E-2</v>
      </c>
      <c r="AD118" s="7">
        <f t="shared" si="78"/>
        <v>1.4E-2</v>
      </c>
      <c r="AE118" s="7">
        <f t="shared" si="78"/>
        <v>1.4999999999999999E-2</v>
      </c>
      <c r="AF118" s="7">
        <f t="shared" si="78"/>
        <v>8.6808003369521991</v>
      </c>
      <c r="AG118" s="7">
        <f t="shared" si="78"/>
        <v>8.9879308745548006</v>
      </c>
      <c r="AH118" s="7">
        <f t="shared" si="78"/>
        <v>9.3997650045218002</v>
      </c>
      <c r="AI118" s="7">
        <f t="shared" si="78"/>
        <v>9.9018101855790022</v>
      </c>
      <c r="AJ118" s="7">
        <f t="shared" si="78"/>
        <v>10.505820606899201</v>
      </c>
      <c r="AK118" s="7">
        <f t="shared" si="78"/>
        <v>11.199204766954601</v>
      </c>
      <c r="AL118" s="7">
        <f t="shared" si="78"/>
        <v>12.0223463173258</v>
      </c>
      <c r="AM118" s="7">
        <f t="shared" si="78"/>
        <v>13.110368659043798</v>
      </c>
      <c r="AN118" s="7">
        <f t="shared" si="78"/>
        <v>14.3978068613619</v>
      </c>
      <c r="AO118" s="7">
        <f t="shared" si="78"/>
        <v>15.887979871512899</v>
      </c>
      <c r="AP118" s="7">
        <f t="shared" si="78"/>
        <v>17.497432232497196</v>
      </c>
      <c r="AQ118" s="7">
        <f t="shared" si="78"/>
        <v>18.952881698956503</v>
      </c>
      <c r="AR118" s="7">
        <f t="shared" si="78"/>
        <v>20.519807031505099</v>
      </c>
      <c r="AS118" s="7">
        <f t="shared" si="78"/>
        <v>22.205895255188501</v>
      </c>
      <c r="AT118" s="7">
        <f t="shared" si="78"/>
        <v>24.019291930556498</v>
      </c>
      <c r="AU118" s="7">
        <f t="shared" si="78"/>
        <v>25.969108926919798</v>
      </c>
      <c r="AV118" s="7">
        <f t="shared" si="78"/>
        <v>28.0645925589203</v>
      </c>
      <c r="AW118" s="7">
        <f t="shared" si="78"/>
        <v>30.315531958951301</v>
      </c>
      <c r="AX118" s="7">
        <f t="shared" si="78"/>
        <v>32.732284385818296</v>
      </c>
      <c r="AY118" s="7">
        <f t="shared" si="78"/>
        <v>35.325801220406703</v>
      </c>
      <c r="AZ118" s="7">
        <f t="shared" si="78"/>
        <v>37.921769629927098</v>
      </c>
      <c r="BA118" s="7">
        <f t="shared" si="78"/>
        <v>40.490541934641804</v>
      </c>
      <c r="BB118" s="7">
        <f t="shared" si="78"/>
        <v>43.000590293022107</v>
      </c>
      <c r="BC118" s="7">
        <f t="shared" si="78"/>
        <v>45.419082584567299</v>
      </c>
      <c r="BD118" s="7">
        <f t="shared" si="78"/>
        <v>47.712541405558696</v>
      </c>
      <c r="BE118" s="7">
        <f t="shared" si="78"/>
        <v>49.847570036704198</v>
      </c>
      <c r="BF118" s="7">
        <f t="shared" si="78"/>
        <v>51.791625268135604</v>
      </c>
      <c r="BG118" s="7">
        <f t="shared" si="78"/>
        <v>53.713094565583397</v>
      </c>
      <c r="BH118" s="7">
        <f t="shared" si="78"/>
        <v>55.603795494291901</v>
      </c>
      <c r="BI118" s="7">
        <f t="shared" si="78"/>
        <v>57.455401884251799</v>
      </c>
      <c r="BJ118" s="7">
        <f t="shared" si="78"/>
        <v>59.259501503417397</v>
      </c>
      <c r="BK118" s="7">
        <f t="shared" si="78"/>
        <v>61.007656797768206</v>
      </c>
      <c r="BL118" s="7">
        <f t="shared" si="78"/>
        <v>62.691468125386585</v>
      </c>
      <c r="BM118" s="7">
        <f t="shared" si="78"/>
        <v>64.302638856209001</v>
      </c>
      <c r="BN118" s="7">
        <f t="shared" si="78"/>
        <v>65.833041660986794</v>
      </c>
      <c r="BO118" s="7">
        <f t="shared" si="78"/>
        <v>67.274785273362511</v>
      </c>
      <c r="BP118" s="7">
        <f t="shared" si="78"/>
        <v>68.620280978829598</v>
      </c>
      <c r="BQ118" s="7">
        <f t="shared" si="78"/>
        <v>69.992686598406294</v>
      </c>
      <c r="BR118" s="7">
        <f t="shared" si="78"/>
        <v>71.392540330374501</v>
      </c>
      <c r="BS118" s="7">
        <f t="shared" si="78"/>
        <v>72.820391136981897</v>
      </c>
      <c r="BT118" s="7">
        <f t="shared" ref="BT118:CD118" si="79">SUM(BT119:BT121)</f>
        <v>74.276798959721503</v>
      </c>
      <c r="BU118" s="7">
        <f t="shared" si="79"/>
        <v>75.762334938915998</v>
      </c>
      <c r="BV118" s="7">
        <f t="shared" si="79"/>
        <v>77.277581637694283</v>
      </c>
      <c r="BW118" s="7">
        <f t="shared" si="79"/>
        <v>78.823133270448182</v>
      </c>
      <c r="BX118" s="7">
        <f t="shared" si="79"/>
        <v>80.399595935857306</v>
      </c>
      <c r="BY118" s="7">
        <f t="shared" si="79"/>
        <v>82.007587854574297</v>
      </c>
      <c r="BZ118" s="7">
        <f t="shared" si="79"/>
        <v>83.647739611665884</v>
      </c>
      <c r="CA118" s="7">
        <f t="shared" si="79"/>
        <v>85.320694403899196</v>
      </c>
      <c r="CB118" s="7">
        <f t="shared" si="79"/>
        <v>87.0271082919772</v>
      </c>
      <c r="CC118" s="7">
        <f t="shared" si="79"/>
        <v>88.767650457816714</v>
      </c>
      <c r="CD118" s="7">
        <f t="shared" si="79"/>
        <v>90.54300346697309</v>
      </c>
    </row>
    <row r="119" spans="2:82" s="3" customFormat="1" x14ac:dyDescent="0.2">
      <c r="C119" s="3" t="s">
        <v>62</v>
      </c>
      <c r="F119" s="3" t="s">
        <v>7</v>
      </c>
      <c r="G119" s="3">
        <f>O352</f>
        <v>1E-3</v>
      </c>
      <c r="H119" s="3">
        <f>P352</f>
        <v>1E-3</v>
      </c>
      <c r="I119" s="3">
        <f>Q352</f>
        <v>1E-3</v>
      </c>
      <c r="J119" s="3">
        <f>R352</f>
        <v>1E-3</v>
      </c>
      <c r="K119" s="3">
        <f>S352</f>
        <v>1E-3</v>
      </c>
      <c r="L119" s="3">
        <f>T352</f>
        <v>1E-3</v>
      </c>
      <c r="M119" s="3">
        <f>U352</f>
        <v>2E-3</v>
      </c>
      <c r="N119" s="3">
        <f>V352</f>
        <v>2E-3</v>
      </c>
      <c r="O119" s="3">
        <f>W352</f>
        <v>2E-3</v>
      </c>
      <c r="P119" s="3">
        <f>X352</f>
        <v>3.0000000000000001E-3</v>
      </c>
      <c r="Q119" s="3">
        <f>Y352</f>
        <v>3.0000000000000001E-3</v>
      </c>
      <c r="R119" s="3">
        <f>Z352</f>
        <v>3.0000000000000001E-3</v>
      </c>
      <c r="S119" s="3">
        <f>AA352</f>
        <v>4.0000000000000001E-3</v>
      </c>
      <c r="T119" s="3">
        <f>AB352</f>
        <v>4.0000000000000001E-3</v>
      </c>
      <c r="U119" s="3">
        <f>AC352</f>
        <v>4.0000000000000001E-3</v>
      </c>
      <c r="V119" s="3">
        <f>AD352</f>
        <v>5.0000000000000001E-3</v>
      </c>
      <c r="W119" s="3">
        <f>AE352</f>
        <v>5.0000000000000001E-3</v>
      </c>
      <c r="X119" s="3">
        <f>AF352</f>
        <v>5.0000000000000001E-3</v>
      </c>
      <c r="Y119" s="3">
        <f>AG352</f>
        <v>5.0000000000000001E-3</v>
      </c>
      <c r="Z119" s="3">
        <f>AH352</f>
        <v>6.0000000000000001E-3</v>
      </c>
      <c r="AA119" s="3">
        <f>AI352</f>
        <v>8.9999999999999993E-3</v>
      </c>
      <c r="AB119" s="3">
        <f>AJ352</f>
        <v>0.01</v>
      </c>
      <c r="AC119" s="3">
        <f>AK352</f>
        <v>1.2E-2</v>
      </c>
      <c r="AD119" s="3">
        <f>AL352</f>
        <v>1.4E-2</v>
      </c>
      <c r="AE119" s="3">
        <f>AM352</f>
        <v>1.4999999999999999E-2</v>
      </c>
      <c r="AF119" s="3">
        <f>AN352</f>
        <v>4.4665993239789996</v>
      </c>
      <c r="AG119" s="3">
        <f>AO352</f>
        <v>4.6246295744605996</v>
      </c>
      <c r="AH119" s="3">
        <f>AP352</f>
        <v>4.8365337739698999</v>
      </c>
      <c r="AI119" s="3">
        <f>AQ352</f>
        <v>5.0948549631777</v>
      </c>
      <c r="AJ119" s="3">
        <f>AR352</f>
        <v>5.4056411159315001</v>
      </c>
      <c r="AK119" s="3">
        <f>AS352</f>
        <v>5.7624134295830007</v>
      </c>
      <c r="AL119" s="3">
        <f>AT352</f>
        <v>6.1859508166574004</v>
      </c>
      <c r="AM119" s="3">
        <f>AU352</f>
        <v>6.7457793655648999</v>
      </c>
      <c r="AN119" s="3">
        <f>AV352</f>
        <v>7.4082148992633998</v>
      </c>
      <c r="AO119" s="3">
        <f>AW352</f>
        <v>8.1749651413370987</v>
      </c>
      <c r="AP119" s="3">
        <f>AX352</f>
        <v>9.0030891101545993</v>
      </c>
      <c r="AQ119" s="3">
        <f>AY352</f>
        <v>9.7519727787835997</v>
      </c>
      <c r="AR119" s="3">
        <f>AZ352</f>
        <v>10.558214986808499</v>
      </c>
      <c r="AS119" s="3">
        <f>BA352</f>
        <v>11.425770998667801</v>
      </c>
      <c r="AT119" s="3">
        <f>BB352</f>
        <v>12.358832012618899</v>
      </c>
      <c r="AU119" s="3">
        <f>BC352</f>
        <v>13.362086429238399</v>
      </c>
      <c r="AV119" s="3">
        <f>BD352</f>
        <v>14.4402918262985</v>
      </c>
      <c r="AW119" s="3">
        <f>BE352</f>
        <v>15.5984850817865</v>
      </c>
      <c r="AX119" s="3">
        <f>BF352</f>
        <v>16.841995396165998</v>
      </c>
      <c r="AY119" s="3">
        <f>BG352</f>
        <v>18.1764576681283</v>
      </c>
      <c r="AZ119" s="3">
        <f>BH352</f>
        <v>19.512181367897799</v>
      </c>
      <c r="BA119" s="3">
        <f>BI352</f>
        <v>20.833911645560601</v>
      </c>
      <c r="BB119" s="3">
        <f>BJ352</f>
        <v>22.125426237017301</v>
      </c>
      <c r="BC119" s="3">
        <f>BK352</f>
        <v>23.369831777423599</v>
      </c>
      <c r="BD119" s="3">
        <f>BL352</f>
        <v>24.5499028793711</v>
      </c>
      <c r="BE119" s="3">
        <f>BM352</f>
        <v>25.648455670633499</v>
      </c>
      <c r="BF119" s="3">
        <f>BN352</f>
        <v>26.648745441788201</v>
      </c>
      <c r="BG119" s="3">
        <f>BO352</f>
        <v>27.637413897678499</v>
      </c>
      <c r="BH119" s="3">
        <f>BP352</f>
        <v>28.6102508668768</v>
      </c>
      <c r="BI119" s="3">
        <f>BQ352</f>
        <v>29.562972220743799</v>
      </c>
      <c r="BJ119" s="3">
        <f>BR352</f>
        <v>30.491249548475199</v>
      </c>
      <c r="BK119" s="3">
        <f>BS352</f>
        <v>31.390741410155201</v>
      </c>
      <c r="BL119" s="3">
        <f>BT352</f>
        <v>32.257125873075488</v>
      </c>
      <c r="BM119" s="3">
        <f>BU352</f>
        <v>33.086134008013502</v>
      </c>
      <c r="BN119" s="3">
        <f>BV352</f>
        <v>33.873583997404197</v>
      </c>
      <c r="BO119" s="3">
        <f>BW352</f>
        <v>34.615415486947413</v>
      </c>
      <c r="BP119" s="3">
        <f>BX352</f>
        <v>35.307723796686297</v>
      </c>
      <c r="BQ119" s="3">
        <f>BY352</f>
        <v>36.013878272620097</v>
      </c>
      <c r="BR119" s="3">
        <f>BZ352</f>
        <v>36.734155838072503</v>
      </c>
      <c r="BS119" s="3">
        <f>CA352</f>
        <v>37.468838954833899</v>
      </c>
      <c r="BT119" s="3">
        <f t="shared" ref="BT119:CD121" si="80">CB352</f>
        <v>38.218215733930599</v>
      </c>
      <c r="BU119" s="3">
        <f t="shared" si="80"/>
        <v>38.982580048609201</v>
      </c>
      <c r="BV119" s="3">
        <f t="shared" si="80"/>
        <v>39.762231649581388</v>
      </c>
      <c r="BW119" s="3">
        <f t="shared" si="80"/>
        <v>40.557476282572999</v>
      </c>
      <c r="BX119" s="3">
        <f t="shared" si="80"/>
        <v>41.3686258082245</v>
      </c>
      <c r="BY119" s="3">
        <f t="shared" si="80"/>
        <v>42.195998324389002</v>
      </c>
      <c r="BZ119" s="3">
        <f t="shared" si="80"/>
        <v>43.039918290876798</v>
      </c>
      <c r="CA119" s="3">
        <f t="shared" si="80"/>
        <v>43.9007166566943</v>
      </c>
      <c r="CB119" s="3">
        <f t="shared" si="80"/>
        <v>44.778730989828198</v>
      </c>
      <c r="CC119" s="3">
        <f t="shared" si="80"/>
        <v>45.674305609624803</v>
      </c>
      <c r="CD119" s="3">
        <f t="shared" si="80"/>
        <v>46.587791721817297</v>
      </c>
    </row>
    <row r="120" spans="2:82" s="3" customFormat="1" x14ac:dyDescent="0.2">
      <c r="C120" s="3" t="s">
        <v>63</v>
      </c>
      <c r="F120" s="3" t="s">
        <v>7</v>
      </c>
      <c r="G120" s="3">
        <f>O353</f>
        <v>0</v>
      </c>
      <c r="H120" s="3">
        <f>P353</f>
        <v>0</v>
      </c>
      <c r="I120" s="3">
        <f>Q353</f>
        <v>0</v>
      </c>
      <c r="J120" s="3">
        <f>R353</f>
        <v>0</v>
      </c>
      <c r="K120" s="3">
        <f>S353</f>
        <v>0</v>
      </c>
      <c r="L120" s="3">
        <f>T353</f>
        <v>0</v>
      </c>
      <c r="M120" s="3">
        <f>U353</f>
        <v>0</v>
      </c>
      <c r="N120" s="3">
        <f>V353</f>
        <v>0</v>
      </c>
      <c r="O120" s="3">
        <f>W353</f>
        <v>0</v>
      </c>
      <c r="P120" s="3">
        <f>X353</f>
        <v>0</v>
      </c>
      <c r="Q120" s="3">
        <f>Y353</f>
        <v>0</v>
      </c>
      <c r="R120" s="3">
        <f>Z353</f>
        <v>0</v>
      </c>
      <c r="S120" s="3">
        <f>AA353</f>
        <v>0</v>
      </c>
      <c r="T120" s="3">
        <f>AB353</f>
        <v>0</v>
      </c>
      <c r="U120" s="3">
        <f>AC353</f>
        <v>0</v>
      </c>
      <c r="V120" s="3">
        <f>AD353</f>
        <v>0</v>
      </c>
      <c r="W120" s="3">
        <f>AE353</f>
        <v>0</v>
      </c>
      <c r="X120" s="3">
        <f>AF353</f>
        <v>0</v>
      </c>
      <c r="Y120" s="3">
        <f>AG353</f>
        <v>0</v>
      </c>
      <c r="Z120" s="3">
        <f>AH353</f>
        <v>0</v>
      </c>
      <c r="AA120" s="3">
        <f>AI353</f>
        <v>0</v>
      </c>
      <c r="AB120" s="3">
        <f>AJ353</f>
        <v>0</v>
      </c>
      <c r="AC120" s="3">
        <f>AK353</f>
        <v>0</v>
      </c>
      <c r="AD120" s="3">
        <f>AL353</f>
        <v>0</v>
      </c>
      <c r="AE120" s="3">
        <f>AM353</f>
        <v>0</v>
      </c>
      <c r="AF120" s="3">
        <f>AN353</f>
        <v>3.9306074051016</v>
      </c>
      <c r="AG120" s="3">
        <f>AO353</f>
        <v>4.0696740255253001</v>
      </c>
      <c r="AH120" s="3">
        <f>AP353</f>
        <v>4.2561497210935002</v>
      </c>
      <c r="AI120" s="3">
        <f>AQ353</f>
        <v>4.4834723675964003</v>
      </c>
      <c r="AJ120" s="3">
        <f>AR353</f>
        <v>4.7569641820197006</v>
      </c>
      <c r="AK120" s="3">
        <f>AS353</f>
        <v>5.0709238180331004</v>
      </c>
      <c r="AL120" s="3">
        <f>AT353</f>
        <v>5.4436367186585004</v>
      </c>
      <c r="AM120" s="3">
        <f>AU353</f>
        <v>5.9362858416971003</v>
      </c>
      <c r="AN120" s="3">
        <f>AV353</f>
        <v>6.5192291113516996</v>
      </c>
      <c r="AO120" s="3">
        <f>AW353</f>
        <v>7.1939693243766998</v>
      </c>
      <c r="AP120" s="3">
        <f>AX353</f>
        <v>7.9227184169360001</v>
      </c>
      <c r="AQ120" s="3">
        <f>AY353</f>
        <v>8.5817360453296008</v>
      </c>
      <c r="AR120" s="3">
        <f>AZ353</f>
        <v>9.2912291883913998</v>
      </c>
      <c r="AS120" s="3">
        <f>BA353</f>
        <v>10.054678478827601</v>
      </c>
      <c r="AT120" s="3">
        <f>BB353</f>
        <v>10.8757721711047</v>
      </c>
      <c r="AU120" s="3">
        <f>BC353</f>
        <v>11.758636057729801</v>
      </c>
      <c r="AV120" s="3">
        <f>BD353</f>
        <v>12.7074568071426</v>
      </c>
      <c r="AW120" s="3">
        <f>BE353</f>
        <v>13.7266668719721</v>
      </c>
      <c r="AX120" s="3">
        <f>BF353</f>
        <v>14.820955948626001</v>
      </c>
      <c r="AY120" s="3">
        <f>BG353</f>
        <v>15.995282747952899</v>
      </c>
      <c r="AZ120" s="3">
        <f>BH353</f>
        <v>17.170719603750101</v>
      </c>
      <c r="BA120" s="3">
        <f>BI353</f>
        <v>18.333842248093301</v>
      </c>
      <c r="BB120" s="3">
        <f>BJ353</f>
        <v>19.470375088575199</v>
      </c>
      <c r="BC120" s="3">
        <f>BK353</f>
        <v>20.565451964132698</v>
      </c>
      <c r="BD120" s="3">
        <f>BL353</f>
        <v>21.603914533846599</v>
      </c>
      <c r="BE120" s="3">
        <f>BM353</f>
        <v>22.5706409901575</v>
      </c>
      <c r="BF120" s="3">
        <f>BN353</f>
        <v>23.450895988773599</v>
      </c>
      <c r="BG120" s="3">
        <f>BO353</f>
        <v>24.3209242299571</v>
      </c>
      <c r="BH120" s="3">
        <f>BP353</f>
        <v>25.177020762851601</v>
      </c>
      <c r="BI120" s="3">
        <f>BQ353</f>
        <v>26.015415554254499</v>
      </c>
      <c r="BJ120" s="3">
        <f>BR353</f>
        <v>26.8322996026581</v>
      </c>
      <c r="BK120" s="3">
        <f>BS353</f>
        <v>27.623852440936499</v>
      </c>
      <c r="BL120" s="3">
        <f>BT353</f>
        <v>28.3862707683064</v>
      </c>
      <c r="BM120" s="3">
        <f>BU353</f>
        <v>29.115797927051901</v>
      </c>
      <c r="BN120" s="3">
        <f>BV353</f>
        <v>29.808753917715698</v>
      </c>
      <c r="BO120" s="3">
        <f>BW353</f>
        <v>30.4615656285137</v>
      </c>
      <c r="BP120" s="3">
        <f>BX353</f>
        <v>31.070796941083898</v>
      </c>
      <c r="BQ120" s="3">
        <f>BY353</f>
        <v>31.6922128799056</v>
      </c>
      <c r="BR120" s="3">
        <f>BZ353</f>
        <v>32.326057137503803</v>
      </c>
      <c r="BS120" s="3">
        <f>CA353</f>
        <v>32.972578280253799</v>
      </c>
      <c r="BT120" s="3">
        <f t="shared" si="80"/>
        <v>33.632029845858902</v>
      </c>
      <c r="BU120" s="3">
        <f t="shared" si="80"/>
        <v>34.3046704427761</v>
      </c>
      <c r="BV120" s="3">
        <f t="shared" si="80"/>
        <v>34.990763851631598</v>
      </c>
      <c r="BW120" s="3">
        <f t="shared" si="80"/>
        <v>35.690579128664297</v>
      </c>
      <c r="BX120" s="3">
        <f t="shared" si="80"/>
        <v>36.404390711237603</v>
      </c>
      <c r="BY120" s="3">
        <f t="shared" si="80"/>
        <v>37.132478525462297</v>
      </c>
      <c r="BZ120" s="3">
        <f t="shared" si="80"/>
        <v>37.875128095971597</v>
      </c>
      <c r="CA120" s="3">
        <f t="shared" si="80"/>
        <v>38.632630657890999</v>
      </c>
      <c r="CB120" s="3">
        <f t="shared" si="80"/>
        <v>39.405283271048802</v>
      </c>
      <c r="CC120" s="3">
        <f t="shared" si="80"/>
        <v>40.193388936469802</v>
      </c>
      <c r="CD120" s="3">
        <f t="shared" si="80"/>
        <v>40.9972567151992</v>
      </c>
    </row>
    <row r="121" spans="2:82" s="3" customFormat="1" x14ac:dyDescent="0.2">
      <c r="C121" s="3" t="s">
        <v>64</v>
      </c>
      <c r="F121" s="3" t="s">
        <v>7</v>
      </c>
      <c r="G121" s="3">
        <f>O354</f>
        <v>0</v>
      </c>
      <c r="H121" s="3">
        <f>P354</f>
        <v>0</v>
      </c>
      <c r="I121" s="3">
        <f>Q354</f>
        <v>0</v>
      </c>
      <c r="J121" s="3">
        <f>R354</f>
        <v>0</v>
      </c>
      <c r="K121" s="3">
        <f>S354</f>
        <v>0</v>
      </c>
      <c r="L121" s="3">
        <f>T354</f>
        <v>0</v>
      </c>
      <c r="M121" s="3">
        <f>U354</f>
        <v>0</v>
      </c>
      <c r="N121" s="3">
        <f>V354</f>
        <v>0</v>
      </c>
      <c r="O121" s="3">
        <f>W354</f>
        <v>0</v>
      </c>
      <c r="P121" s="3">
        <f>X354</f>
        <v>0</v>
      </c>
      <c r="Q121" s="3">
        <f>Y354</f>
        <v>0</v>
      </c>
      <c r="R121" s="3">
        <f>Z354</f>
        <v>0</v>
      </c>
      <c r="S121" s="3">
        <f>AA354</f>
        <v>0</v>
      </c>
      <c r="T121" s="3">
        <f>AB354</f>
        <v>0</v>
      </c>
      <c r="U121" s="3">
        <f>AC354</f>
        <v>0</v>
      </c>
      <c r="V121" s="3">
        <f>AD354</f>
        <v>0</v>
      </c>
      <c r="W121" s="3">
        <f>AE354</f>
        <v>0</v>
      </c>
      <c r="X121" s="3">
        <f>AF354</f>
        <v>0</v>
      </c>
      <c r="Y121" s="3">
        <f>AG354</f>
        <v>0</v>
      </c>
      <c r="Z121" s="3">
        <f>AH354</f>
        <v>0</v>
      </c>
      <c r="AA121" s="3">
        <f>AI354</f>
        <v>0</v>
      </c>
      <c r="AB121" s="3">
        <f>AJ354</f>
        <v>0</v>
      </c>
      <c r="AC121" s="3">
        <f>AK354</f>
        <v>0</v>
      </c>
      <c r="AD121" s="3">
        <f>AL354</f>
        <v>0</v>
      </c>
      <c r="AE121" s="3">
        <f>AM354</f>
        <v>0</v>
      </c>
      <c r="AF121" s="3">
        <f>AN354</f>
        <v>0.28359360787159998</v>
      </c>
      <c r="AG121" s="3">
        <f>AO354</f>
        <v>0.29362727456889998</v>
      </c>
      <c r="AH121" s="3">
        <f>AP354</f>
        <v>0.30708150945840001</v>
      </c>
      <c r="AI121" s="3">
        <f>AQ354</f>
        <v>0.32348285480490002</v>
      </c>
      <c r="AJ121" s="3">
        <f>AR354</f>
        <v>0.34321530894800001</v>
      </c>
      <c r="AK121" s="3">
        <f>AS354</f>
        <v>0.36586751933849998</v>
      </c>
      <c r="AL121" s="3">
        <f>AT354</f>
        <v>0.3927587820099</v>
      </c>
      <c r="AM121" s="3">
        <f>AU354</f>
        <v>0.42830345178180002</v>
      </c>
      <c r="AN121" s="3">
        <f>AV354</f>
        <v>0.47036285074680001</v>
      </c>
      <c r="AO121" s="3">
        <f>AW354</f>
        <v>0.51904540579910008</v>
      </c>
      <c r="AP121" s="3">
        <f>AX354</f>
        <v>0.57162470540659993</v>
      </c>
      <c r="AQ121" s="3">
        <f>AY354</f>
        <v>0.61917287484329997</v>
      </c>
      <c r="AR121" s="3">
        <f>AZ354</f>
        <v>0.67036285630519998</v>
      </c>
      <c r="AS121" s="3">
        <f>BA354</f>
        <v>0.72544577769310004</v>
      </c>
      <c r="AT121" s="3">
        <f>BB354</f>
        <v>0.7846877468329001</v>
      </c>
      <c r="AU121" s="3">
        <f>BC354</f>
        <v>0.84838643995160001</v>
      </c>
      <c r="AV121" s="3">
        <f>BD354</f>
        <v>0.91684392547920002</v>
      </c>
      <c r="AW121" s="3">
        <f>BE354</f>
        <v>0.99038000519269986</v>
      </c>
      <c r="AX121" s="3">
        <f>BF354</f>
        <v>1.0693330410263</v>
      </c>
      <c r="AY121" s="3">
        <f>BG354</f>
        <v>1.1540608043255001</v>
      </c>
      <c r="AZ121" s="3">
        <f>BH354</f>
        <v>1.2388686582791999</v>
      </c>
      <c r="BA121" s="3">
        <f>BI354</f>
        <v>1.3227880409879</v>
      </c>
      <c r="BB121" s="3">
        <f>BJ354</f>
        <v>1.4047889674295999</v>
      </c>
      <c r="BC121" s="3">
        <f>BK354</f>
        <v>1.4837988430110001</v>
      </c>
      <c r="BD121" s="3">
        <f>BL354</f>
        <v>1.5587239923409999</v>
      </c>
      <c r="BE121" s="3">
        <f>BM354</f>
        <v>1.6284733759132</v>
      </c>
      <c r="BF121" s="3">
        <f>BN354</f>
        <v>1.6919838375738001</v>
      </c>
      <c r="BG121" s="3">
        <f>BO354</f>
        <v>1.7547564379478</v>
      </c>
      <c r="BH121" s="3">
        <f>BP354</f>
        <v>1.8165238645635</v>
      </c>
      <c r="BI121" s="3">
        <f>BQ354</f>
        <v>1.8770141092535</v>
      </c>
      <c r="BJ121" s="3">
        <f>BR354</f>
        <v>1.9359523522841</v>
      </c>
      <c r="BK121" s="3">
        <f>BS354</f>
        <v>1.9930629466765</v>
      </c>
      <c r="BL121" s="3">
        <f>BT354</f>
        <v>2.0480714840047001</v>
      </c>
      <c r="BM121" s="3">
        <f>BU354</f>
        <v>2.1007069211435998</v>
      </c>
      <c r="BN121" s="3">
        <f>BV354</f>
        <v>2.1507037458668998</v>
      </c>
      <c r="BO121" s="3">
        <f>BW354</f>
        <v>2.1978041579014</v>
      </c>
      <c r="BP121" s="3">
        <f>BX354</f>
        <v>2.2417602410594002</v>
      </c>
      <c r="BQ121" s="3">
        <f>BY354</f>
        <v>2.2865954458806002</v>
      </c>
      <c r="BR121" s="3">
        <f>BZ354</f>
        <v>2.3323273547982</v>
      </c>
      <c r="BS121" s="3">
        <f>CA354</f>
        <v>2.3789739018942</v>
      </c>
      <c r="BT121" s="3">
        <f t="shared" si="80"/>
        <v>2.4265533799319998</v>
      </c>
      <c r="BU121" s="3">
        <f t="shared" si="80"/>
        <v>2.4750844475306999</v>
      </c>
      <c r="BV121" s="3">
        <f t="shared" si="80"/>
        <v>2.5245861364812998</v>
      </c>
      <c r="BW121" s="3">
        <f t="shared" si="80"/>
        <v>2.5750778592109</v>
      </c>
      <c r="BX121" s="3">
        <f t="shared" si="80"/>
        <v>2.6265794163952001</v>
      </c>
      <c r="BY121" s="3">
        <f t="shared" si="80"/>
        <v>2.679111004723</v>
      </c>
      <c r="BZ121" s="3">
        <f t="shared" si="80"/>
        <v>2.7326932248175</v>
      </c>
      <c r="CA121" s="3">
        <f t="shared" si="80"/>
        <v>2.7873470893138999</v>
      </c>
      <c r="CB121" s="3">
        <f t="shared" si="80"/>
        <v>2.8430940311002</v>
      </c>
      <c r="CC121" s="3">
        <f t="shared" si="80"/>
        <v>2.8999559117220999</v>
      </c>
      <c r="CD121" s="3">
        <f t="shared" si="80"/>
        <v>2.9579550299566</v>
      </c>
    </row>
    <row r="122" spans="2:82" s="7" customFormat="1" x14ac:dyDescent="0.2">
      <c r="B122" s="7" t="s">
        <v>65</v>
      </c>
      <c r="G122" s="7">
        <f>SUM(G123:G126)</f>
        <v>0</v>
      </c>
      <c r="H122" s="7">
        <f t="shared" ref="H122:BS122" si="81">SUM(H123:H126)</f>
        <v>0</v>
      </c>
      <c r="I122" s="7">
        <f t="shared" si="81"/>
        <v>0</v>
      </c>
      <c r="J122" s="7">
        <f t="shared" si="81"/>
        <v>0</v>
      </c>
      <c r="K122" s="7">
        <f t="shared" si="81"/>
        <v>0</v>
      </c>
      <c r="L122" s="7">
        <f t="shared" si="81"/>
        <v>0</v>
      </c>
      <c r="M122" s="7">
        <f t="shared" si="81"/>
        <v>0</v>
      </c>
      <c r="N122" s="7">
        <f t="shared" si="81"/>
        <v>0</v>
      </c>
      <c r="O122" s="7">
        <f t="shared" si="81"/>
        <v>0</v>
      </c>
      <c r="P122" s="7">
        <f t="shared" si="81"/>
        <v>0</v>
      </c>
      <c r="Q122" s="7">
        <f t="shared" si="81"/>
        <v>0</v>
      </c>
      <c r="R122" s="7">
        <f t="shared" si="81"/>
        <v>0</v>
      </c>
      <c r="S122" s="7">
        <f t="shared" si="81"/>
        <v>0</v>
      </c>
      <c r="T122" s="7">
        <f t="shared" si="81"/>
        <v>0</v>
      </c>
      <c r="U122" s="7">
        <f t="shared" si="81"/>
        <v>0</v>
      </c>
      <c r="V122" s="7">
        <f t="shared" si="81"/>
        <v>0</v>
      </c>
      <c r="W122" s="7">
        <f t="shared" si="81"/>
        <v>0</v>
      </c>
      <c r="X122" s="7">
        <f t="shared" si="81"/>
        <v>0</v>
      </c>
      <c r="Y122" s="7">
        <f t="shared" si="81"/>
        <v>0</v>
      </c>
      <c r="Z122" s="7">
        <f t="shared" si="81"/>
        <v>0</v>
      </c>
      <c r="AA122" s="7">
        <f t="shared" si="81"/>
        <v>0</v>
      </c>
      <c r="AB122" s="7">
        <f t="shared" si="81"/>
        <v>0</v>
      </c>
      <c r="AC122" s="7">
        <f t="shared" si="81"/>
        <v>0</v>
      </c>
      <c r="AD122" s="7">
        <f t="shared" si="81"/>
        <v>0</v>
      </c>
      <c r="AE122" s="7">
        <f t="shared" si="81"/>
        <v>0</v>
      </c>
      <c r="AF122" s="7">
        <f t="shared" si="81"/>
        <v>0</v>
      </c>
      <c r="AG122" s="7">
        <f t="shared" si="81"/>
        <v>0</v>
      </c>
      <c r="AH122" s="7">
        <f t="shared" si="81"/>
        <v>0</v>
      </c>
      <c r="AI122" s="7">
        <f t="shared" si="81"/>
        <v>0</v>
      </c>
      <c r="AJ122" s="7">
        <f t="shared" si="81"/>
        <v>0</v>
      </c>
      <c r="AK122" s="7">
        <f t="shared" si="81"/>
        <v>0</v>
      </c>
      <c r="AL122" s="7">
        <f t="shared" si="81"/>
        <v>0</v>
      </c>
      <c r="AM122" s="7">
        <f t="shared" si="81"/>
        <v>0</v>
      </c>
      <c r="AN122" s="7">
        <f t="shared" si="81"/>
        <v>0</v>
      </c>
      <c r="AO122" s="7">
        <f t="shared" si="81"/>
        <v>0</v>
      </c>
      <c r="AP122" s="7">
        <f t="shared" si="81"/>
        <v>0</v>
      </c>
      <c r="AQ122" s="7">
        <f t="shared" si="81"/>
        <v>0</v>
      </c>
      <c r="AR122" s="7">
        <f t="shared" si="81"/>
        <v>0</v>
      </c>
      <c r="AS122" s="7">
        <f t="shared" si="81"/>
        <v>0</v>
      </c>
      <c r="AT122" s="7">
        <f t="shared" si="81"/>
        <v>0</v>
      </c>
      <c r="AU122" s="7">
        <f t="shared" si="81"/>
        <v>0</v>
      </c>
      <c r="AV122" s="7">
        <f t="shared" si="81"/>
        <v>0</v>
      </c>
      <c r="AW122" s="7">
        <f t="shared" si="81"/>
        <v>0</v>
      </c>
      <c r="AX122" s="7">
        <f t="shared" si="81"/>
        <v>0</v>
      </c>
      <c r="AY122" s="7">
        <f t="shared" si="81"/>
        <v>0</v>
      </c>
      <c r="AZ122" s="7">
        <f t="shared" si="81"/>
        <v>0</v>
      </c>
      <c r="BA122" s="7">
        <f t="shared" si="81"/>
        <v>0</v>
      </c>
      <c r="BB122" s="7">
        <f t="shared" si="81"/>
        <v>0</v>
      </c>
      <c r="BC122" s="7">
        <f t="shared" si="81"/>
        <v>0</v>
      </c>
      <c r="BD122" s="7">
        <f t="shared" si="81"/>
        <v>0</v>
      </c>
      <c r="BE122" s="7">
        <f t="shared" si="81"/>
        <v>0</v>
      </c>
      <c r="BF122" s="7">
        <f t="shared" si="81"/>
        <v>0</v>
      </c>
      <c r="BG122" s="7">
        <f t="shared" si="81"/>
        <v>0</v>
      </c>
      <c r="BH122" s="7">
        <f t="shared" si="81"/>
        <v>0</v>
      </c>
      <c r="BI122" s="7">
        <f t="shared" si="81"/>
        <v>0</v>
      </c>
      <c r="BJ122" s="7">
        <f t="shared" si="81"/>
        <v>0</v>
      </c>
      <c r="BK122" s="7">
        <f t="shared" si="81"/>
        <v>0</v>
      </c>
      <c r="BL122" s="7">
        <f t="shared" si="81"/>
        <v>0</v>
      </c>
      <c r="BM122" s="7">
        <f t="shared" si="81"/>
        <v>0</v>
      </c>
      <c r="BN122" s="7">
        <f t="shared" si="81"/>
        <v>0</v>
      </c>
      <c r="BO122" s="7">
        <f t="shared" si="81"/>
        <v>0</v>
      </c>
      <c r="BP122" s="7">
        <f t="shared" si="81"/>
        <v>0</v>
      </c>
      <c r="BQ122" s="7">
        <f t="shared" si="81"/>
        <v>0</v>
      </c>
      <c r="BR122" s="7">
        <f t="shared" si="81"/>
        <v>0</v>
      </c>
      <c r="BS122" s="7">
        <f t="shared" si="81"/>
        <v>0</v>
      </c>
      <c r="BT122" s="7">
        <f t="shared" ref="BT122:CD122" si="82">SUM(BT123:BT126)</f>
        <v>0</v>
      </c>
      <c r="BU122" s="7">
        <f t="shared" si="82"/>
        <v>0</v>
      </c>
      <c r="BV122" s="7">
        <f t="shared" si="82"/>
        <v>0</v>
      </c>
      <c r="BW122" s="7">
        <f t="shared" si="82"/>
        <v>0</v>
      </c>
      <c r="BX122" s="7">
        <f t="shared" si="82"/>
        <v>0</v>
      </c>
      <c r="BY122" s="7">
        <f t="shared" si="82"/>
        <v>0</v>
      </c>
      <c r="BZ122" s="7">
        <f t="shared" si="82"/>
        <v>0</v>
      </c>
      <c r="CA122" s="7">
        <f t="shared" si="82"/>
        <v>0</v>
      </c>
      <c r="CB122" s="7">
        <f t="shared" si="82"/>
        <v>0</v>
      </c>
      <c r="CC122" s="7">
        <f t="shared" si="82"/>
        <v>0</v>
      </c>
      <c r="CD122" s="7">
        <f t="shared" si="82"/>
        <v>0</v>
      </c>
    </row>
    <row r="123" spans="2:82" s="3" customFormat="1" x14ac:dyDescent="0.2">
      <c r="F123" s="3" t="s">
        <v>56</v>
      </c>
      <c r="G123" s="3">
        <f>O355</f>
        <v>0</v>
      </c>
      <c r="H123" s="3">
        <f t="shared" ref="H123:BR123" si="83">P355</f>
        <v>0</v>
      </c>
      <c r="I123" s="3">
        <f t="shared" si="83"/>
        <v>0</v>
      </c>
      <c r="J123" s="3">
        <f t="shared" si="83"/>
        <v>0</v>
      </c>
      <c r="K123" s="3">
        <f t="shared" si="83"/>
        <v>0</v>
      </c>
      <c r="L123" s="3">
        <f t="shared" si="83"/>
        <v>0</v>
      </c>
      <c r="M123" s="3">
        <f t="shared" si="83"/>
        <v>0</v>
      </c>
      <c r="N123" s="3">
        <f t="shared" si="83"/>
        <v>0</v>
      </c>
      <c r="O123" s="3">
        <f t="shared" si="83"/>
        <v>0</v>
      </c>
      <c r="P123" s="3">
        <f t="shared" si="83"/>
        <v>0</v>
      </c>
      <c r="Q123" s="3">
        <f t="shared" si="83"/>
        <v>0</v>
      </c>
      <c r="R123" s="3">
        <f t="shared" si="83"/>
        <v>0</v>
      </c>
      <c r="S123" s="3">
        <f t="shared" si="83"/>
        <v>0</v>
      </c>
      <c r="T123" s="3">
        <f t="shared" si="83"/>
        <v>0</v>
      </c>
      <c r="U123" s="3">
        <f t="shared" si="83"/>
        <v>0</v>
      </c>
      <c r="V123" s="3">
        <f t="shared" si="83"/>
        <v>0</v>
      </c>
      <c r="W123" s="3">
        <f t="shared" si="83"/>
        <v>0</v>
      </c>
      <c r="X123" s="3">
        <f t="shared" si="83"/>
        <v>0</v>
      </c>
      <c r="Y123" s="3">
        <f t="shared" si="83"/>
        <v>0</v>
      </c>
      <c r="Z123" s="3">
        <f t="shared" si="83"/>
        <v>0</v>
      </c>
      <c r="AA123" s="3">
        <f t="shared" si="83"/>
        <v>0</v>
      </c>
      <c r="AB123" s="3">
        <f t="shared" si="83"/>
        <v>0</v>
      </c>
      <c r="AC123" s="3">
        <f t="shared" si="83"/>
        <v>0</v>
      </c>
      <c r="AD123" s="3">
        <f t="shared" si="83"/>
        <v>0</v>
      </c>
      <c r="AE123" s="3">
        <f t="shared" si="83"/>
        <v>0</v>
      </c>
      <c r="AF123" s="3">
        <f t="shared" si="83"/>
        <v>0</v>
      </c>
      <c r="AG123" s="3">
        <f t="shared" si="83"/>
        <v>0</v>
      </c>
      <c r="AH123" s="3">
        <f t="shared" si="83"/>
        <v>0</v>
      </c>
      <c r="AI123" s="3">
        <f t="shared" si="83"/>
        <v>0</v>
      </c>
      <c r="AJ123" s="3">
        <f t="shared" si="83"/>
        <v>0</v>
      </c>
      <c r="AK123" s="3">
        <f t="shared" si="83"/>
        <v>0</v>
      </c>
      <c r="AL123" s="3">
        <f t="shared" si="83"/>
        <v>0</v>
      </c>
      <c r="AM123" s="3">
        <f t="shared" si="83"/>
        <v>0</v>
      </c>
      <c r="AN123" s="3">
        <f t="shared" si="83"/>
        <v>0</v>
      </c>
      <c r="AO123" s="3">
        <f t="shared" si="83"/>
        <v>0</v>
      </c>
      <c r="AP123" s="3">
        <f t="shared" si="83"/>
        <v>0</v>
      </c>
      <c r="AQ123" s="3">
        <f t="shared" si="83"/>
        <v>0</v>
      </c>
      <c r="AR123" s="3">
        <f t="shared" si="83"/>
        <v>0</v>
      </c>
      <c r="AS123" s="3">
        <f t="shared" si="83"/>
        <v>0</v>
      </c>
      <c r="AT123" s="3">
        <f t="shared" si="83"/>
        <v>0</v>
      </c>
      <c r="AU123" s="3">
        <f t="shared" si="83"/>
        <v>0</v>
      </c>
      <c r="AV123" s="3">
        <f t="shared" si="83"/>
        <v>0</v>
      </c>
      <c r="AW123" s="3">
        <f t="shared" si="83"/>
        <v>0</v>
      </c>
      <c r="AX123" s="3">
        <f t="shared" si="83"/>
        <v>0</v>
      </c>
      <c r="AY123" s="3">
        <f t="shared" si="83"/>
        <v>0</v>
      </c>
      <c r="AZ123" s="3">
        <f t="shared" si="83"/>
        <v>0</v>
      </c>
      <c r="BA123" s="3">
        <f t="shared" si="83"/>
        <v>0</v>
      </c>
      <c r="BB123" s="3">
        <f t="shared" si="83"/>
        <v>0</v>
      </c>
      <c r="BC123" s="3">
        <f t="shared" si="83"/>
        <v>0</v>
      </c>
      <c r="BD123" s="3">
        <f t="shared" si="83"/>
        <v>0</v>
      </c>
      <c r="BE123" s="3">
        <f t="shared" si="83"/>
        <v>0</v>
      </c>
      <c r="BF123" s="3">
        <f t="shared" si="83"/>
        <v>0</v>
      </c>
      <c r="BG123" s="3">
        <f t="shared" si="83"/>
        <v>0</v>
      </c>
      <c r="BH123" s="3">
        <f t="shared" si="83"/>
        <v>0</v>
      </c>
      <c r="BI123" s="3">
        <f t="shared" si="83"/>
        <v>0</v>
      </c>
      <c r="BJ123" s="3">
        <f t="shared" si="83"/>
        <v>0</v>
      </c>
      <c r="BK123" s="3">
        <f t="shared" si="83"/>
        <v>0</v>
      </c>
      <c r="BL123" s="3">
        <f t="shared" si="83"/>
        <v>0</v>
      </c>
      <c r="BM123" s="3">
        <f t="shared" si="83"/>
        <v>0</v>
      </c>
      <c r="BN123" s="3">
        <f t="shared" si="83"/>
        <v>0</v>
      </c>
      <c r="BO123" s="3">
        <f t="shared" si="83"/>
        <v>0</v>
      </c>
      <c r="BP123" s="3">
        <f t="shared" si="83"/>
        <v>0</v>
      </c>
      <c r="BQ123" s="3">
        <f t="shared" si="83"/>
        <v>0</v>
      </c>
      <c r="BR123" s="3">
        <f t="shared" si="83"/>
        <v>0</v>
      </c>
      <c r="BS123" s="3">
        <f t="shared" ref="BS123:CD126" si="84">CA355</f>
        <v>0</v>
      </c>
      <c r="BT123" s="3">
        <f t="shared" si="84"/>
        <v>0</v>
      </c>
      <c r="BU123" s="3">
        <f t="shared" si="84"/>
        <v>0</v>
      </c>
      <c r="BV123" s="3">
        <f t="shared" si="84"/>
        <v>0</v>
      </c>
      <c r="BW123" s="3">
        <f t="shared" si="84"/>
        <v>0</v>
      </c>
      <c r="BX123" s="3">
        <f t="shared" si="84"/>
        <v>0</v>
      </c>
      <c r="BY123" s="3">
        <f t="shared" si="84"/>
        <v>0</v>
      </c>
      <c r="BZ123" s="3">
        <f t="shared" si="84"/>
        <v>0</v>
      </c>
      <c r="CA123" s="3">
        <f t="shared" si="84"/>
        <v>0</v>
      </c>
      <c r="CB123" s="3">
        <f t="shared" si="84"/>
        <v>0</v>
      </c>
      <c r="CC123" s="3">
        <f t="shared" si="84"/>
        <v>0</v>
      </c>
      <c r="CD123" s="3">
        <f t="shared" si="84"/>
        <v>0</v>
      </c>
    </row>
    <row r="124" spans="2:82" s="3" customFormat="1" x14ac:dyDescent="0.2">
      <c r="F124" s="3" t="s">
        <v>57</v>
      </c>
      <c r="G124" s="3">
        <f>O356</f>
        <v>0</v>
      </c>
      <c r="H124" s="3">
        <f>P356</f>
        <v>0</v>
      </c>
      <c r="I124" s="3">
        <f>Q356</f>
        <v>0</v>
      </c>
      <c r="J124" s="3">
        <f>R356</f>
        <v>0</v>
      </c>
      <c r="K124" s="3">
        <f>S356</f>
        <v>0</v>
      </c>
      <c r="L124" s="3">
        <f>T356</f>
        <v>0</v>
      </c>
      <c r="M124" s="3">
        <f>U356</f>
        <v>0</v>
      </c>
      <c r="N124" s="3">
        <f>V356</f>
        <v>0</v>
      </c>
      <c r="O124" s="3">
        <f>W356</f>
        <v>0</v>
      </c>
      <c r="P124" s="3">
        <f>X356</f>
        <v>0</v>
      </c>
      <c r="Q124" s="3">
        <f>Y356</f>
        <v>0</v>
      </c>
      <c r="R124" s="3">
        <f>Z356</f>
        <v>0</v>
      </c>
      <c r="S124" s="3">
        <f>AA356</f>
        <v>0</v>
      </c>
      <c r="T124" s="3">
        <f>AB356</f>
        <v>0</v>
      </c>
      <c r="U124" s="3">
        <f>AC356</f>
        <v>0</v>
      </c>
      <c r="V124" s="3">
        <f>AD356</f>
        <v>0</v>
      </c>
      <c r="W124" s="3">
        <f>AE356</f>
        <v>0</v>
      </c>
      <c r="X124" s="3">
        <f>AF356</f>
        <v>0</v>
      </c>
      <c r="Y124" s="3">
        <f>AG356</f>
        <v>0</v>
      </c>
      <c r="Z124" s="3">
        <f>AH356</f>
        <v>0</v>
      </c>
      <c r="AA124" s="3">
        <f>AI356</f>
        <v>0</v>
      </c>
      <c r="AB124" s="3">
        <f>AJ356</f>
        <v>0</v>
      </c>
      <c r="AC124" s="3">
        <f>AK356</f>
        <v>0</v>
      </c>
      <c r="AD124" s="3">
        <f>AL356</f>
        <v>0</v>
      </c>
      <c r="AE124" s="3">
        <f>AM356</f>
        <v>0</v>
      </c>
      <c r="AF124" s="3">
        <f>AN356</f>
        <v>0</v>
      </c>
      <c r="AG124" s="3">
        <f>AO356</f>
        <v>0</v>
      </c>
      <c r="AH124" s="3">
        <f>AP356</f>
        <v>0</v>
      </c>
      <c r="AI124" s="3">
        <f>AQ356</f>
        <v>0</v>
      </c>
      <c r="AJ124" s="3">
        <f>AR356</f>
        <v>0</v>
      </c>
      <c r="AK124" s="3">
        <f>AS356</f>
        <v>0</v>
      </c>
      <c r="AL124" s="3">
        <f>AT356</f>
        <v>0</v>
      </c>
      <c r="AM124" s="3">
        <f>AU356</f>
        <v>0</v>
      </c>
      <c r="AN124" s="3">
        <f>AV356</f>
        <v>0</v>
      </c>
      <c r="AO124" s="3">
        <f>AW356</f>
        <v>0</v>
      </c>
      <c r="AP124" s="3">
        <f>AX356</f>
        <v>0</v>
      </c>
      <c r="AQ124" s="3">
        <f>AY356</f>
        <v>0</v>
      </c>
      <c r="AR124" s="3">
        <f>AZ356</f>
        <v>0</v>
      </c>
      <c r="AS124" s="3">
        <f>BA356</f>
        <v>0</v>
      </c>
      <c r="AT124" s="3">
        <f>BB356</f>
        <v>0</v>
      </c>
      <c r="AU124" s="3">
        <f>BC356</f>
        <v>0</v>
      </c>
      <c r="AV124" s="3">
        <f>BD356</f>
        <v>0</v>
      </c>
      <c r="AW124" s="3">
        <f>BE356</f>
        <v>0</v>
      </c>
      <c r="AX124" s="3">
        <f>BF356</f>
        <v>0</v>
      </c>
      <c r="AY124" s="3">
        <f>BG356</f>
        <v>0</v>
      </c>
      <c r="AZ124" s="3">
        <f>BH356</f>
        <v>0</v>
      </c>
      <c r="BA124" s="3">
        <f>BI356</f>
        <v>0</v>
      </c>
      <c r="BB124" s="3">
        <f>BJ356</f>
        <v>0</v>
      </c>
      <c r="BC124" s="3">
        <f>BK356</f>
        <v>0</v>
      </c>
      <c r="BD124" s="3">
        <f>BL356</f>
        <v>0</v>
      </c>
      <c r="BE124" s="3">
        <f>BM356</f>
        <v>0</v>
      </c>
      <c r="BF124" s="3">
        <f>BN356</f>
        <v>0</v>
      </c>
      <c r="BG124" s="3">
        <f>BO356</f>
        <v>0</v>
      </c>
      <c r="BH124" s="3">
        <f>BP356</f>
        <v>0</v>
      </c>
      <c r="BI124" s="3">
        <f>BQ356</f>
        <v>0</v>
      </c>
      <c r="BJ124" s="3">
        <f>BR356</f>
        <v>0</v>
      </c>
      <c r="BK124" s="3">
        <f>BS356</f>
        <v>0</v>
      </c>
      <c r="BL124" s="3">
        <f>BT356</f>
        <v>0</v>
      </c>
      <c r="BM124" s="3">
        <f>BU356</f>
        <v>0</v>
      </c>
      <c r="BN124" s="3">
        <f>BV356</f>
        <v>0</v>
      </c>
      <c r="BO124" s="3">
        <f>BW356</f>
        <v>0</v>
      </c>
      <c r="BP124" s="3">
        <f>BX356</f>
        <v>0</v>
      </c>
      <c r="BQ124" s="3">
        <f>BY356</f>
        <v>0</v>
      </c>
      <c r="BR124" s="3">
        <f>BZ356</f>
        <v>0</v>
      </c>
      <c r="BS124" s="3">
        <f>CA356</f>
        <v>0</v>
      </c>
      <c r="BT124" s="3">
        <f t="shared" si="84"/>
        <v>0</v>
      </c>
      <c r="BU124" s="3">
        <f t="shared" si="84"/>
        <v>0</v>
      </c>
      <c r="BV124" s="3">
        <f t="shared" si="84"/>
        <v>0</v>
      </c>
      <c r="BW124" s="3">
        <f t="shared" si="84"/>
        <v>0</v>
      </c>
      <c r="BX124" s="3">
        <f t="shared" si="84"/>
        <v>0</v>
      </c>
      <c r="BY124" s="3">
        <f t="shared" si="84"/>
        <v>0</v>
      </c>
      <c r="BZ124" s="3">
        <f t="shared" si="84"/>
        <v>0</v>
      </c>
      <c r="CA124" s="3">
        <f t="shared" si="84"/>
        <v>0</v>
      </c>
      <c r="CB124" s="3">
        <f t="shared" si="84"/>
        <v>0</v>
      </c>
      <c r="CC124" s="3">
        <f t="shared" si="84"/>
        <v>0</v>
      </c>
      <c r="CD124" s="3">
        <f t="shared" si="84"/>
        <v>0</v>
      </c>
    </row>
    <row r="125" spans="2:82" s="3" customFormat="1" x14ac:dyDescent="0.2">
      <c r="F125" s="3" t="s">
        <v>58</v>
      </c>
      <c r="G125" s="3">
        <f>O357</f>
        <v>0</v>
      </c>
      <c r="H125" s="3">
        <f>P357</f>
        <v>0</v>
      </c>
      <c r="I125" s="3">
        <f>Q357</f>
        <v>0</v>
      </c>
      <c r="J125" s="3">
        <f>R357</f>
        <v>0</v>
      </c>
      <c r="K125" s="3">
        <f>S357</f>
        <v>0</v>
      </c>
      <c r="L125" s="3">
        <f>T357</f>
        <v>0</v>
      </c>
      <c r="M125" s="3">
        <f>U357</f>
        <v>0</v>
      </c>
      <c r="N125" s="3">
        <f>V357</f>
        <v>0</v>
      </c>
      <c r="O125" s="3">
        <f>W357</f>
        <v>0</v>
      </c>
      <c r="P125" s="3">
        <f>X357</f>
        <v>0</v>
      </c>
      <c r="Q125" s="3">
        <f>Y357</f>
        <v>0</v>
      </c>
      <c r="R125" s="3">
        <f>Z357</f>
        <v>0</v>
      </c>
      <c r="S125" s="3">
        <f>AA357</f>
        <v>0</v>
      </c>
      <c r="T125" s="3">
        <f>AB357</f>
        <v>0</v>
      </c>
      <c r="U125" s="3">
        <f>AC357</f>
        <v>0</v>
      </c>
      <c r="V125" s="3">
        <f>AD357</f>
        <v>0</v>
      </c>
      <c r="W125" s="3">
        <f>AE357</f>
        <v>0</v>
      </c>
      <c r="X125" s="3">
        <f>AF357</f>
        <v>0</v>
      </c>
      <c r="Y125" s="3">
        <f>AG357</f>
        <v>0</v>
      </c>
      <c r="Z125" s="3">
        <f>AH357</f>
        <v>0</v>
      </c>
      <c r="AA125" s="3">
        <f>AI357</f>
        <v>0</v>
      </c>
      <c r="AB125" s="3">
        <f>AJ357</f>
        <v>0</v>
      </c>
      <c r="AC125" s="3">
        <f>AK357</f>
        <v>0</v>
      </c>
      <c r="AD125" s="3">
        <f>AL357</f>
        <v>0</v>
      </c>
      <c r="AE125" s="3">
        <f>AM357</f>
        <v>0</v>
      </c>
      <c r="AF125" s="3">
        <f>AN357</f>
        <v>0</v>
      </c>
      <c r="AG125" s="3">
        <f>AO357</f>
        <v>0</v>
      </c>
      <c r="AH125" s="3">
        <f>AP357</f>
        <v>0</v>
      </c>
      <c r="AI125" s="3">
        <f>AQ357</f>
        <v>0</v>
      </c>
      <c r="AJ125" s="3">
        <f>AR357</f>
        <v>0</v>
      </c>
      <c r="AK125" s="3">
        <f>AS357</f>
        <v>0</v>
      </c>
      <c r="AL125" s="3">
        <f>AT357</f>
        <v>0</v>
      </c>
      <c r="AM125" s="3">
        <f>AU357</f>
        <v>0</v>
      </c>
      <c r="AN125" s="3">
        <f>AV357</f>
        <v>0</v>
      </c>
      <c r="AO125" s="3">
        <f>AW357</f>
        <v>0</v>
      </c>
      <c r="AP125" s="3">
        <f>AX357</f>
        <v>0</v>
      </c>
      <c r="AQ125" s="3">
        <f>AY357</f>
        <v>0</v>
      </c>
      <c r="AR125" s="3">
        <f>AZ357</f>
        <v>0</v>
      </c>
      <c r="AS125" s="3">
        <f>BA357</f>
        <v>0</v>
      </c>
      <c r="AT125" s="3">
        <f>BB357</f>
        <v>0</v>
      </c>
      <c r="AU125" s="3">
        <f>BC357</f>
        <v>0</v>
      </c>
      <c r="AV125" s="3">
        <f>BD357</f>
        <v>0</v>
      </c>
      <c r="AW125" s="3">
        <f>BE357</f>
        <v>0</v>
      </c>
      <c r="AX125" s="3">
        <f>BF357</f>
        <v>0</v>
      </c>
      <c r="AY125" s="3">
        <f>BG357</f>
        <v>0</v>
      </c>
      <c r="AZ125" s="3">
        <f>BH357</f>
        <v>0</v>
      </c>
      <c r="BA125" s="3">
        <f>BI357</f>
        <v>0</v>
      </c>
      <c r="BB125" s="3">
        <f>BJ357</f>
        <v>0</v>
      </c>
      <c r="BC125" s="3">
        <f>BK357</f>
        <v>0</v>
      </c>
      <c r="BD125" s="3">
        <f>BL357</f>
        <v>0</v>
      </c>
      <c r="BE125" s="3">
        <f>BM357</f>
        <v>0</v>
      </c>
      <c r="BF125" s="3">
        <f>BN357</f>
        <v>0</v>
      </c>
      <c r="BG125" s="3">
        <f>BO357</f>
        <v>0</v>
      </c>
      <c r="BH125" s="3">
        <f>BP357</f>
        <v>0</v>
      </c>
      <c r="BI125" s="3">
        <f>BQ357</f>
        <v>0</v>
      </c>
      <c r="BJ125" s="3">
        <f>BR357</f>
        <v>0</v>
      </c>
      <c r="BK125" s="3">
        <f>BS357</f>
        <v>0</v>
      </c>
      <c r="BL125" s="3">
        <f>BT357</f>
        <v>0</v>
      </c>
      <c r="BM125" s="3">
        <f>BU357</f>
        <v>0</v>
      </c>
      <c r="BN125" s="3">
        <f>BV357</f>
        <v>0</v>
      </c>
      <c r="BO125" s="3">
        <f>BW357</f>
        <v>0</v>
      </c>
      <c r="BP125" s="3">
        <f>BX357</f>
        <v>0</v>
      </c>
      <c r="BQ125" s="3">
        <f>BY357</f>
        <v>0</v>
      </c>
      <c r="BR125" s="3">
        <f>BZ357</f>
        <v>0</v>
      </c>
      <c r="BS125" s="3">
        <f>CA357</f>
        <v>0</v>
      </c>
      <c r="BT125" s="3">
        <f t="shared" si="84"/>
        <v>0</v>
      </c>
      <c r="BU125" s="3">
        <f t="shared" si="84"/>
        <v>0</v>
      </c>
      <c r="BV125" s="3">
        <f t="shared" si="84"/>
        <v>0</v>
      </c>
      <c r="BW125" s="3">
        <f t="shared" si="84"/>
        <v>0</v>
      </c>
      <c r="BX125" s="3">
        <f t="shared" si="84"/>
        <v>0</v>
      </c>
      <c r="BY125" s="3">
        <f t="shared" si="84"/>
        <v>0</v>
      </c>
      <c r="BZ125" s="3">
        <f t="shared" si="84"/>
        <v>0</v>
      </c>
      <c r="CA125" s="3">
        <f t="shared" si="84"/>
        <v>0</v>
      </c>
      <c r="CB125" s="3">
        <f t="shared" si="84"/>
        <v>0</v>
      </c>
      <c r="CC125" s="3">
        <f t="shared" si="84"/>
        <v>0</v>
      </c>
      <c r="CD125" s="3">
        <f t="shared" si="84"/>
        <v>0</v>
      </c>
    </row>
    <row r="126" spans="2:82" s="3" customFormat="1" x14ac:dyDescent="0.2">
      <c r="F126" s="3" t="s">
        <v>59</v>
      </c>
      <c r="G126" s="3">
        <f>O358</f>
        <v>0</v>
      </c>
      <c r="H126" s="3">
        <f>P358</f>
        <v>0</v>
      </c>
      <c r="I126" s="3">
        <f>Q358</f>
        <v>0</v>
      </c>
      <c r="J126" s="3">
        <f>R358</f>
        <v>0</v>
      </c>
      <c r="K126" s="3">
        <f>S358</f>
        <v>0</v>
      </c>
      <c r="L126" s="3">
        <f>T358</f>
        <v>0</v>
      </c>
      <c r="M126" s="3">
        <f>U358</f>
        <v>0</v>
      </c>
      <c r="N126" s="3">
        <f>V358</f>
        <v>0</v>
      </c>
      <c r="O126" s="3">
        <f>W358</f>
        <v>0</v>
      </c>
      <c r="P126" s="3">
        <f>X358</f>
        <v>0</v>
      </c>
      <c r="Q126" s="3">
        <f>Y358</f>
        <v>0</v>
      </c>
      <c r="R126" s="3">
        <f>Z358</f>
        <v>0</v>
      </c>
      <c r="S126" s="3">
        <f>AA358</f>
        <v>0</v>
      </c>
      <c r="T126" s="3">
        <f>AB358</f>
        <v>0</v>
      </c>
      <c r="U126" s="3">
        <f>AC358</f>
        <v>0</v>
      </c>
      <c r="V126" s="3">
        <f>AD358</f>
        <v>0</v>
      </c>
      <c r="W126" s="3">
        <f>AE358</f>
        <v>0</v>
      </c>
      <c r="X126" s="3">
        <f>AF358</f>
        <v>0</v>
      </c>
      <c r="Y126" s="3">
        <f>AG358</f>
        <v>0</v>
      </c>
      <c r="Z126" s="3">
        <f>AH358</f>
        <v>0</v>
      </c>
      <c r="AA126" s="3">
        <f>AI358</f>
        <v>0</v>
      </c>
      <c r="AB126" s="3">
        <f>AJ358</f>
        <v>0</v>
      </c>
      <c r="AC126" s="3">
        <f>AK358</f>
        <v>0</v>
      </c>
      <c r="AD126" s="3">
        <f>AL358</f>
        <v>0</v>
      </c>
      <c r="AE126" s="3">
        <f>AM358</f>
        <v>0</v>
      </c>
      <c r="AF126" s="3">
        <f>AN358</f>
        <v>0</v>
      </c>
      <c r="AG126" s="3">
        <f>AO358</f>
        <v>0</v>
      </c>
      <c r="AH126" s="3">
        <f>AP358</f>
        <v>0</v>
      </c>
      <c r="AI126" s="3">
        <f>AQ358</f>
        <v>0</v>
      </c>
      <c r="AJ126" s="3">
        <f>AR358</f>
        <v>0</v>
      </c>
      <c r="AK126" s="3">
        <f>AS358</f>
        <v>0</v>
      </c>
      <c r="AL126" s="3">
        <f>AT358</f>
        <v>0</v>
      </c>
      <c r="AM126" s="3">
        <f>AU358</f>
        <v>0</v>
      </c>
      <c r="AN126" s="3">
        <f>AV358</f>
        <v>0</v>
      </c>
      <c r="AO126" s="3">
        <f>AW358</f>
        <v>0</v>
      </c>
      <c r="AP126" s="3">
        <f>AX358</f>
        <v>0</v>
      </c>
      <c r="AQ126" s="3">
        <f>AY358</f>
        <v>0</v>
      </c>
      <c r="AR126" s="3">
        <f>AZ358</f>
        <v>0</v>
      </c>
      <c r="AS126" s="3">
        <f>BA358</f>
        <v>0</v>
      </c>
      <c r="AT126" s="3">
        <f>BB358</f>
        <v>0</v>
      </c>
      <c r="AU126" s="3">
        <f>BC358</f>
        <v>0</v>
      </c>
      <c r="AV126" s="3">
        <f>BD358</f>
        <v>0</v>
      </c>
      <c r="AW126" s="3">
        <f>BE358</f>
        <v>0</v>
      </c>
      <c r="AX126" s="3">
        <f>BF358</f>
        <v>0</v>
      </c>
      <c r="AY126" s="3">
        <f>BG358</f>
        <v>0</v>
      </c>
      <c r="AZ126" s="3">
        <f>BH358</f>
        <v>0</v>
      </c>
      <c r="BA126" s="3">
        <f>BI358</f>
        <v>0</v>
      </c>
      <c r="BB126" s="3">
        <f>BJ358</f>
        <v>0</v>
      </c>
      <c r="BC126" s="3">
        <f>BK358</f>
        <v>0</v>
      </c>
      <c r="BD126" s="3">
        <f>BL358</f>
        <v>0</v>
      </c>
      <c r="BE126" s="3">
        <f>BM358</f>
        <v>0</v>
      </c>
      <c r="BF126" s="3">
        <f>BN358</f>
        <v>0</v>
      </c>
      <c r="BG126" s="3">
        <f>BO358</f>
        <v>0</v>
      </c>
      <c r="BH126" s="3">
        <f>BP358</f>
        <v>0</v>
      </c>
      <c r="BI126" s="3">
        <f>BQ358</f>
        <v>0</v>
      </c>
      <c r="BJ126" s="3">
        <f>BR358</f>
        <v>0</v>
      </c>
      <c r="BK126" s="3">
        <f>BS358</f>
        <v>0</v>
      </c>
      <c r="BL126" s="3">
        <f>BT358</f>
        <v>0</v>
      </c>
      <c r="BM126" s="3">
        <f>BU358</f>
        <v>0</v>
      </c>
      <c r="BN126" s="3">
        <f>BV358</f>
        <v>0</v>
      </c>
      <c r="BO126" s="3">
        <f>BW358</f>
        <v>0</v>
      </c>
      <c r="BP126" s="3">
        <f>BX358</f>
        <v>0</v>
      </c>
      <c r="BQ126" s="3">
        <f>BY358</f>
        <v>0</v>
      </c>
      <c r="BR126" s="3">
        <f>BZ358</f>
        <v>0</v>
      </c>
      <c r="BS126" s="3">
        <f>CA358</f>
        <v>0</v>
      </c>
      <c r="BT126" s="3">
        <f t="shared" si="84"/>
        <v>0</v>
      </c>
      <c r="BU126" s="3">
        <f t="shared" si="84"/>
        <v>0</v>
      </c>
      <c r="BV126" s="3">
        <f t="shared" si="84"/>
        <v>0</v>
      </c>
      <c r="BW126" s="3">
        <f t="shared" si="84"/>
        <v>0</v>
      </c>
      <c r="BX126" s="3">
        <f t="shared" si="84"/>
        <v>0</v>
      </c>
      <c r="BY126" s="3">
        <f t="shared" si="84"/>
        <v>0</v>
      </c>
      <c r="BZ126" s="3">
        <f t="shared" si="84"/>
        <v>0</v>
      </c>
      <c r="CA126" s="3">
        <f t="shared" si="84"/>
        <v>0</v>
      </c>
      <c r="CB126" s="3">
        <f t="shared" si="84"/>
        <v>0</v>
      </c>
      <c r="CC126" s="3">
        <f t="shared" si="84"/>
        <v>0</v>
      </c>
      <c r="CD126" s="3">
        <f t="shared" si="84"/>
        <v>0</v>
      </c>
    </row>
    <row r="127" spans="2:82" s="7" customFormat="1" x14ac:dyDescent="0.2">
      <c r="B127" s="7" t="s">
        <v>66</v>
      </c>
      <c r="G127" s="7">
        <f>SUM(G128:G130)</f>
        <v>13.674999999999999</v>
      </c>
      <c r="H127" s="7">
        <f t="shared" ref="H127:BS127" si="85">SUM(H128:H130)</f>
        <v>17.16</v>
      </c>
      <c r="I127" s="7">
        <f t="shared" si="85"/>
        <v>20.297000000000001</v>
      </c>
      <c r="J127" s="7">
        <f t="shared" si="85"/>
        <v>23.152999999999999</v>
      </c>
      <c r="K127" s="7">
        <f t="shared" si="85"/>
        <v>25.768999999999998</v>
      </c>
      <c r="L127" s="7">
        <f t="shared" si="85"/>
        <v>28.184000000000001</v>
      </c>
      <c r="M127" s="7">
        <f t="shared" si="85"/>
        <v>30.442</v>
      </c>
      <c r="N127" s="7">
        <f t="shared" si="85"/>
        <v>32.405000000000001</v>
      </c>
      <c r="O127" s="7">
        <f t="shared" si="85"/>
        <v>34.115000000000002</v>
      </c>
      <c r="P127" s="7">
        <f t="shared" si="85"/>
        <v>35.615000000000002</v>
      </c>
      <c r="Q127" s="7">
        <f t="shared" si="85"/>
        <v>36.937000000000005</v>
      </c>
      <c r="R127" s="7">
        <f t="shared" si="85"/>
        <v>38.111999999999995</v>
      </c>
      <c r="S127" s="7">
        <f t="shared" si="85"/>
        <v>39.784000000000006</v>
      </c>
      <c r="T127" s="7">
        <f t="shared" si="85"/>
        <v>67.272999999999996</v>
      </c>
      <c r="U127" s="7">
        <f t="shared" si="85"/>
        <v>62.594999999999999</v>
      </c>
      <c r="V127" s="7">
        <f t="shared" si="85"/>
        <v>234.084</v>
      </c>
      <c r="W127" s="7">
        <f t="shared" si="85"/>
        <v>59.949999999999996</v>
      </c>
      <c r="X127" s="7">
        <f t="shared" si="85"/>
        <v>61.296999999999997</v>
      </c>
      <c r="Y127" s="7">
        <f t="shared" si="85"/>
        <v>64.012</v>
      </c>
      <c r="Z127" s="7">
        <f t="shared" si="85"/>
        <v>67.908000000000001</v>
      </c>
      <c r="AA127" s="7">
        <f t="shared" si="85"/>
        <v>72.966999999999999</v>
      </c>
      <c r="AB127" s="7">
        <f t="shared" si="85"/>
        <v>79.914999999999992</v>
      </c>
      <c r="AC127" s="7">
        <f t="shared" si="85"/>
        <v>86.170999999999992</v>
      </c>
      <c r="AD127" s="7">
        <f t="shared" si="85"/>
        <v>91.903999999999996</v>
      </c>
      <c r="AE127" s="7">
        <f t="shared" si="85"/>
        <v>96.424000000000007</v>
      </c>
      <c r="AF127" s="7">
        <f t="shared" si="85"/>
        <v>0</v>
      </c>
      <c r="AG127" s="7">
        <f t="shared" si="85"/>
        <v>0</v>
      </c>
      <c r="AH127" s="7">
        <f t="shared" si="85"/>
        <v>0</v>
      </c>
      <c r="AI127" s="7">
        <f t="shared" si="85"/>
        <v>0</v>
      </c>
      <c r="AJ127" s="7">
        <f t="shared" si="85"/>
        <v>0</v>
      </c>
      <c r="AK127" s="7">
        <f t="shared" si="85"/>
        <v>0</v>
      </c>
      <c r="AL127" s="7">
        <f t="shared" si="85"/>
        <v>0</v>
      </c>
      <c r="AM127" s="7">
        <f t="shared" si="85"/>
        <v>0</v>
      </c>
      <c r="AN127" s="7">
        <f t="shared" si="85"/>
        <v>0</v>
      </c>
      <c r="AO127" s="7">
        <f t="shared" si="85"/>
        <v>0</v>
      </c>
      <c r="AP127" s="7">
        <f t="shared" si="85"/>
        <v>0</v>
      </c>
      <c r="AQ127" s="7">
        <f t="shared" si="85"/>
        <v>0</v>
      </c>
      <c r="AR127" s="7">
        <f t="shared" si="85"/>
        <v>0</v>
      </c>
      <c r="AS127" s="7">
        <f t="shared" si="85"/>
        <v>0</v>
      </c>
      <c r="AT127" s="7">
        <f t="shared" si="85"/>
        <v>0</v>
      </c>
      <c r="AU127" s="7">
        <f t="shared" si="85"/>
        <v>0</v>
      </c>
      <c r="AV127" s="7">
        <f t="shared" si="85"/>
        <v>0</v>
      </c>
      <c r="AW127" s="7">
        <f t="shared" si="85"/>
        <v>0</v>
      </c>
      <c r="AX127" s="7">
        <f t="shared" si="85"/>
        <v>0</v>
      </c>
      <c r="AY127" s="7">
        <f t="shared" si="85"/>
        <v>0</v>
      </c>
      <c r="AZ127" s="7">
        <f t="shared" si="85"/>
        <v>0</v>
      </c>
      <c r="BA127" s="7">
        <f t="shared" si="85"/>
        <v>0</v>
      </c>
      <c r="BB127" s="7">
        <f t="shared" si="85"/>
        <v>0</v>
      </c>
      <c r="BC127" s="7">
        <f t="shared" si="85"/>
        <v>0</v>
      </c>
      <c r="BD127" s="7">
        <f t="shared" si="85"/>
        <v>0</v>
      </c>
      <c r="BE127" s="7">
        <f t="shared" si="85"/>
        <v>0</v>
      </c>
      <c r="BF127" s="7">
        <f t="shared" si="85"/>
        <v>0</v>
      </c>
      <c r="BG127" s="7">
        <f t="shared" si="85"/>
        <v>0</v>
      </c>
      <c r="BH127" s="7">
        <f t="shared" si="85"/>
        <v>0</v>
      </c>
      <c r="BI127" s="7">
        <f t="shared" si="85"/>
        <v>0</v>
      </c>
      <c r="BJ127" s="7">
        <f t="shared" si="85"/>
        <v>0</v>
      </c>
      <c r="BK127" s="7">
        <f t="shared" si="85"/>
        <v>0</v>
      </c>
      <c r="BL127" s="7">
        <f t="shared" si="85"/>
        <v>0</v>
      </c>
      <c r="BM127" s="7">
        <f t="shared" si="85"/>
        <v>0</v>
      </c>
      <c r="BN127" s="7">
        <f t="shared" si="85"/>
        <v>0</v>
      </c>
      <c r="BO127" s="7">
        <f t="shared" si="85"/>
        <v>0</v>
      </c>
      <c r="BP127" s="7">
        <f t="shared" si="85"/>
        <v>0</v>
      </c>
      <c r="BQ127" s="7">
        <f t="shared" si="85"/>
        <v>0</v>
      </c>
      <c r="BR127" s="7">
        <f t="shared" si="85"/>
        <v>0</v>
      </c>
      <c r="BS127" s="7">
        <f t="shared" si="85"/>
        <v>0</v>
      </c>
      <c r="BT127" s="7">
        <f t="shared" ref="BT127:CD127" si="86">SUM(BT128:BT130)</f>
        <v>0</v>
      </c>
      <c r="BU127" s="7">
        <f t="shared" si="86"/>
        <v>0</v>
      </c>
      <c r="BV127" s="7">
        <f t="shared" si="86"/>
        <v>0</v>
      </c>
      <c r="BW127" s="7">
        <f t="shared" si="86"/>
        <v>0</v>
      </c>
      <c r="BX127" s="7">
        <f t="shared" si="86"/>
        <v>0</v>
      </c>
      <c r="BY127" s="7">
        <f t="shared" si="86"/>
        <v>0</v>
      </c>
      <c r="BZ127" s="7">
        <f t="shared" si="86"/>
        <v>0</v>
      </c>
      <c r="CA127" s="7">
        <f t="shared" si="86"/>
        <v>0</v>
      </c>
      <c r="CB127" s="7">
        <f t="shared" si="86"/>
        <v>0</v>
      </c>
      <c r="CC127" s="7">
        <f t="shared" si="86"/>
        <v>0</v>
      </c>
      <c r="CD127" s="7">
        <f t="shared" si="86"/>
        <v>0</v>
      </c>
    </row>
    <row r="128" spans="2:82" s="3" customFormat="1" x14ac:dyDescent="0.2">
      <c r="C128" s="3" t="s">
        <v>67</v>
      </c>
      <c r="F128" s="3" t="s">
        <v>56</v>
      </c>
      <c r="G128" s="3">
        <f>O359</f>
        <v>12.494999999999999</v>
      </c>
      <c r="H128" s="3">
        <f t="shared" ref="H128:BR128" si="87">P359</f>
        <v>15.680999999999999</v>
      </c>
      <c r="I128" s="3">
        <f t="shared" si="87"/>
        <v>18.548999999999999</v>
      </c>
      <c r="J128" s="3">
        <f t="shared" si="87"/>
        <v>21.16</v>
      </c>
      <c r="K128" s="3">
        <f t="shared" si="87"/>
        <v>23.552</v>
      </c>
      <c r="L128" s="3">
        <f t="shared" si="87"/>
        <v>25.762</v>
      </c>
      <c r="M128" s="3">
        <f t="shared" si="87"/>
        <v>27.827000000000002</v>
      </c>
      <c r="N128" s="3">
        <f t="shared" si="87"/>
        <v>29.609000000000002</v>
      </c>
      <c r="O128" s="3">
        <f t="shared" si="87"/>
        <v>31.148</v>
      </c>
      <c r="P128" s="3">
        <f t="shared" si="87"/>
        <v>32.484000000000002</v>
      </c>
      <c r="Q128" s="3">
        <f t="shared" si="87"/>
        <v>33.648000000000003</v>
      </c>
      <c r="R128" s="3">
        <f t="shared" si="87"/>
        <v>34.668999999999997</v>
      </c>
      <c r="S128" s="3">
        <f t="shared" si="87"/>
        <v>36.191000000000003</v>
      </c>
      <c r="T128" s="3">
        <f t="shared" si="87"/>
        <v>61.344999999999999</v>
      </c>
      <c r="U128" s="3">
        <f t="shared" si="87"/>
        <v>57.152999999999999</v>
      </c>
      <c r="V128" s="3">
        <f t="shared" si="87"/>
        <v>54.966000000000001</v>
      </c>
      <c r="W128" s="3">
        <f t="shared" si="87"/>
        <v>55.043999999999997</v>
      </c>
      <c r="X128" s="3">
        <f t="shared" si="87"/>
        <v>56.491999999999997</v>
      </c>
      <c r="Y128" s="3">
        <f t="shared" si="87"/>
        <v>59.246000000000002</v>
      </c>
      <c r="Z128" s="3">
        <f t="shared" si="87"/>
        <v>63.134</v>
      </c>
      <c r="AA128" s="3">
        <f t="shared" si="87"/>
        <v>68.143000000000001</v>
      </c>
      <c r="AB128" s="3">
        <f t="shared" si="87"/>
        <v>74.992999999999995</v>
      </c>
      <c r="AC128" s="3">
        <f t="shared" si="87"/>
        <v>81.099999999999994</v>
      </c>
      <c r="AD128" s="3">
        <f t="shared" si="87"/>
        <v>86.685000000000002</v>
      </c>
      <c r="AE128" s="3">
        <f t="shared" si="87"/>
        <v>90.837000000000003</v>
      </c>
      <c r="AF128" s="3">
        <f t="shared" si="87"/>
        <v>0</v>
      </c>
      <c r="AG128" s="3">
        <f t="shared" si="87"/>
        <v>0</v>
      </c>
      <c r="AH128" s="3">
        <f t="shared" si="87"/>
        <v>0</v>
      </c>
      <c r="AI128" s="3">
        <f t="shared" si="87"/>
        <v>0</v>
      </c>
      <c r="AJ128" s="3">
        <f t="shared" si="87"/>
        <v>0</v>
      </c>
      <c r="AK128" s="3">
        <f t="shared" si="87"/>
        <v>0</v>
      </c>
      <c r="AL128" s="3">
        <f t="shared" si="87"/>
        <v>0</v>
      </c>
      <c r="AM128" s="3">
        <f t="shared" si="87"/>
        <v>0</v>
      </c>
      <c r="AN128" s="3">
        <f t="shared" si="87"/>
        <v>0</v>
      </c>
      <c r="AO128" s="3">
        <f t="shared" si="87"/>
        <v>0</v>
      </c>
      <c r="AP128" s="3">
        <f t="shared" si="87"/>
        <v>0</v>
      </c>
      <c r="AQ128" s="3">
        <f t="shared" si="87"/>
        <v>0</v>
      </c>
      <c r="AR128" s="3">
        <f t="shared" si="87"/>
        <v>0</v>
      </c>
      <c r="AS128" s="3">
        <f t="shared" si="87"/>
        <v>0</v>
      </c>
      <c r="AT128" s="3">
        <f t="shared" si="87"/>
        <v>0</v>
      </c>
      <c r="AU128" s="3">
        <f t="shared" si="87"/>
        <v>0</v>
      </c>
      <c r="AV128" s="3">
        <f t="shared" si="87"/>
        <v>0</v>
      </c>
      <c r="AW128" s="3">
        <f t="shared" si="87"/>
        <v>0</v>
      </c>
      <c r="AX128" s="3">
        <f t="shared" si="87"/>
        <v>0</v>
      </c>
      <c r="AY128" s="3">
        <f t="shared" si="87"/>
        <v>0</v>
      </c>
      <c r="AZ128" s="3">
        <f t="shared" si="87"/>
        <v>0</v>
      </c>
      <c r="BA128" s="3">
        <f t="shared" si="87"/>
        <v>0</v>
      </c>
      <c r="BB128" s="3">
        <f t="shared" si="87"/>
        <v>0</v>
      </c>
      <c r="BC128" s="3">
        <f t="shared" si="87"/>
        <v>0</v>
      </c>
      <c r="BD128" s="3">
        <f t="shared" si="87"/>
        <v>0</v>
      </c>
      <c r="BE128" s="3">
        <f t="shared" si="87"/>
        <v>0</v>
      </c>
      <c r="BF128" s="3">
        <f t="shared" si="87"/>
        <v>0</v>
      </c>
      <c r="BG128" s="3">
        <f t="shared" si="87"/>
        <v>0</v>
      </c>
      <c r="BH128" s="3">
        <f t="shared" si="87"/>
        <v>0</v>
      </c>
      <c r="BI128" s="3">
        <f t="shared" si="87"/>
        <v>0</v>
      </c>
      <c r="BJ128" s="3">
        <f t="shared" si="87"/>
        <v>0</v>
      </c>
      <c r="BK128" s="3">
        <f t="shared" si="87"/>
        <v>0</v>
      </c>
      <c r="BL128" s="3">
        <f t="shared" si="87"/>
        <v>0</v>
      </c>
      <c r="BM128" s="3">
        <f t="shared" si="87"/>
        <v>0</v>
      </c>
      <c r="BN128" s="3">
        <f t="shared" si="87"/>
        <v>0</v>
      </c>
      <c r="BO128" s="3">
        <f t="shared" si="87"/>
        <v>0</v>
      </c>
      <c r="BP128" s="3">
        <f t="shared" si="87"/>
        <v>0</v>
      </c>
      <c r="BQ128" s="3">
        <f t="shared" si="87"/>
        <v>0</v>
      </c>
      <c r="BR128" s="3">
        <f t="shared" si="87"/>
        <v>0</v>
      </c>
      <c r="BS128" s="3">
        <f>CA359</f>
        <v>0</v>
      </c>
      <c r="BT128" s="3">
        <f>CB359</f>
        <v>0</v>
      </c>
      <c r="BU128" s="3">
        <f>CC359</f>
        <v>0</v>
      </c>
      <c r="BV128" s="3">
        <f>CD359</f>
        <v>0</v>
      </c>
      <c r="BW128" s="3">
        <f>CE359</f>
        <v>0</v>
      </c>
      <c r="BX128" s="3">
        <f>CF359</f>
        <v>0</v>
      </c>
      <c r="BY128" s="3">
        <f>CG359</f>
        <v>0</v>
      </c>
      <c r="BZ128" s="3">
        <f>CH359</f>
        <v>0</v>
      </c>
      <c r="CA128" s="3">
        <f>CI359</f>
        <v>0</v>
      </c>
      <c r="CB128" s="3">
        <f>CJ359</f>
        <v>0</v>
      </c>
      <c r="CC128" s="3">
        <f>CK359</f>
        <v>0</v>
      </c>
      <c r="CD128" s="3">
        <f>CL359</f>
        <v>0</v>
      </c>
    </row>
    <row r="129" spans="1:82" s="3" customFormat="1" x14ac:dyDescent="0.2">
      <c r="C129" s="3" t="s">
        <v>68</v>
      </c>
      <c r="F129" s="3" t="s">
        <v>56</v>
      </c>
      <c r="G129" s="3">
        <f>O360</f>
        <v>1.18</v>
      </c>
      <c r="H129" s="3">
        <f>P360</f>
        <v>1.4790000000000001</v>
      </c>
      <c r="I129" s="3">
        <f>Q360</f>
        <v>1.748</v>
      </c>
      <c r="J129" s="3">
        <f>R360</f>
        <v>1.9930000000000001</v>
      </c>
      <c r="K129" s="3">
        <f>S360</f>
        <v>2.2170000000000001</v>
      </c>
      <c r="L129" s="3">
        <f>T360</f>
        <v>2.4220000000000002</v>
      </c>
      <c r="M129" s="3">
        <f>U360</f>
        <v>2.6150000000000002</v>
      </c>
      <c r="N129" s="3">
        <f>V360</f>
        <v>2.7959999999999998</v>
      </c>
      <c r="O129" s="3">
        <f>W360</f>
        <v>2.9670000000000001</v>
      </c>
      <c r="P129" s="3">
        <f>X360</f>
        <v>3.1309999999999998</v>
      </c>
      <c r="Q129" s="3">
        <f>Y360</f>
        <v>3.2890000000000001</v>
      </c>
      <c r="R129" s="3">
        <f>Z360</f>
        <v>3.4430000000000001</v>
      </c>
      <c r="S129" s="3">
        <f>AA360</f>
        <v>3.593</v>
      </c>
      <c r="T129" s="3">
        <f>AB360</f>
        <v>5.9279999999999999</v>
      </c>
      <c r="U129" s="3">
        <f>AC360</f>
        <v>5.4420000000000002</v>
      </c>
      <c r="V129" s="3">
        <f>AD360</f>
        <v>5.0979999999999999</v>
      </c>
      <c r="W129" s="3">
        <f>AE360</f>
        <v>4.9059999999999997</v>
      </c>
      <c r="X129" s="3">
        <f>AF360</f>
        <v>4.8049999999999997</v>
      </c>
      <c r="Y129" s="3">
        <f>AG360</f>
        <v>4.766</v>
      </c>
      <c r="Z129" s="3">
        <f>AH360</f>
        <v>4.774</v>
      </c>
      <c r="AA129" s="3">
        <f>AI360</f>
        <v>4.8239999999999998</v>
      </c>
      <c r="AB129" s="3">
        <f>AJ360</f>
        <v>4.9219999999999997</v>
      </c>
      <c r="AC129" s="3">
        <f>AK360</f>
        <v>5.0709999999999997</v>
      </c>
      <c r="AD129" s="3">
        <f>AL360</f>
        <v>5.2190000000000003</v>
      </c>
      <c r="AE129" s="3">
        <f>AM360</f>
        <v>5.5869999999999997</v>
      </c>
      <c r="AF129" s="3">
        <f>AN360</f>
        <v>0</v>
      </c>
      <c r="AG129" s="3">
        <f>AO360</f>
        <v>0</v>
      </c>
      <c r="AH129" s="3">
        <f>AP360</f>
        <v>0</v>
      </c>
      <c r="AI129" s="3">
        <f>AQ360</f>
        <v>0</v>
      </c>
      <c r="AJ129" s="3">
        <f>AR360</f>
        <v>0</v>
      </c>
      <c r="AK129" s="3">
        <f>AS360</f>
        <v>0</v>
      </c>
      <c r="AL129" s="3">
        <f>AT360</f>
        <v>0</v>
      </c>
      <c r="AM129" s="3">
        <f>AU360</f>
        <v>0</v>
      </c>
      <c r="AN129" s="3">
        <f>AV360</f>
        <v>0</v>
      </c>
      <c r="AO129" s="3">
        <f>AW360</f>
        <v>0</v>
      </c>
      <c r="AP129" s="3">
        <f>AX360</f>
        <v>0</v>
      </c>
      <c r="AQ129" s="3">
        <f>AY360</f>
        <v>0</v>
      </c>
      <c r="AR129" s="3">
        <f>AZ360</f>
        <v>0</v>
      </c>
      <c r="AS129" s="3">
        <f>BA360</f>
        <v>0</v>
      </c>
      <c r="AT129" s="3">
        <f>BB360</f>
        <v>0</v>
      </c>
      <c r="AU129" s="3">
        <f>BC360</f>
        <v>0</v>
      </c>
      <c r="AV129" s="3">
        <f>BD360</f>
        <v>0</v>
      </c>
      <c r="AW129" s="3">
        <f>BE360</f>
        <v>0</v>
      </c>
      <c r="AX129" s="3">
        <f>BF360</f>
        <v>0</v>
      </c>
      <c r="AY129" s="3">
        <f>BG360</f>
        <v>0</v>
      </c>
      <c r="AZ129" s="3">
        <f>BH360</f>
        <v>0</v>
      </c>
      <c r="BA129" s="3">
        <f>BI360</f>
        <v>0</v>
      </c>
      <c r="BB129" s="3">
        <f>BJ360</f>
        <v>0</v>
      </c>
      <c r="BC129" s="3">
        <f>BK360</f>
        <v>0</v>
      </c>
      <c r="BD129" s="3">
        <f>BL360</f>
        <v>0</v>
      </c>
      <c r="BE129" s="3">
        <f>BM360</f>
        <v>0</v>
      </c>
      <c r="BF129" s="3">
        <f>BN360</f>
        <v>0</v>
      </c>
      <c r="BG129" s="3">
        <f>BO360</f>
        <v>0</v>
      </c>
      <c r="BH129" s="3">
        <f>BP360</f>
        <v>0</v>
      </c>
      <c r="BI129" s="3">
        <f>BQ360</f>
        <v>0</v>
      </c>
      <c r="BJ129" s="3">
        <f>BR360</f>
        <v>0</v>
      </c>
      <c r="BK129" s="3">
        <f>BS360</f>
        <v>0</v>
      </c>
      <c r="BL129" s="3">
        <f>BT360</f>
        <v>0</v>
      </c>
      <c r="BM129" s="3">
        <f>BU360</f>
        <v>0</v>
      </c>
      <c r="BN129" s="3">
        <f>BV360</f>
        <v>0</v>
      </c>
      <c r="BO129" s="3">
        <f>BW360</f>
        <v>0</v>
      </c>
      <c r="BP129" s="3">
        <f>BX360</f>
        <v>0</v>
      </c>
      <c r="BQ129" s="3">
        <f>BY360</f>
        <v>0</v>
      </c>
      <c r="BR129" s="3">
        <f>BZ360</f>
        <v>0</v>
      </c>
      <c r="BS129" s="3">
        <f>CA360</f>
        <v>0</v>
      </c>
      <c r="BT129" s="3">
        <f>CB360</f>
        <v>0</v>
      </c>
      <c r="BU129" s="3">
        <f>CC360</f>
        <v>0</v>
      </c>
      <c r="BV129" s="3">
        <f>CD360</f>
        <v>0</v>
      </c>
      <c r="BW129" s="3">
        <f>CE360</f>
        <v>0</v>
      </c>
      <c r="BX129" s="3">
        <f>CF360</f>
        <v>0</v>
      </c>
      <c r="BY129" s="3">
        <f>CG360</f>
        <v>0</v>
      </c>
      <c r="BZ129" s="3">
        <f>CH360</f>
        <v>0</v>
      </c>
      <c r="CA129" s="3">
        <f>CI360</f>
        <v>0</v>
      </c>
      <c r="CB129" s="3">
        <f>CJ360</f>
        <v>0</v>
      </c>
      <c r="CC129" s="3">
        <f>CK360</f>
        <v>0</v>
      </c>
      <c r="CD129" s="3">
        <f>CL360</f>
        <v>0</v>
      </c>
    </row>
    <row r="130" spans="1:82" s="3" customFormat="1" x14ac:dyDescent="0.2">
      <c r="C130" s="3" t="s">
        <v>68</v>
      </c>
      <c r="F130" s="3" t="s">
        <v>58</v>
      </c>
      <c r="G130" s="3">
        <f>O361</f>
        <v>0</v>
      </c>
      <c r="H130" s="3">
        <f>P361</f>
        <v>0</v>
      </c>
      <c r="I130" s="3">
        <f>Q361</f>
        <v>0</v>
      </c>
      <c r="J130" s="3">
        <f>R361</f>
        <v>0</v>
      </c>
      <c r="K130" s="3">
        <f>S361</f>
        <v>0</v>
      </c>
      <c r="L130" s="3">
        <f>T361</f>
        <v>0</v>
      </c>
      <c r="M130" s="3">
        <f>U361</f>
        <v>0</v>
      </c>
      <c r="N130" s="3">
        <f>V361</f>
        <v>0</v>
      </c>
      <c r="O130" s="3">
        <f>W361</f>
        <v>0</v>
      </c>
      <c r="P130" s="3">
        <f>X361</f>
        <v>0</v>
      </c>
      <c r="Q130" s="3">
        <f>Y361</f>
        <v>0</v>
      </c>
      <c r="R130" s="3">
        <f>Z361</f>
        <v>0</v>
      </c>
      <c r="S130" s="3">
        <f>AA361</f>
        <v>0</v>
      </c>
      <c r="T130" s="3">
        <f>AB361</f>
        <v>0</v>
      </c>
      <c r="U130" s="3">
        <f>AC361</f>
        <v>0</v>
      </c>
      <c r="V130" s="3">
        <f>AD361</f>
        <v>174.02</v>
      </c>
      <c r="W130" s="3">
        <f>AE361</f>
        <v>0</v>
      </c>
      <c r="X130" s="3">
        <f>AF361</f>
        <v>0</v>
      </c>
      <c r="Y130" s="3">
        <f>AG361</f>
        <v>0</v>
      </c>
      <c r="Z130" s="3">
        <f>AH361</f>
        <v>0</v>
      </c>
      <c r="AA130" s="3">
        <f>AI361</f>
        <v>0</v>
      </c>
      <c r="AB130" s="3">
        <f>AJ361</f>
        <v>0</v>
      </c>
      <c r="AC130" s="3">
        <f>AK361</f>
        <v>0</v>
      </c>
      <c r="AD130" s="3">
        <f>AL361</f>
        <v>0</v>
      </c>
      <c r="AE130" s="3">
        <f>AM361</f>
        <v>0</v>
      </c>
      <c r="AF130" s="3">
        <f>AN361</f>
        <v>0</v>
      </c>
      <c r="AG130" s="3">
        <f>AO361</f>
        <v>0</v>
      </c>
      <c r="AH130" s="3">
        <f>AP361</f>
        <v>0</v>
      </c>
      <c r="AI130" s="3">
        <f>AQ361</f>
        <v>0</v>
      </c>
      <c r="AJ130" s="3">
        <f>AR361</f>
        <v>0</v>
      </c>
      <c r="AK130" s="3">
        <f>AS361</f>
        <v>0</v>
      </c>
      <c r="AL130" s="3">
        <f>AT361</f>
        <v>0</v>
      </c>
      <c r="AM130" s="3">
        <f>AU361</f>
        <v>0</v>
      </c>
      <c r="AN130" s="3">
        <f>AV361</f>
        <v>0</v>
      </c>
      <c r="AO130" s="3">
        <f>AW361</f>
        <v>0</v>
      </c>
      <c r="AP130" s="3">
        <f>AX361</f>
        <v>0</v>
      </c>
      <c r="AQ130" s="3">
        <f>AY361</f>
        <v>0</v>
      </c>
      <c r="AR130" s="3">
        <f>AZ361</f>
        <v>0</v>
      </c>
      <c r="AS130" s="3">
        <f>BA361</f>
        <v>0</v>
      </c>
      <c r="AT130" s="3">
        <f>BB361</f>
        <v>0</v>
      </c>
      <c r="AU130" s="3">
        <f>BC361</f>
        <v>0</v>
      </c>
      <c r="AV130" s="3">
        <f>BD361</f>
        <v>0</v>
      </c>
      <c r="AW130" s="3">
        <f>BE361</f>
        <v>0</v>
      </c>
      <c r="AX130" s="3">
        <f>BF361</f>
        <v>0</v>
      </c>
      <c r="AY130" s="3">
        <f>BG361</f>
        <v>0</v>
      </c>
      <c r="AZ130" s="3">
        <f>BH361</f>
        <v>0</v>
      </c>
      <c r="BA130" s="3">
        <f>BI361</f>
        <v>0</v>
      </c>
      <c r="BB130" s="3">
        <f>BJ361</f>
        <v>0</v>
      </c>
      <c r="BC130" s="3">
        <f>BK361</f>
        <v>0</v>
      </c>
      <c r="BD130" s="3">
        <f>BL361</f>
        <v>0</v>
      </c>
      <c r="BE130" s="3">
        <f>BM361</f>
        <v>0</v>
      </c>
      <c r="BF130" s="3">
        <f>BN361</f>
        <v>0</v>
      </c>
      <c r="BG130" s="3">
        <f>BO361</f>
        <v>0</v>
      </c>
      <c r="BH130" s="3">
        <f>BP361</f>
        <v>0</v>
      </c>
      <c r="BI130" s="3">
        <f>BQ361</f>
        <v>0</v>
      </c>
      <c r="BJ130" s="3">
        <f>BR361</f>
        <v>0</v>
      </c>
      <c r="BK130" s="3">
        <f>BS361</f>
        <v>0</v>
      </c>
      <c r="BL130" s="3">
        <f>BT361</f>
        <v>0</v>
      </c>
      <c r="BM130" s="3">
        <f>BU361</f>
        <v>0</v>
      </c>
      <c r="BN130" s="3">
        <f>BV361</f>
        <v>0</v>
      </c>
      <c r="BO130" s="3">
        <f>BW361</f>
        <v>0</v>
      </c>
      <c r="BP130" s="3">
        <f>BX361</f>
        <v>0</v>
      </c>
      <c r="BQ130" s="3">
        <f>BY361</f>
        <v>0</v>
      </c>
      <c r="BR130" s="3">
        <f>BZ361</f>
        <v>0</v>
      </c>
      <c r="BS130" s="3">
        <f>CA361</f>
        <v>0</v>
      </c>
      <c r="BT130" s="3">
        <f>CB361</f>
        <v>0</v>
      </c>
      <c r="BU130" s="3">
        <f>CC361</f>
        <v>0</v>
      </c>
      <c r="BV130" s="3">
        <f>CD361</f>
        <v>0</v>
      </c>
      <c r="BW130" s="3">
        <f>CE361</f>
        <v>0</v>
      </c>
      <c r="BX130" s="3">
        <f>CF361</f>
        <v>0</v>
      </c>
      <c r="BY130" s="3">
        <f>CG361</f>
        <v>0</v>
      </c>
      <c r="BZ130" s="3">
        <f>CH361</f>
        <v>0</v>
      </c>
      <c r="CA130" s="3">
        <f>CI361</f>
        <v>0</v>
      </c>
      <c r="CB130" s="3">
        <f>CJ361</f>
        <v>0</v>
      </c>
      <c r="CC130" s="3">
        <f>CK361</f>
        <v>0</v>
      </c>
      <c r="CD130" s="3">
        <f>CL361</f>
        <v>0</v>
      </c>
    </row>
    <row r="131" spans="1:82" s="7" customFormat="1" x14ac:dyDescent="0.2">
      <c r="B131" s="7" t="s">
        <v>69</v>
      </c>
      <c r="G131" s="7">
        <f>SUM(G132:G134)</f>
        <v>0</v>
      </c>
      <c r="H131" s="7">
        <f t="shared" ref="H131:BS131" si="88">SUM(H132:H134)</f>
        <v>0</v>
      </c>
      <c r="I131" s="7">
        <f t="shared" si="88"/>
        <v>0</v>
      </c>
      <c r="J131" s="7">
        <f t="shared" si="88"/>
        <v>0</v>
      </c>
      <c r="K131" s="7">
        <f t="shared" si="88"/>
        <v>0</v>
      </c>
      <c r="L131" s="7">
        <f t="shared" si="88"/>
        <v>0</v>
      </c>
      <c r="M131" s="7">
        <f t="shared" si="88"/>
        <v>0</v>
      </c>
      <c r="N131" s="7">
        <f t="shared" si="88"/>
        <v>0</v>
      </c>
      <c r="O131" s="7">
        <f t="shared" si="88"/>
        <v>0</v>
      </c>
      <c r="P131" s="7">
        <f t="shared" si="88"/>
        <v>0</v>
      </c>
      <c r="Q131" s="7">
        <f t="shared" si="88"/>
        <v>0</v>
      </c>
      <c r="R131" s="7">
        <f t="shared" si="88"/>
        <v>0</v>
      </c>
      <c r="S131" s="7">
        <f t="shared" si="88"/>
        <v>0</v>
      </c>
      <c r="T131" s="7">
        <f t="shared" si="88"/>
        <v>0</v>
      </c>
      <c r="U131" s="7">
        <f t="shared" si="88"/>
        <v>0</v>
      </c>
      <c r="V131" s="7">
        <f t="shared" si="88"/>
        <v>0</v>
      </c>
      <c r="W131" s="7">
        <f t="shared" si="88"/>
        <v>0</v>
      </c>
      <c r="X131" s="7">
        <f t="shared" si="88"/>
        <v>0</v>
      </c>
      <c r="Y131" s="7">
        <f t="shared" si="88"/>
        <v>0</v>
      </c>
      <c r="Z131" s="7">
        <f t="shared" si="88"/>
        <v>0</v>
      </c>
      <c r="AA131" s="7">
        <f t="shared" si="88"/>
        <v>0</v>
      </c>
      <c r="AB131" s="7">
        <f t="shared" si="88"/>
        <v>0</v>
      </c>
      <c r="AC131" s="7">
        <f t="shared" si="88"/>
        <v>0</v>
      </c>
      <c r="AD131" s="7">
        <f t="shared" si="88"/>
        <v>0</v>
      </c>
      <c r="AE131" s="7">
        <f t="shared" si="88"/>
        <v>0</v>
      </c>
      <c r="AF131" s="7">
        <f t="shared" si="88"/>
        <v>0</v>
      </c>
      <c r="AG131" s="7">
        <f t="shared" si="88"/>
        <v>0</v>
      </c>
      <c r="AH131" s="7">
        <f t="shared" si="88"/>
        <v>0</v>
      </c>
      <c r="AI131" s="7">
        <f t="shared" si="88"/>
        <v>0</v>
      </c>
      <c r="AJ131" s="7">
        <f t="shared" si="88"/>
        <v>0</v>
      </c>
      <c r="AK131" s="7">
        <f t="shared" si="88"/>
        <v>0</v>
      </c>
      <c r="AL131" s="7">
        <f t="shared" si="88"/>
        <v>0</v>
      </c>
      <c r="AM131" s="7">
        <f t="shared" si="88"/>
        <v>0</v>
      </c>
      <c r="AN131" s="7">
        <f t="shared" si="88"/>
        <v>0</v>
      </c>
      <c r="AO131" s="7">
        <f t="shared" si="88"/>
        <v>0</v>
      </c>
      <c r="AP131" s="7">
        <f t="shared" si="88"/>
        <v>0</v>
      </c>
      <c r="AQ131" s="7">
        <f t="shared" si="88"/>
        <v>0</v>
      </c>
      <c r="AR131" s="7">
        <f t="shared" si="88"/>
        <v>0</v>
      </c>
      <c r="AS131" s="7">
        <f t="shared" si="88"/>
        <v>0</v>
      </c>
      <c r="AT131" s="7">
        <f t="shared" si="88"/>
        <v>0</v>
      </c>
      <c r="AU131" s="7">
        <f t="shared" si="88"/>
        <v>0</v>
      </c>
      <c r="AV131" s="7">
        <f t="shared" si="88"/>
        <v>0</v>
      </c>
      <c r="AW131" s="7">
        <f t="shared" si="88"/>
        <v>0</v>
      </c>
      <c r="AX131" s="7">
        <f t="shared" si="88"/>
        <v>0</v>
      </c>
      <c r="AY131" s="7">
        <f t="shared" si="88"/>
        <v>0</v>
      </c>
      <c r="AZ131" s="7">
        <f t="shared" si="88"/>
        <v>0</v>
      </c>
      <c r="BA131" s="7">
        <f t="shared" si="88"/>
        <v>0</v>
      </c>
      <c r="BB131" s="7">
        <f t="shared" si="88"/>
        <v>0</v>
      </c>
      <c r="BC131" s="7">
        <f t="shared" si="88"/>
        <v>0</v>
      </c>
      <c r="BD131" s="7">
        <f t="shared" si="88"/>
        <v>0</v>
      </c>
      <c r="BE131" s="7">
        <f t="shared" si="88"/>
        <v>0</v>
      </c>
      <c r="BF131" s="7">
        <f t="shared" si="88"/>
        <v>0</v>
      </c>
      <c r="BG131" s="7">
        <f t="shared" si="88"/>
        <v>0</v>
      </c>
      <c r="BH131" s="7">
        <f t="shared" si="88"/>
        <v>0</v>
      </c>
      <c r="BI131" s="7">
        <f t="shared" si="88"/>
        <v>0</v>
      </c>
      <c r="BJ131" s="7">
        <f t="shared" si="88"/>
        <v>0</v>
      </c>
      <c r="BK131" s="7">
        <f t="shared" si="88"/>
        <v>0</v>
      </c>
      <c r="BL131" s="7">
        <f t="shared" si="88"/>
        <v>0</v>
      </c>
      <c r="BM131" s="7">
        <f t="shared" si="88"/>
        <v>0</v>
      </c>
      <c r="BN131" s="7">
        <f t="shared" si="88"/>
        <v>0</v>
      </c>
      <c r="BO131" s="7">
        <f t="shared" si="88"/>
        <v>0</v>
      </c>
      <c r="BP131" s="7">
        <f t="shared" si="88"/>
        <v>0</v>
      </c>
      <c r="BQ131" s="7">
        <f t="shared" si="88"/>
        <v>0</v>
      </c>
      <c r="BR131" s="7">
        <f t="shared" si="88"/>
        <v>0</v>
      </c>
      <c r="BS131" s="7">
        <f t="shared" si="88"/>
        <v>0</v>
      </c>
      <c r="BT131" s="7">
        <f t="shared" ref="BT131:CD131" si="89">SUM(BT132:BT134)</f>
        <v>0</v>
      </c>
      <c r="BU131" s="7">
        <f t="shared" si="89"/>
        <v>0</v>
      </c>
      <c r="BV131" s="7">
        <f t="shared" si="89"/>
        <v>0</v>
      </c>
      <c r="BW131" s="7">
        <f t="shared" si="89"/>
        <v>0</v>
      </c>
      <c r="BX131" s="7">
        <f t="shared" si="89"/>
        <v>0</v>
      </c>
      <c r="BY131" s="7">
        <f t="shared" si="89"/>
        <v>0</v>
      </c>
      <c r="BZ131" s="7">
        <f t="shared" si="89"/>
        <v>0</v>
      </c>
      <c r="CA131" s="7">
        <f t="shared" si="89"/>
        <v>0</v>
      </c>
      <c r="CB131" s="7">
        <f t="shared" si="89"/>
        <v>0</v>
      </c>
      <c r="CC131" s="7">
        <f t="shared" si="89"/>
        <v>0</v>
      </c>
      <c r="CD131" s="7">
        <f t="shared" si="89"/>
        <v>0</v>
      </c>
    </row>
    <row r="132" spans="1:82" s="3" customFormat="1" x14ac:dyDescent="0.2">
      <c r="F132" s="3" t="s">
        <v>59</v>
      </c>
      <c r="G132" s="3">
        <f>O362</f>
        <v>0</v>
      </c>
      <c r="H132" s="3">
        <f t="shared" ref="H132:BS133" si="90">P362</f>
        <v>0</v>
      </c>
      <c r="I132" s="3">
        <f t="shared" si="90"/>
        <v>0</v>
      </c>
      <c r="J132" s="3">
        <f t="shared" si="90"/>
        <v>0</v>
      </c>
      <c r="K132" s="3">
        <f t="shared" si="90"/>
        <v>0</v>
      </c>
      <c r="L132" s="3">
        <f t="shared" si="90"/>
        <v>0</v>
      </c>
      <c r="M132" s="3">
        <f t="shared" si="90"/>
        <v>0</v>
      </c>
      <c r="N132" s="3">
        <f t="shared" si="90"/>
        <v>0</v>
      </c>
      <c r="O132" s="3">
        <f t="shared" si="90"/>
        <v>0</v>
      </c>
      <c r="P132" s="3">
        <f t="shared" si="90"/>
        <v>0</v>
      </c>
      <c r="Q132" s="3">
        <f t="shared" si="90"/>
        <v>0</v>
      </c>
      <c r="R132" s="3">
        <f t="shared" si="90"/>
        <v>0</v>
      </c>
      <c r="S132" s="3">
        <f t="shared" si="90"/>
        <v>0</v>
      </c>
      <c r="T132" s="3">
        <f t="shared" si="90"/>
        <v>0</v>
      </c>
      <c r="U132" s="3">
        <f t="shared" si="90"/>
        <v>0</v>
      </c>
      <c r="V132" s="3">
        <f t="shared" si="90"/>
        <v>0</v>
      </c>
      <c r="W132" s="3">
        <f t="shared" si="90"/>
        <v>0</v>
      </c>
      <c r="X132" s="3">
        <f t="shared" si="90"/>
        <v>0</v>
      </c>
      <c r="Y132" s="3">
        <f t="shared" si="90"/>
        <v>0</v>
      </c>
      <c r="Z132" s="3">
        <f t="shared" si="90"/>
        <v>0</v>
      </c>
      <c r="AA132" s="3">
        <f t="shared" si="90"/>
        <v>0</v>
      </c>
      <c r="AB132" s="3">
        <f t="shared" si="90"/>
        <v>0</v>
      </c>
      <c r="AC132" s="3">
        <f t="shared" si="90"/>
        <v>0</v>
      </c>
      <c r="AD132" s="3">
        <f t="shared" si="90"/>
        <v>0</v>
      </c>
      <c r="AE132" s="3">
        <f t="shared" si="90"/>
        <v>0</v>
      </c>
      <c r="AF132" s="3">
        <f t="shared" si="90"/>
        <v>0</v>
      </c>
      <c r="AG132" s="3">
        <f t="shared" si="90"/>
        <v>0</v>
      </c>
      <c r="AH132" s="3">
        <f t="shared" si="90"/>
        <v>0</v>
      </c>
      <c r="AI132" s="3">
        <f t="shared" si="90"/>
        <v>0</v>
      </c>
      <c r="AJ132" s="3">
        <f t="shared" si="90"/>
        <v>0</v>
      </c>
      <c r="AK132" s="3">
        <f t="shared" si="90"/>
        <v>0</v>
      </c>
      <c r="AL132" s="3">
        <f t="shared" si="90"/>
        <v>0</v>
      </c>
      <c r="AM132" s="3">
        <f t="shared" si="90"/>
        <v>0</v>
      </c>
      <c r="AN132" s="3">
        <f t="shared" si="90"/>
        <v>0</v>
      </c>
      <c r="AO132" s="3">
        <f t="shared" si="90"/>
        <v>0</v>
      </c>
      <c r="AP132" s="3">
        <f t="shared" si="90"/>
        <v>0</v>
      </c>
      <c r="AQ132" s="3">
        <f t="shared" si="90"/>
        <v>0</v>
      </c>
      <c r="AR132" s="3">
        <f t="shared" si="90"/>
        <v>0</v>
      </c>
      <c r="AS132" s="3">
        <f t="shared" si="90"/>
        <v>0</v>
      </c>
      <c r="AT132" s="3">
        <f t="shared" si="90"/>
        <v>0</v>
      </c>
      <c r="AU132" s="3">
        <f t="shared" si="90"/>
        <v>0</v>
      </c>
      <c r="AV132" s="3">
        <f t="shared" si="90"/>
        <v>0</v>
      </c>
      <c r="AW132" s="3">
        <f t="shared" si="90"/>
        <v>0</v>
      </c>
      <c r="AX132" s="3">
        <f t="shared" si="90"/>
        <v>0</v>
      </c>
      <c r="AY132" s="3">
        <f t="shared" si="90"/>
        <v>0</v>
      </c>
      <c r="AZ132" s="3">
        <f t="shared" si="90"/>
        <v>0</v>
      </c>
      <c r="BA132" s="3">
        <f t="shared" si="90"/>
        <v>0</v>
      </c>
      <c r="BB132" s="3">
        <f t="shared" si="90"/>
        <v>0</v>
      </c>
      <c r="BC132" s="3">
        <f t="shared" si="90"/>
        <v>0</v>
      </c>
      <c r="BD132" s="3">
        <f t="shared" si="90"/>
        <v>0</v>
      </c>
      <c r="BE132" s="3">
        <f t="shared" si="90"/>
        <v>0</v>
      </c>
      <c r="BF132" s="3">
        <f t="shared" si="90"/>
        <v>0</v>
      </c>
      <c r="BG132" s="3">
        <f t="shared" si="90"/>
        <v>0</v>
      </c>
      <c r="BH132" s="3">
        <f t="shared" si="90"/>
        <v>0</v>
      </c>
      <c r="BI132" s="3">
        <f t="shared" si="90"/>
        <v>0</v>
      </c>
      <c r="BJ132" s="3">
        <f t="shared" si="90"/>
        <v>0</v>
      </c>
      <c r="BK132" s="3">
        <f t="shared" si="90"/>
        <v>0</v>
      </c>
      <c r="BL132" s="3">
        <f t="shared" si="90"/>
        <v>0</v>
      </c>
      <c r="BM132" s="3">
        <f t="shared" si="90"/>
        <v>0</v>
      </c>
      <c r="BN132" s="3">
        <f t="shared" si="90"/>
        <v>0</v>
      </c>
      <c r="BO132" s="3">
        <f t="shared" si="90"/>
        <v>0</v>
      </c>
      <c r="BP132" s="3">
        <f t="shared" si="90"/>
        <v>0</v>
      </c>
      <c r="BQ132" s="3">
        <f t="shared" si="90"/>
        <v>0</v>
      </c>
      <c r="BR132" s="3">
        <f t="shared" si="90"/>
        <v>0</v>
      </c>
      <c r="BS132" s="3">
        <f t="shared" si="90"/>
        <v>0</v>
      </c>
      <c r="BT132" s="3">
        <f t="shared" ref="BT132:CD132" si="91">CB362</f>
        <v>0</v>
      </c>
      <c r="BU132" s="3">
        <f t="shared" si="91"/>
        <v>0</v>
      </c>
      <c r="BV132" s="3">
        <f t="shared" si="91"/>
        <v>0</v>
      </c>
      <c r="BW132" s="3">
        <f t="shared" si="91"/>
        <v>0</v>
      </c>
      <c r="BX132" s="3">
        <f t="shared" si="91"/>
        <v>0</v>
      </c>
      <c r="BY132" s="3">
        <f t="shared" si="91"/>
        <v>0</v>
      </c>
      <c r="BZ132" s="3">
        <f t="shared" si="91"/>
        <v>0</v>
      </c>
      <c r="CA132" s="3">
        <f t="shared" si="91"/>
        <v>0</v>
      </c>
      <c r="CB132" s="3">
        <f t="shared" si="91"/>
        <v>0</v>
      </c>
      <c r="CC132" s="3">
        <f t="shared" si="91"/>
        <v>0</v>
      </c>
      <c r="CD132" s="3">
        <f t="shared" si="91"/>
        <v>0</v>
      </c>
    </row>
    <row r="133" spans="1:82" s="3" customFormat="1" x14ac:dyDescent="0.2">
      <c r="F133" s="3" t="s">
        <v>8</v>
      </c>
      <c r="G133" s="3">
        <f>O363</f>
        <v>0</v>
      </c>
      <c r="H133" s="3">
        <f t="shared" si="90"/>
        <v>0</v>
      </c>
      <c r="I133" s="3">
        <f t="shared" si="90"/>
        <v>0</v>
      </c>
      <c r="J133" s="3">
        <f t="shared" si="90"/>
        <v>0</v>
      </c>
      <c r="K133" s="3">
        <f t="shared" si="90"/>
        <v>0</v>
      </c>
      <c r="L133" s="3">
        <f t="shared" si="90"/>
        <v>0</v>
      </c>
      <c r="M133" s="3">
        <f t="shared" si="90"/>
        <v>0</v>
      </c>
      <c r="N133" s="3">
        <f t="shared" si="90"/>
        <v>0</v>
      </c>
      <c r="O133" s="3">
        <f t="shared" si="90"/>
        <v>0</v>
      </c>
      <c r="P133" s="3">
        <f t="shared" si="90"/>
        <v>0</v>
      </c>
      <c r="Q133" s="3">
        <f t="shared" si="90"/>
        <v>0</v>
      </c>
      <c r="R133" s="3">
        <f t="shared" si="90"/>
        <v>0</v>
      </c>
      <c r="S133" s="3">
        <f t="shared" si="90"/>
        <v>0</v>
      </c>
      <c r="T133" s="3">
        <f t="shared" si="90"/>
        <v>0</v>
      </c>
      <c r="U133" s="3">
        <f t="shared" si="90"/>
        <v>0</v>
      </c>
      <c r="V133" s="3">
        <f t="shared" si="90"/>
        <v>0</v>
      </c>
      <c r="W133" s="3">
        <f t="shared" si="90"/>
        <v>0</v>
      </c>
      <c r="X133" s="3">
        <f t="shared" si="90"/>
        <v>0</v>
      </c>
      <c r="Y133" s="3">
        <f t="shared" si="90"/>
        <v>0</v>
      </c>
      <c r="Z133" s="3">
        <f t="shared" si="90"/>
        <v>0</v>
      </c>
      <c r="AA133" s="3">
        <f t="shared" si="90"/>
        <v>0</v>
      </c>
      <c r="AB133" s="3">
        <f t="shared" si="90"/>
        <v>0</v>
      </c>
      <c r="AC133" s="3">
        <f t="shared" si="90"/>
        <v>0</v>
      </c>
      <c r="AD133" s="3">
        <f t="shared" si="90"/>
        <v>0</v>
      </c>
      <c r="AE133" s="3">
        <f t="shared" si="90"/>
        <v>0</v>
      </c>
      <c r="AF133" s="3">
        <f t="shared" si="90"/>
        <v>0</v>
      </c>
      <c r="AG133" s="3">
        <f t="shared" si="90"/>
        <v>0</v>
      </c>
      <c r="AH133" s="3">
        <f t="shared" si="90"/>
        <v>0</v>
      </c>
      <c r="AI133" s="3">
        <f t="shared" si="90"/>
        <v>0</v>
      </c>
      <c r="AJ133" s="3">
        <f t="shared" si="90"/>
        <v>0</v>
      </c>
      <c r="AK133" s="3">
        <f t="shared" si="90"/>
        <v>0</v>
      </c>
      <c r="AL133" s="3">
        <f t="shared" si="90"/>
        <v>0</v>
      </c>
      <c r="AM133" s="3">
        <f t="shared" si="90"/>
        <v>0</v>
      </c>
      <c r="AN133" s="3">
        <f t="shared" si="90"/>
        <v>0</v>
      </c>
      <c r="AO133" s="3">
        <f t="shared" si="90"/>
        <v>0</v>
      </c>
      <c r="AP133" s="3">
        <f t="shared" si="90"/>
        <v>0</v>
      </c>
      <c r="AQ133" s="3">
        <f t="shared" si="90"/>
        <v>0</v>
      </c>
      <c r="AR133" s="3">
        <f t="shared" si="90"/>
        <v>0</v>
      </c>
      <c r="AS133" s="3">
        <f t="shared" si="90"/>
        <v>0</v>
      </c>
      <c r="AT133" s="3">
        <f t="shared" si="90"/>
        <v>0</v>
      </c>
      <c r="AU133" s="3">
        <f t="shared" si="90"/>
        <v>0</v>
      </c>
      <c r="AV133" s="3">
        <f t="shared" si="90"/>
        <v>0</v>
      </c>
      <c r="AW133" s="3">
        <f t="shared" si="90"/>
        <v>0</v>
      </c>
      <c r="AX133" s="3">
        <f t="shared" si="90"/>
        <v>0</v>
      </c>
      <c r="AY133" s="3">
        <f t="shared" si="90"/>
        <v>0</v>
      </c>
      <c r="AZ133" s="3">
        <f t="shared" si="90"/>
        <v>0</v>
      </c>
      <c r="BA133" s="3">
        <f t="shared" si="90"/>
        <v>0</v>
      </c>
      <c r="BB133" s="3">
        <f t="shared" si="90"/>
        <v>0</v>
      </c>
      <c r="BC133" s="3">
        <f t="shared" si="90"/>
        <v>0</v>
      </c>
      <c r="BD133" s="3">
        <f t="shared" si="90"/>
        <v>0</v>
      </c>
      <c r="BE133" s="3">
        <f t="shared" si="90"/>
        <v>0</v>
      </c>
      <c r="BF133" s="3">
        <f t="shared" si="90"/>
        <v>0</v>
      </c>
      <c r="BG133" s="3">
        <f t="shared" si="90"/>
        <v>0</v>
      </c>
      <c r="BH133" s="3">
        <f t="shared" si="90"/>
        <v>0</v>
      </c>
      <c r="BI133" s="3">
        <f t="shared" si="90"/>
        <v>0</v>
      </c>
      <c r="BJ133" s="3">
        <f t="shared" si="90"/>
        <v>0</v>
      </c>
      <c r="BK133" s="3">
        <f t="shared" si="90"/>
        <v>0</v>
      </c>
      <c r="BL133" s="3">
        <f t="shared" si="90"/>
        <v>0</v>
      </c>
      <c r="BM133" s="3">
        <f t="shared" si="90"/>
        <v>0</v>
      </c>
      <c r="BN133" s="3">
        <f t="shared" si="90"/>
        <v>0</v>
      </c>
      <c r="BO133" s="3">
        <f t="shared" si="90"/>
        <v>0</v>
      </c>
      <c r="BP133" s="3">
        <f t="shared" si="90"/>
        <v>0</v>
      </c>
      <c r="BQ133" s="3">
        <f t="shared" si="90"/>
        <v>0</v>
      </c>
      <c r="BR133" s="3">
        <f t="shared" si="90"/>
        <v>0</v>
      </c>
      <c r="BS133" s="3">
        <f>CA363</f>
        <v>0</v>
      </c>
      <c r="BT133" s="3">
        <f>CB363</f>
        <v>0</v>
      </c>
      <c r="BU133" s="3">
        <f>CC363</f>
        <v>0</v>
      </c>
      <c r="BV133" s="3">
        <f>CD363</f>
        <v>0</v>
      </c>
      <c r="BW133" s="3">
        <f>CE363</f>
        <v>0</v>
      </c>
      <c r="BX133" s="3">
        <f>CF363</f>
        <v>0</v>
      </c>
      <c r="BY133" s="3">
        <f>CG363</f>
        <v>0</v>
      </c>
      <c r="BZ133" s="3">
        <f>CH363</f>
        <v>0</v>
      </c>
      <c r="CA133" s="3">
        <f>CI363</f>
        <v>0</v>
      </c>
      <c r="CB133" s="3">
        <f>CJ363</f>
        <v>0</v>
      </c>
      <c r="CC133" s="3">
        <f>CK363</f>
        <v>0</v>
      </c>
      <c r="CD133" s="3">
        <f>CL363</f>
        <v>0</v>
      </c>
    </row>
    <row r="134" spans="1:82" s="3" customFormat="1" x14ac:dyDescent="0.2">
      <c r="F134" s="3" t="s">
        <v>58</v>
      </c>
      <c r="G134" s="3">
        <f>O364</f>
        <v>0</v>
      </c>
      <c r="H134" s="3">
        <f>P364</f>
        <v>0</v>
      </c>
      <c r="I134" s="3">
        <f>Q364</f>
        <v>0</v>
      </c>
      <c r="J134" s="3">
        <f>R364</f>
        <v>0</v>
      </c>
      <c r="K134" s="3">
        <f>S364</f>
        <v>0</v>
      </c>
      <c r="L134" s="3">
        <f>T364</f>
        <v>0</v>
      </c>
      <c r="M134" s="3">
        <f>U364</f>
        <v>0</v>
      </c>
      <c r="N134" s="3">
        <f>V364</f>
        <v>0</v>
      </c>
      <c r="O134" s="3">
        <f>W364</f>
        <v>0</v>
      </c>
      <c r="P134" s="3">
        <f>X364</f>
        <v>0</v>
      </c>
      <c r="Q134" s="3">
        <f>Y364</f>
        <v>0</v>
      </c>
      <c r="R134" s="3">
        <f>Z364</f>
        <v>0</v>
      </c>
      <c r="S134" s="3">
        <f>AA364</f>
        <v>0</v>
      </c>
      <c r="T134" s="3">
        <f>AB364</f>
        <v>0</v>
      </c>
      <c r="U134" s="3">
        <f>AC364</f>
        <v>0</v>
      </c>
      <c r="V134" s="3">
        <f>AD364</f>
        <v>0</v>
      </c>
      <c r="W134" s="3">
        <f>AE364</f>
        <v>0</v>
      </c>
      <c r="X134" s="3">
        <f>AF364</f>
        <v>0</v>
      </c>
      <c r="Y134" s="3">
        <f>AG364</f>
        <v>0</v>
      </c>
      <c r="Z134" s="3">
        <f>AH364</f>
        <v>0</v>
      </c>
      <c r="AA134" s="3">
        <f>AI364</f>
        <v>0</v>
      </c>
      <c r="AB134" s="3">
        <f>AJ364</f>
        <v>0</v>
      </c>
      <c r="AC134" s="3">
        <f>AK364</f>
        <v>0</v>
      </c>
      <c r="AD134" s="3">
        <f>AL364</f>
        <v>0</v>
      </c>
      <c r="AE134" s="3">
        <f>AM364</f>
        <v>0</v>
      </c>
      <c r="AF134" s="3">
        <f>AN364</f>
        <v>0</v>
      </c>
      <c r="AG134" s="3">
        <f>AO364</f>
        <v>0</v>
      </c>
      <c r="AH134" s="3">
        <f>AP364</f>
        <v>0</v>
      </c>
      <c r="AI134" s="3">
        <f>AQ364</f>
        <v>0</v>
      </c>
      <c r="AJ134" s="3">
        <f>AR364</f>
        <v>0</v>
      </c>
      <c r="AK134" s="3">
        <f>AS364</f>
        <v>0</v>
      </c>
      <c r="AL134" s="3">
        <f>AT364</f>
        <v>0</v>
      </c>
      <c r="AM134" s="3">
        <f>AU364</f>
        <v>0</v>
      </c>
      <c r="AN134" s="3">
        <f>AV364</f>
        <v>0</v>
      </c>
      <c r="AO134" s="3">
        <f>AW364</f>
        <v>0</v>
      </c>
      <c r="AP134" s="3">
        <f>AX364</f>
        <v>0</v>
      </c>
      <c r="AQ134" s="3">
        <f>AY364</f>
        <v>0</v>
      </c>
      <c r="AR134" s="3">
        <f>AZ364</f>
        <v>0</v>
      </c>
      <c r="AS134" s="3">
        <f>BA364</f>
        <v>0</v>
      </c>
      <c r="AT134" s="3">
        <f>BB364</f>
        <v>0</v>
      </c>
      <c r="AU134" s="3">
        <f>BC364</f>
        <v>0</v>
      </c>
      <c r="AV134" s="3">
        <f>BD364</f>
        <v>0</v>
      </c>
      <c r="AW134" s="3">
        <f>BE364</f>
        <v>0</v>
      </c>
      <c r="AX134" s="3">
        <f>BF364</f>
        <v>0</v>
      </c>
      <c r="AY134" s="3">
        <f>BG364</f>
        <v>0</v>
      </c>
      <c r="AZ134" s="3">
        <f>BH364</f>
        <v>0</v>
      </c>
      <c r="BA134" s="3">
        <f>BI364</f>
        <v>0</v>
      </c>
      <c r="BB134" s="3">
        <f>BJ364</f>
        <v>0</v>
      </c>
      <c r="BC134" s="3">
        <f>BK364</f>
        <v>0</v>
      </c>
      <c r="BD134" s="3">
        <f>BL364</f>
        <v>0</v>
      </c>
      <c r="BE134" s="3">
        <f>BM364</f>
        <v>0</v>
      </c>
      <c r="BF134" s="3">
        <f>BN364</f>
        <v>0</v>
      </c>
      <c r="BG134" s="3">
        <f>BO364</f>
        <v>0</v>
      </c>
      <c r="BH134" s="3">
        <f>BP364</f>
        <v>0</v>
      </c>
      <c r="BI134" s="3">
        <f>BQ364</f>
        <v>0</v>
      </c>
      <c r="BJ134" s="3">
        <f>BR364</f>
        <v>0</v>
      </c>
      <c r="BK134" s="3">
        <f>BS364</f>
        <v>0</v>
      </c>
      <c r="BL134" s="3">
        <f>BT364</f>
        <v>0</v>
      </c>
      <c r="BM134" s="3">
        <f>BU364</f>
        <v>0</v>
      </c>
      <c r="BN134" s="3">
        <f>BV364</f>
        <v>0</v>
      </c>
      <c r="BO134" s="3">
        <f>BW364</f>
        <v>0</v>
      </c>
      <c r="BP134" s="3">
        <f>BX364</f>
        <v>0</v>
      </c>
      <c r="BQ134" s="3">
        <f>BY364</f>
        <v>0</v>
      </c>
      <c r="BR134" s="3">
        <f>BZ364</f>
        <v>0</v>
      </c>
      <c r="BS134" s="3">
        <f>CA364</f>
        <v>0</v>
      </c>
      <c r="BT134" s="3">
        <f>CB364</f>
        <v>0</v>
      </c>
      <c r="BU134" s="3">
        <f>CC364</f>
        <v>0</v>
      </c>
      <c r="BV134" s="3">
        <f>CD364</f>
        <v>0</v>
      </c>
      <c r="BW134" s="3">
        <f>CE364</f>
        <v>0</v>
      </c>
      <c r="BX134" s="3">
        <f>CF364</f>
        <v>0</v>
      </c>
      <c r="BY134" s="3">
        <f>CG364</f>
        <v>0</v>
      </c>
      <c r="BZ134" s="3">
        <f>CH364</f>
        <v>0</v>
      </c>
      <c r="CA134" s="3">
        <f>CI364</f>
        <v>0</v>
      </c>
      <c r="CB134" s="3">
        <f>CJ364</f>
        <v>0</v>
      </c>
      <c r="CC134" s="3">
        <f>CK364</f>
        <v>0</v>
      </c>
      <c r="CD134" s="3">
        <f>CL364</f>
        <v>0</v>
      </c>
    </row>
    <row r="135" spans="1:82" s="7" customFormat="1" x14ac:dyDescent="0.2">
      <c r="B135" s="7" t="s">
        <v>70</v>
      </c>
      <c r="G135" s="7">
        <f>SUM(G136:G138)</f>
        <v>0</v>
      </c>
      <c r="H135" s="7">
        <f t="shared" ref="H135:BS135" si="92">SUM(H136:H138)</f>
        <v>0</v>
      </c>
      <c r="I135" s="7">
        <f t="shared" si="92"/>
        <v>0</v>
      </c>
      <c r="J135" s="7">
        <f t="shared" si="92"/>
        <v>0</v>
      </c>
      <c r="K135" s="7">
        <f t="shared" si="92"/>
        <v>0</v>
      </c>
      <c r="L135" s="7">
        <f t="shared" si="92"/>
        <v>0</v>
      </c>
      <c r="M135" s="7">
        <f t="shared" si="92"/>
        <v>0</v>
      </c>
      <c r="N135" s="7">
        <f t="shared" si="92"/>
        <v>0</v>
      </c>
      <c r="O135" s="7">
        <f t="shared" si="92"/>
        <v>0</v>
      </c>
      <c r="P135" s="7">
        <f t="shared" si="92"/>
        <v>0</v>
      </c>
      <c r="Q135" s="7">
        <f t="shared" si="92"/>
        <v>0</v>
      </c>
      <c r="R135" s="7">
        <f t="shared" si="92"/>
        <v>0</v>
      </c>
      <c r="S135" s="7">
        <f t="shared" si="92"/>
        <v>0</v>
      </c>
      <c r="T135" s="7">
        <f t="shared" si="92"/>
        <v>0</v>
      </c>
      <c r="U135" s="7">
        <f t="shared" si="92"/>
        <v>0</v>
      </c>
      <c r="V135" s="7">
        <f t="shared" si="92"/>
        <v>0</v>
      </c>
      <c r="W135" s="7">
        <f t="shared" si="92"/>
        <v>0</v>
      </c>
      <c r="X135" s="7">
        <f t="shared" si="92"/>
        <v>0</v>
      </c>
      <c r="Y135" s="7">
        <f t="shared" si="92"/>
        <v>0</v>
      </c>
      <c r="Z135" s="7">
        <f t="shared" si="92"/>
        <v>0</v>
      </c>
      <c r="AA135" s="7">
        <f t="shared" si="92"/>
        <v>0</v>
      </c>
      <c r="AB135" s="7">
        <f t="shared" si="92"/>
        <v>0</v>
      </c>
      <c r="AC135" s="7">
        <f t="shared" si="92"/>
        <v>0</v>
      </c>
      <c r="AD135" s="7">
        <f t="shared" si="92"/>
        <v>0</v>
      </c>
      <c r="AE135" s="7">
        <f t="shared" si="92"/>
        <v>0</v>
      </c>
      <c r="AF135" s="7">
        <f t="shared" si="92"/>
        <v>0</v>
      </c>
      <c r="AG135" s="7">
        <f t="shared" si="92"/>
        <v>0</v>
      </c>
      <c r="AH135" s="7">
        <f t="shared" si="92"/>
        <v>0</v>
      </c>
      <c r="AI135" s="7">
        <f t="shared" si="92"/>
        <v>0</v>
      </c>
      <c r="AJ135" s="7">
        <f t="shared" si="92"/>
        <v>0</v>
      </c>
      <c r="AK135" s="7">
        <f t="shared" si="92"/>
        <v>0</v>
      </c>
      <c r="AL135" s="7">
        <f t="shared" si="92"/>
        <v>0</v>
      </c>
      <c r="AM135" s="7">
        <f t="shared" si="92"/>
        <v>0</v>
      </c>
      <c r="AN135" s="7">
        <f t="shared" si="92"/>
        <v>0</v>
      </c>
      <c r="AO135" s="7">
        <f t="shared" si="92"/>
        <v>0</v>
      </c>
      <c r="AP135" s="7">
        <f t="shared" si="92"/>
        <v>0</v>
      </c>
      <c r="AQ135" s="7">
        <f t="shared" si="92"/>
        <v>0</v>
      </c>
      <c r="AR135" s="7">
        <f t="shared" si="92"/>
        <v>0</v>
      </c>
      <c r="AS135" s="7">
        <f t="shared" si="92"/>
        <v>0</v>
      </c>
      <c r="AT135" s="7">
        <f t="shared" si="92"/>
        <v>0</v>
      </c>
      <c r="AU135" s="7">
        <f t="shared" si="92"/>
        <v>0</v>
      </c>
      <c r="AV135" s="7">
        <f t="shared" si="92"/>
        <v>0</v>
      </c>
      <c r="AW135" s="7">
        <f t="shared" si="92"/>
        <v>0</v>
      </c>
      <c r="AX135" s="7">
        <f t="shared" si="92"/>
        <v>0</v>
      </c>
      <c r="AY135" s="7">
        <f t="shared" si="92"/>
        <v>0</v>
      </c>
      <c r="AZ135" s="7">
        <f t="shared" si="92"/>
        <v>0</v>
      </c>
      <c r="BA135" s="7">
        <f t="shared" si="92"/>
        <v>0</v>
      </c>
      <c r="BB135" s="7">
        <f t="shared" si="92"/>
        <v>0</v>
      </c>
      <c r="BC135" s="7">
        <f t="shared" si="92"/>
        <v>0</v>
      </c>
      <c r="BD135" s="7">
        <f t="shared" si="92"/>
        <v>0</v>
      </c>
      <c r="BE135" s="7">
        <f t="shared" si="92"/>
        <v>0</v>
      </c>
      <c r="BF135" s="7">
        <f t="shared" si="92"/>
        <v>0</v>
      </c>
      <c r="BG135" s="7">
        <f t="shared" si="92"/>
        <v>0</v>
      </c>
      <c r="BH135" s="7">
        <f t="shared" si="92"/>
        <v>0</v>
      </c>
      <c r="BI135" s="7">
        <f t="shared" si="92"/>
        <v>0</v>
      </c>
      <c r="BJ135" s="7">
        <f t="shared" si="92"/>
        <v>0</v>
      </c>
      <c r="BK135" s="7">
        <f t="shared" si="92"/>
        <v>0</v>
      </c>
      <c r="BL135" s="7">
        <f t="shared" si="92"/>
        <v>0</v>
      </c>
      <c r="BM135" s="7">
        <f t="shared" si="92"/>
        <v>0</v>
      </c>
      <c r="BN135" s="7">
        <f t="shared" si="92"/>
        <v>0</v>
      </c>
      <c r="BO135" s="7">
        <f t="shared" si="92"/>
        <v>0</v>
      </c>
      <c r="BP135" s="7">
        <f t="shared" si="92"/>
        <v>0</v>
      </c>
      <c r="BQ135" s="7">
        <f t="shared" si="92"/>
        <v>0</v>
      </c>
      <c r="BR135" s="7">
        <f t="shared" si="92"/>
        <v>0</v>
      </c>
      <c r="BS135" s="7">
        <f t="shared" si="92"/>
        <v>0</v>
      </c>
      <c r="BT135" s="7">
        <f t="shared" ref="BT135:CD135" si="93">SUM(BT136:BT138)</f>
        <v>0</v>
      </c>
      <c r="BU135" s="7">
        <f t="shared" si="93"/>
        <v>0</v>
      </c>
      <c r="BV135" s="7">
        <f t="shared" si="93"/>
        <v>0</v>
      </c>
      <c r="BW135" s="7">
        <f t="shared" si="93"/>
        <v>0</v>
      </c>
      <c r="BX135" s="7">
        <f t="shared" si="93"/>
        <v>0</v>
      </c>
      <c r="BY135" s="7">
        <f t="shared" si="93"/>
        <v>0</v>
      </c>
      <c r="BZ135" s="7">
        <f t="shared" si="93"/>
        <v>0</v>
      </c>
      <c r="CA135" s="7">
        <f t="shared" si="93"/>
        <v>0</v>
      </c>
      <c r="CB135" s="7">
        <f t="shared" si="93"/>
        <v>0</v>
      </c>
      <c r="CC135" s="7">
        <f t="shared" si="93"/>
        <v>0</v>
      </c>
      <c r="CD135" s="7">
        <f t="shared" si="93"/>
        <v>0</v>
      </c>
    </row>
    <row r="136" spans="1:82" s="3" customFormat="1" x14ac:dyDescent="0.2">
      <c r="C136" s="3" t="s">
        <v>71</v>
      </c>
      <c r="F136" s="3" t="s">
        <v>6</v>
      </c>
      <c r="G136" s="3">
        <f>O365</f>
        <v>0</v>
      </c>
      <c r="H136" s="3">
        <f t="shared" ref="H136:BS138" si="94">P365</f>
        <v>0</v>
      </c>
      <c r="I136" s="3">
        <f t="shared" si="94"/>
        <v>0</v>
      </c>
      <c r="J136" s="3">
        <f t="shared" si="94"/>
        <v>0</v>
      </c>
      <c r="K136" s="3">
        <f t="shared" si="94"/>
        <v>0</v>
      </c>
      <c r="L136" s="3">
        <f t="shared" si="94"/>
        <v>0</v>
      </c>
      <c r="M136" s="3">
        <f t="shared" si="94"/>
        <v>0</v>
      </c>
      <c r="N136" s="3">
        <f t="shared" si="94"/>
        <v>0</v>
      </c>
      <c r="O136" s="3">
        <f t="shared" si="94"/>
        <v>0</v>
      </c>
      <c r="P136" s="3">
        <f t="shared" si="94"/>
        <v>0</v>
      </c>
      <c r="Q136" s="3">
        <f t="shared" si="94"/>
        <v>0</v>
      </c>
      <c r="R136" s="3">
        <f t="shared" si="94"/>
        <v>0</v>
      </c>
      <c r="S136" s="3">
        <f t="shared" si="94"/>
        <v>0</v>
      </c>
      <c r="T136" s="3">
        <f t="shared" si="94"/>
        <v>0</v>
      </c>
      <c r="U136" s="3">
        <f t="shared" si="94"/>
        <v>0</v>
      </c>
      <c r="V136" s="3">
        <f t="shared" si="94"/>
        <v>0</v>
      </c>
      <c r="W136" s="3">
        <f t="shared" si="94"/>
        <v>0</v>
      </c>
      <c r="X136" s="3">
        <f t="shared" si="94"/>
        <v>0</v>
      </c>
      <c r="Y136" s="3">
        <f t="shared" si="94"/>
        <v>0</v>
      </c>
      <c r="Z136" s="3">
        <f t="shared" si="94"/>
        <v>0</v>
      </c>
      <c r="AA136" s="3">
        <f t="shared" si="94"/>
        <v>0</v>
      </c>
      <c r="AB136" s="3">
        <f t="shared" si="94"/>
        <v>0</v>
      </c>
      <c r="AC136" s="3">
        <f t="shared" si="94"/>
        <v>0</v>
      </c>
      <c r="AD136" s="3">
        <f t="shared" si="94"/>
        <v>0</v>
      </c>
      <c r="AE136" s="3">
        <f t="shared" si="94"/>
        <v>0</v>
      </c>
      <c r="AF136" s="3">
        <f t="shared" si="94"/>
        <v>0</v>
      </c>
      <c r="AG136" s="3">
        <f t="shared" si="94"/>
        <v>0</v>
      </c>
      <c r="AH136" s="3">
        <f t="shared" si="94"/>
        <v>0</v>
      </c>
      <c r="AI136" s="3">
        <f t="shared" si="94"/>
        <v>0</v>
      </c>
      <c r="AJ136" s="3">
        <f t="shared" si="94"/>
        <v>0</v>
      </c>
      <c r="AK136" s="3">
        <f t="shared" si="94"/>
        <v>0</v>
      </c>
      <c r="AL136" s="3">
        <f t="shared" si="94"/>
        <v>0</v>
      </c>
      <c r="AM136" s="3">
        <f t="shared" si="94"/>
        <v>0</v>
      </c>
      <c r="AN136" s="3">
        <f t="shared" si="94"/>
        <v>0</v>
      </c>
      <c r="AO136" s="3">
        <f t="shared" si="94"/>
        <v>0</v>
      </c>
      <c r="AP136" s="3">
        <f t="shared" si="94"/>
        <v>0</v>
      </c>
      <c r="AQ136" s="3">
        <f t="shared" si="94"/>
        <v>0</v>
      </c>
      <c r="AR136" s="3">
        <f t="shared" si="94"/>
        <v>0</v>
      </c>
      <c r="AS136" s="3">
        <f t="shared" si="94"/>
        <v>0</v>
      </c>
      <c r="AT136" s="3">
        <f t="shared" si="94"/>
        <v>0</v>
      </c>
      <c r="AU136" s="3">
        <f t="shared" si="94"/>
        <v>0</v>
      </c>
      <c r="AV136" s="3">
        <f t="shared" si="94"/>
        <v>0</v>
      </c>
      <c r="AW136" s="3">
        <f t="shared" si="94"/>
        <v>0</v>
      </c>
      <c r="AX136" s="3">
        <f t="shared" si="94"/>
        <v>0</v>
      </c>
      <c r="AY136" s="3">
        <f t="shared" si="94"/>
        <v>0</v>
      </c>
      <c r="AZ136" s="3">
        <f t="shared" si="94"/>
        <v>0</v>
      </c>
      <c r="BA136" s="3">
        <f t="shared" si="94"/>
        <v>0</v>
      </c>
      <c r="BB136" s="3">
        <f t="shared" si="94"/>
        <v>0</v>
      </c>
      <c r="BC136" s="3">
        <f t="shared" si="94"/>
        <v>0</v>
      </c>
      <c r="BD136" s="3">
        <f t="shared" si="94"/>
        <v>0</v>
      </c>
      <c r="BE136" s="3">
        <f t="shared" si="94"/>
        <v>0</v>
      </c>
      <c r="BF136" s="3">
        <f t="shared" si="94"/>
        <v>0</v>
      </c>
      <c r="BG136" s="3">
        <f t="shared" si="94"/>
        <v>0</v>
      </c>
      <c r="BH136" s="3">
        <f t="shared" si="94"/>
        <v>0</v>
      </c>
      <c r="BI136" s="3">
        <f t="shared" si="94"/>
        <v>0</v>
      </c>
      <c r="BJ136" s="3">
        <f t="shared" si="94"/>
        <v>0</v>
      </c>
      <c r="BK136" s="3">
        <f t="shared" si="94"/>
        <v>0</v>
      </c>
      <c r="BL136" s="3">
        <f t="shared" si="94"/>
        <v>0</v>
      </c>
      <c r="BM136" s="3">
        <f t="shared" si="94"/>
        <v>0</v>
      </c>
      <c r="BN136" s="3">
        <f t="shared" si="94"/>
        <v>0</v>
      </c>
      <c r="BO136" s="3">
        <f t="shared" si="94"/>
        <v>0</v>
      </c>
      <c r="BP136" s="3">
        <f t="shared" si="94"/>
        <v>0</v>
      </c>
      <c r="BQ136" s="3">
        <f t="shared" si="94"/>
        <v>0</v>
      </c>
      <c r="BR136" s="3">
        <f t="shared" si="94"/>
        <v>0</v>
      </c>
      <c r="BS136" s="3">
        <f t="shared" si="94"/>
        <v>0</v>
      </c>
      <c r="BT136" s="3">
        <f t="shared" ref="BT136:CD137" si="95">CB365</f>
        <v>0</v>
      </c>
      <c r="BU136" s="3">
        <f t="shared" si="95"/>
        <v>0</v>
      </c>
      <c r="BV136" s="3">
        <f t="shared" si="95"/>
        <v>0</v>
      </c>
      <c r="BW136" s="3">
        <f t="shared" si="95"/>
        <v>0</v>
      </c>
      <c r="BX136" s="3">
        <f t="shared" si="95"/>
        <v>0</v>
      </c>
      <c r="BY136" s="3">
        <f t="shared" si="95"/>
        <v>0</v>
      </c>
      <c r="BZ136" s="3">
        <f t="shared" si="95"/>
        <v>0</v>
      </c>
      <c r="CA136" s="3">
        <f t="shared" si="95"/>
        <v>0</v>
      </c>
      <c r="CB136" s="3">
        <f t="shared" si="95"/>
        <v>0</v>
      </c>
      <c r="CC136" s="3">
        <f t="shared" si="95"/>
        <v>0</v>
      </c>
      <c r="CD136" s="3">
        <f t="shared" si="95"/>
        <v>0</v>
      </c>
    </row>
    <row r="137" spans="1:82" s="3" customFormat="1" x14ac:dyDescent="0.2">
      <c r="C137" s="3" t="s">
        <v>71</v>
      </c>
      <c r="F137" s="3" t="s">
        <v>7</v>
      </c>
      <c r="G137" s="3">
        <f>O366</f>
        <v>0</v>
      </c>
      <c r="H137" s="3">
        <f t="shared" si="94"/>
        <v>0</v>
      </c>
      <c r="I137" s="3">
        <f t="shared" si="94"/>
        <v>0</v>
      </c>
      <c r="J137" s="3">
        <f t="shared" si="94"/>
        <v>0</v>
      </c>
      <c r="K137" s="3">
        <f t="shared" si="94"/>
        <v>0</v>
      </c>
      <c r="L137" s="3">
        <f t="shared" si="94"/>
        <v>0</v>
      </c>
      <c r="M137" s="3">
        <f t="shared" si="94"/>
        <v>0</v>
      </c>
      <c r="N137" s="3">
        <f t="shared" si="94"/>
        <v>0</v>
      </c>
      <c r="O137" s="3">
        <f t="shared" si="94"/>
        <v>0</v>
      </c>
      <c r="P137" s="3">
        <f t="shared" si="94"/>
        <v>0</v>
      </c>
      <c r="Q137" s="3">
        <f t="shared" si="94"/>
        <v>0</v>
      </c>
      <c r="R137" s="3">
        <f t="shared" si="94"/>
        <v>0</v>
      </c>
      <c r="S137" s="3">
        <f t="shared" si="94"/>
        <v>0</v>
      </c>
      <c r="T137" s="3">
        <f t="shared" si="94"/>
        <v>0</v>
      </c>
      <c r="U137" s="3">
        <f t="shared" si="94"/>
        <v>0</v>
      </c>
      <c r="V137" s="3">
        <f t="shared" si="94"/>
        <v>0</v>
      </c>
      <c r="W137" s="3">
        <f t="shared" si="94"/>
        <v>0</v>
      </c>
      <c r="X137" s="3">
        <f t="shared" si="94"/>
        <v>0</v>
      </c>
      <c r="Y137" s="3">
        <f t="shared" si="94"/>
        <v>0</v>
      </c>
      <c r="Z137" s="3">
        <f t="shared" si="94"/>
        <v>0</v>
      </c>
      <c r="AA137" s="3">
        <f t="shared" si="94"/>
        <v>0</v>
      </c>
      <c r="AB137" s="3">
        <f t="shared" si="94"/>
        <v>0</v>
      </c>
      <c r="AC137" s="3">
        <f t="shared" si="94"/>
        <v>0</v>
      </c>
      <c r="AD137" s="3">
        <f t="shared" si="94"/>
        <v>0</v>
      </c>
      <c r="AE137" s="3">
        <f t="shared" si="94"/>
        <v>0</v>
      </c>
      <c r="AF137" s="3">
        <f t="shared" si="94"/>
        <v>0</v>
      </c>
      <c r="AG137" s="3">
        <f t="shared" si="94"/>
        <v>0</v>
      </c>
      <c r="AH137" s="3">
        <f t="shared" si="94"/>
        <v>0</v>
      </c>
      <c r="AI137" s="3">
        <f t="shared" si="94"/>
        <v>0</v>
      </c>
      <c r="AJ137" s="3">
        <f t="shared" si="94"/>
        <v>0</v>
      </c>
      <c r="AK137" s="3">
        <f t="shared" si="94"/>
        <v>0</v>
      </c>
      <c r="AL137" s="3">
        <f t="shared" si="94"/>
        <v>0</v>
      </c>
      <c r="AM137" s="3">
        <f t="shared" si="94"/>
        <v>0</v>
      </c>
      <c r="AN137" s="3">
        <f t="shared" si="94"/>
        <v>0</v>
      </c>
      <c r="AO137" s="3">
        <f t="shared" si="94"/>
        <v>0</v>
      </c>
      <c r="AP137" s="3">
        <f t="shared" si="94"/>
        <v>0</v>
      </c>
      <c r="AQ137" s="3">
        <f t="shared" si="94"/>
        <v>0</v>
      </c>
      <c r="AR137" s="3">
        <f t="shared" si="94"/>
        <v>0</v>
      </c>
      <c r="AS137" s="3">
        <f t="shared" si="94"/>
        <v>0</v>
      </c>
      <c r="AT137" s="3">
        <f t="shared" si="94"/>
        <v>0</v>
      </c>
      <c r="AU137" s="3">
        <f t="shared" si="94"/>
        <v>0</v>
      </c>
      <c r="AV137" s="3">
        <f t="shared" si="94"/>
        <v>0</v>
      </c>
      <c r="AW137" s="3">
        <f t="shared" si="94"/>
        <v>0</v>
      </c>
      <c r="AX137" s="3">
        <f t="shared" si="94"/>
        <v>0</v>
      </c>
      <c r="AY137" s="3">
        <f t="shared" si="94"/>
        <v>0</v>
      </c>
      <c r="AZ137" s="3">
        <f t="shared" si="94"/>
        <v>0</v>
      </c>
      <c r="BA137" s="3">
        <f t="shared" si="94"/>
        <v>0</v>
      </c>
      <c r="BB137" s="3">
        <f t="shared" si="94"/>
        <v>0</v>
      </c>
      <c r="BC137" s="3">
        <f t="shared" si="94"/>
        <v>0</v>
      </c>
      <c r="BD137" s="3">
        <f t="shared" si="94"/>
        <v>0</v>
      </c>
      <c r="BE137" s="3">
        <f t="shared" si="94"/>
        <v>0</v>
      </c>
      <c r="BF137" s="3">
        <f t="shared" si="94"/>
        <v>0</v>
      </c>
      <c r="BG137" s="3">
        <f t="shared" si="94"/>
        <v>0</v>
      </c>
      <c r="BH137" s="3">
        <f t="shared" si="94"/>
        <v>0</v>
      </c>
      <c r="BI137" s="3">
        <f t="shared" si="94"/>
        <v>0</v>
      </c>
      <c r="BJ137" s="3">
        <f t="shared" si="94"/>
        <v>0</v>
      </c>
      <c r="BK137" s="3">
        <f t="shared" si="94"/>
        <v>0</v>
      </c>
      <c r="BL137" s="3">
        <f t="shared" si="94"/>
        <v>0</v>
      </c>
      <c r="BM137" s="3">
        <f t="shared" si="94"/>
        <v>0</v>
      </c>
      <c r="BN137" s="3">
        <f t="shared" si="94"/>
        <v>0</v>
      </c>
      <c r="BO137" s="3">
        <f t="shared" si="94"/>
        <v>0</v>
      </c>
      <c r="BP137" s="3">
        <f t="shared" si="94"/>
        <v>0</v>
      </c>
      <c r="BQ137" s="3">
        <f t="shared" si="94"/>
        <v>0</v>
      </c>
      <c r="BR137" s="3">
        <f t="shared" si="94"/>
        <v>0</v>
      </c>
      <c r="BS137" s="3">
        <f t="shared" si="94"/>
        <v>0</v>
      </c>
      <c r="BT137" s="3">
        <f t="shared" si="95"/>
        <v>0</v>
      </c>
      <c r="BU137" s="3">
        <f t="shared" si="95"/>
        <v>0</v>
      </c>
      <c r="BV137" s="3">
        <f t="shared" si="95"/>
        <v>0</v>
      </c>
      <c r="BW137" s="3">
        <f t="shared" si="95"/>
        <v>0</v>
      </c>
      <c r="BX137" s="3">
        <f t="shared" si="95"/>
        <v>0</v>
      </c>
      <c r="BY137" s="3">
        <f t="shared" si="95"/>
        <v>0</v>
      </c>
      <c r="BZ137" s="3">
        <f t="shared" si="95"/>
        <v>0</v>
      </c>
      <c r="CA137" s="3">
        <f t="shared" si="95"/>
        <v>0</v>
      </c>
      <c r="CB137" s="3">
        <f t="shared" si="95"/>
        <v>0</v>
      </c>
      <c r="CC137" s="3">
        <f t="shared" si="95"/>
        <v>0</v>
      </c>
      <c r="CD137" s="3">
        <f t="shared" si="95"/>
        <v>0</v>
      </c>
    </row>
    <row r="138" spans="1:82" s="3" customFormat="1" x14ac:dyDescent="0.2">
      <c r="C138" s="3" t="s">
        <v>71</v>
      </c>
      <c r="F138" s="3" t="s">
        <v>8</v>
      </c>
      <c r="G138" s="3">
        <f>O367</f>
        <v>0</v>
      </c>
      <c r="H138" s="3">
        <f t="shared" si="94"/>
        <v>0</v>
      </c>
      <c r="I138" s="3">
        <f t="shared" si="94"/>
        <v>0</v>
      </c>
      <c r="J138" s="3">
        <f t="shared" si="94"/>
        <v>0</v>
      </c>
      <c r="K138" s="3">
        <f t="shared" si="94"/>
        <v>0</v>
      </c>
      <c r="L138" s="3">
        <f t="shared" si="94"/>
        <v>0</v>
      </c>
      <c r="M138" s="3">
        <f t="shared" si="94"/>
        <v>0</v>
      </c>
      <c r="N138" s="3">
        <f t="shared" si="94"/>
        <v>0</v>
      </c>
      <c r="O138" s="3">
        <f t="shared" si="94"/>
        <v>0</v>
      </c>
      <c r="P138" s="3">
        <f t="shared" si="94"/>
        <v>0</v>
      </c>
      <c r="Q138" s="3">
        <f t="shared" si="94"/>
        <v>0</v>
      </c>
      <c r="R138" s="3">
        <f t="shared" si="94"/>
        <v>0</v>
      </c>
      <c r="S138" s="3">
        <f t="shared" si="94"/>
        <v>0</v>
      </c>
      <c r="T138" s="3">
        <f t="shared" si="94"/>
        <v>0</v>
      </c>
      <c r="U138" s="3">
        <f t="shared" si="94"/>
        <v>0</v>
      </c>
      <c r="V138" s="3">
        <f t="shared" si="94"/>
        <v>0</v>
      </c>
      <c r="W138" s="3">
        <f t="shared" si="94"/>
        <v>0</v>
      </c>
      <c r="X138" s="3">
        <f t="shared" si="94"/>
        <v>0</v>
      </c>
      <c r="Y138" s="3">
        <f t="shared" si="94"/>
        <v>0</v>
      </c>
      <c r="Z138" s="3">
        <f t="shared" si="94"/>
        <v>0</v>
      </c>
      <c r="AA138" s="3">
        <f t="shared" si="94"/>
        <v>0</v>
      </c>
      <c r="AB138" s="3">
        <f t="shared" si="94"/>
        <v>0</v>
      </c>
      <c r="AC138" s="3">
        <f t="shared" si="94"/>
        <v>0</v>
      </c>
      <c r="AD138" s="3">
        <f t="shared" si="94"/>
        <v>0</v>
      </c>
      <c r="AE138" s="3">
        <f t="shared" si="94"/>
        <v>0</v>
      </c>
      <c r="AF138" s="3">
        <f t="shared" si="94"/>
        <v>0</v>
      </c>
      <c r="AG138" s="3">
        <f t="shared" si="94"/>
        <v>0</v>
      </c>
      <c r="AH138" s="3">
        <f t="shared" si="94"/>
        <v>0</v>
      </c>
      <c r="AI138" s="3">
        <f t="shared" si="94"/>
        <v>0</v>
      </c>
      <c r="AJ138" s="3">
        <f t="shared" si="94"/>
        <v>0</v>
      </c>
      <c r="AK138" s="3">
        <f t="shared" si="94"/>
        <v>0</v>
      </c>
      <c r="AL138" s="3">
        <f t="shared" si="94"/>
        <v>0</v>
      </c>
      <c r="AM138" s="3">
        <f t="shared" si="94"/>
        <v>0</v>
      </c>
      <c r="AN138" s="3">
        <f t="shared" si="94"/>
        <v>0</v>
      </c>
      <c r="AO138" s="3">
        <f t="shared" si="94"/>
        <v>0</v>
      </c>
      <c r="AP138" s="3">
        <f t="shared" si="94"/>
        <v>0</v>
      </c>
      <c r="AQ138" s="3">
        <f t="shared" si="94"/>
        <v>0</v>
      </c>
      <c r="AR138" s="3">
        <f t="shared" si="94"/>
        <v>0</v>
      </c>
      <c r="AS138" s="3">
        <f t="shared" si="94"/>
        <v>0</v>
      </c>
      <c r="AT138" s="3">
        <f t="shared" si="94"/>
        <v>0</v>
      </c>
      <c r="AU138" s="3">
        <f t="shared" si="94"/>
        <v>0</v>
      </c>
      <c r="AV138" s="3">
        <f t="shared" si="94"/>
        <v>0</v>
      </c>
      <c r="AW138" s="3">
        <f t="shared" si="94"/>
        <v>0</v>
      </c>
      <c r="AX138" s="3">
        <f t="shared" si="94"/>
        <v>0</v>
      </c>
      <c r="AY138" s="3">
        <f t="shared" si="94"/>
        <v>0</v>
      </c>
      <c r="AZ138" s="3">
        <f t="shared" si="94"/>
        <v>0</v>
      </c>
      <c r="BA138" s="3">
        <f t="shared" si="94"/>
        <v>0</v>
      </c>
      <c r="BB138" s="3">
        <f t="shared" si="94"/>
        <v>0</v>
      </c>
      <c r="BC138" s="3">
        <f t="shared" si="94"/>
        <v>0</v>
      </c>
      <c r="BD138" s="3">
        <f t="shared" si="94"/>
        <v>0</v>
      </c>
      <c r="BE138" s="3">
        <f t="shared" si="94"/>
        <v>0</v>
      </c>
      <c r="BF138" s="3">
        <f t="shared" si="94"/>
        <v>0</v>
      </c>
      <c r="BG138" s="3">
        <f t="shared" si="94"/>
        <v>0</v>
      </c>
      <c r="BH138" s="3">
        <f t="shared" si="94"/>
        <v>0</v>
      </c>
      <c r="BI138" s="3">
        <f t="shared" si="94"/>
        <v>0</v>
      </c>
      <c r="BJ138" s="3">
        <f t="shared" si="94"/>
        <v>0</v>
      </c>
      <c r="BK138" s="3">
        <f t="shared" si="94"/>
        <v>0</v>
      </c>
      <c r="BL138" s="3">
        <f t="shared" si="94"/>
        <v>0</v>
      </c>
      <c r="BM138" s="3">
        <f t="shared" si="94"/>
        <v>0</v>
      </c>
      <c r="BN138" s="3">
        <f t="shared" si="94"/>
        <v>0</v>
      </c>
      <c r="BO138" s="3">
        <f t="shared" si="94"/>
        <v>0</v>
      </c>
      <c r="BP138" s="3">
        <f t="shared" si="94"/>
        <v>0</v>
      </c>
      <c r="BQ138" s="3">
        <f t="shared" si="94"/>
        <v>0</v>
      </c>
      <c r="BR138" s="3">
        <f t="shared" si="94"/>
        <v>0</v>
      </c>
      <c r="BS138" s="3">
        <f>CA367</f>
        <v>0</v>
      </c>
      <c r="BT138" s="3">
        <f>CB367</f>
        <v>0</v>
      </c>
      <c r="BU138" s="3">
        <f>CC367</f>
        <v>0</v>
      </c>
      <c r="BV138" s="3">
        <f>CD367</f>
        <v>0</v>
      </c>
      <c r="BW138" s="3">
        <f>CE367</f>
        <v>0</v>
      </c>
      <c r="BX138" s="3">
        <f>CF367</f>
        <v>0</v>
      </c>
      <c r="BY138" s="3">
        <f>CG367</f>
        <v>0</v>
      </c>
      <c r="BZ138" s="3">
        <f>CH367</f>
        <v>0</v>
      </c>
      <c r="CA138" s="3">
        <f>CI367</f>
        <v>0</v>
      </c>
      <c r="CB138" s="3">
        <f>CJ367</f>
        <v>0</v>
      </c>
      <c r="CC138" s="3">
        <f>CK367</f>
        <v>0</v>
      </c>
      <c r="CD138" s="3">
        <f>CL367</f>
        <v>0</v>
      </c>
    </row>
    <row r="139" spans="1:82" s="2" customFormat="1" ht="22" x14ac:dyDescent="0.3">
      <c r="A139" s="2" t="s">
        <v>72</v>
      </c>
      <c r="G139" s="2">
        <f>SUM(G140,G155,G204,G215)</f>
        <v>29700.431900000003</v>
      </c>
      <c r="H139" s="2">
        <f t="shared" ref="H139:BS139" si="96">SUM(H140,H155,H204,H215)</f>
        <v>32032.868000000002</v>
      </c>
      <c r="I139" s="2">
        <f t="shared" si="96"/>
        <v>36864.292499999996</v>
      </c>
      <c r="J139" s="2">
        <f t="shared" si="96"/>
        <v>37005.693800000001</v>
      </c>
      <c r="K139" s="2">
        <f t="shared" si="96"/>
        <v>45711.438499999997</v>
      </c>
      <c r="L139" s="2">
        <f t="shared" si="96"/>
        <v>43563.019399999997</v>
      </c>
      <c r="M139" s="2">
        <f t="shared" si="96"/>
        <v>50022.54080000001</v>
      </c>
      <c r="N139" s="2">
        <f t="shared" si="96"/>
        <v>44107.618200000004</v>
      </c>
      <c r="O139" s="2">
        <f t="shared" si="96"/>
        <v>46884.852100000004</v>
      </c>
      <c r="P139" s="2">
        <f t="shared" si="96"/>
        <v>45335.414999999994</v>
      </c>
      <c r="Q139" s="2">
        <f t="shared" si="96"/>
        <v>46162.885799999996</v>
      </c>
      <c r="R139" s="2">
        <f t="shared" si="96"/>
        <v>56825.737499999996</v>
      </c>
      <c r="S139" s="2">
        <f t="shared" si="96"/>
        <v>54455.079700000002</v>
      </c>
      <c r="T139" s="2">
        <f t="shared" si="96"/>
        <v>58212.851500000004</v>
      </c>
      <c r="U139" s="2">
        <f t="shared" si="96"/>
        <v>60746.00450000001</v>
      </c>
      <c r="V139" s="2">
        <f t="shared" si="96"/>
        <v>63223.057699999998</v>
      </c>
      <c r="W139" s="2">
        <f t="shared" si="96"/>
        <v>65780.689200000008</v>
      </c>
      <c r="X139" s="2">
        <f t="shared" si="96"/>
        <v>68661.422900000005</v>
      </c>
      <c r="Y139" s="2">
        <f t="shared" si="96"/>
        <v>76189.588600000003</v>
      </c>
      <c r="Z139" s="2">
        <f t="shared" si="96"/>
        <v>79019.611900000004</v>
      </c>
      <c r="AA139" s="2">
        <f t="shared" si="96"/>
        <v>80140.527300000002</v>
      </c>
      <c r="AB139" s="2">
        <f t="shared" si="96"/>
        <v>82105.162700000001</v>
      </c>
      <c r="AC139" s="2">
        <f t="shared" si="96"/>
        <v>80619.199000000008</v>
      </c>
      <c r="AD139" s="2">
        <f t="shared" si="96"/>
        <v>84456.506299999994</v>
      </c>
      <c r="AE139" s="2">
        <f t="shared" si="96"/>
        <v>85135.625999999989</v>
      </c>
      <c r="AF139" s="2">
        <f t="shared" si="96"/>
        <v>90265.456038011151</v>
      </c>
      <c r="AG139" s="2">
        <f t="shared" si="96"/>
        <v>88584.904356073152</v>
      </c>
      <c r="AH139" s="2">
        <f t="shared" si="96"/>
        <v>89519.967251780748</v>
      </c>
      <c r="AI139" s="2">
        <f t="shared" si="96"/>
        <v>90390.772774848898</v>
      </c>
      <c r="AJ139" s="2">
        <f t="shared" si="96"/>
        <v>92771.318722008611</v>
      </c>
      <c r="AK139" s="2">
        <f t="shared" si="96"/>
        <v>95485.661779299538</v>
      </c>
      <c r="AL139" s="2">
        <f t="shared" si="96"/>
        <v>97213.195526889875</v>
      </c>
      <c r="AM139" s="2">
        <f t="shared" si="96"/>
        <v>99752.195174695808</v>
      </c>
      <c r="AN139" s="2">
        <f t="shared" si="96"/>
        <v>103928.71682555304</v>
      </c>
      <c r="AO139" s="2">
        <f t="shared" si="96"/>
        <v>108200.29899685443</v>
      </c>
      <c r="AP139" s="2">
        <f t="shared" si="96"/>
        <v>112050.91172747152</v>
      </c>
      <c r="AQ139" s="2">
        <f t="shared" si="96"/>
        <v>114494.87717612683</v>
      </c>
      <c r="AR139" s="2">
        <f t="shared" si="96"/>
        <v>115687.15220437944</v>
      </c>
      <c r="AS139" s="2">
        <f t="shared" si="96"/>
        <v>115205.8775517559</v>
      </c>
      <c r="AT139" s="2">
        <f t="shared" si="96"/>
        <v>112797.67924246454</v>
      </c>
      <c r="AU139" s="2">
        <f t="shared" si="96"/>
        <v>108568.4071830161</v>
      </c>
      <c r="AV139" s="2">
        <f t="shared" si="96"/>
        <v>102961.75886295094</v>
      </c>
      <c r="AW139" s="2">
        <f t="shared" si="96"/>
        <v>96736.136805112284</v>
      </c>
      <c r="AX139" s="2">
        <f t="shared" si="96"/>
        <v>90720.916626832637</v>
      </c>
      <c r="AY139" s="2">
        <f t="shared" si="96"/>
        <v>85483.960107026171</v>
      </c>
      <c r="AZ139" s="2">
        <f t="shared" si="96"/>
        <v>81315.709618227236</v>
      </c>
      <c r="BA139" s="2">
        <f t="shared" si="96"/>
        <v>78245.837740539529</v>
      </c>
      <c r="BB139" s="2">
        <f t="shared" si="96"/>
        <v>76158.076496619629</v>
      </c>
      <c r="BC139" s="2">
        <f t="shared" si="96"/>
        <v>74867.737699043733</v>
      </c>
      <c r="BD139" s="2">
        <f t="shared" si="96"/>
        <v>74057.513252806995</v>
      </c>
      <c r="BE139" s="2">
        <f t="shared" si="96"/>
        <v>73277.926646417822</v>
      </c>
      <c r="BF139" s="2">
        <f t="shared" si="96"/>
        <v>73006.474420019047</v>
      </c>
      <c r="BG139" s="2">
        <f t="shared" si="96"/>
        <v>74753.938909559452</v>
      </c>
      <c r="BH139" s="2">
        <f t="shared" si="96"/>
        <v>77008.922308264169</v>
      </c>
      <c r="BI139" s="2">
        <f t="shared" si="96"/>
        <v>79363.423482285143</v>
      </c>
      <c r="BJ139" s="2">
        <f t="shared" si="96"/>
        <v>81692.571548681692</v>
      </c>
      <c r="BK139" s="2">
        <f t="shared" si="96"/>
        <v>83914.533339867223</v>
      </c>
      <c r="BL139" s="2">
        <f t="shared" si="96"/>
        <v>86015.575794693403</v>
      </c>
      <c r="BM139" s="2">
        <f t="shared" si="96"/>
        <v>87986.863775832273</v>
      </c>
      <c r="BN139" s="2">
        <f t="shared" si="96"/>
        <v>89784.916836006392</v>
      </c>
      <c r="BO139" s="2">
        <f t="shared" si="96"/>
        <v>91361.222434350595</v>
      </c>
      <c r="BP139" s="2">
        <f t="shared" si="96"/>
        <v>92828.740605854226</v>
      </c>
      <c r="BQ139" s="2">
        <f t="shared" si="96"/>
        <v>94234.738420104914</v>
      </c>
      <c r="BR139" s="2">
        <f t="shared" si="96"/>
        <v>95628.19074669361</v>
      </c>
      <c r="BS139" s="2">
        <f t="shared" si="96"/>
        <v>96934.24865380858</v>
      </c>
      <c r="BT139" s="2">
        <f t="shared" ref="BT139:CD139" si="97">SUM(BT140,BT155,BT204,BT215)</f>
        <v>97836.389622381568</v>
      </c>
      <c r="BU139" s="2">
        <f t="shared" si="97"/>
        <v>97676.06849502532</v>
      </c>
      <c r="BV139" s="2">
        <f t="shared" si="97"/>
        <v>98764.361958098205</v>
      </c>
      <c r="BW139" s="2">
        <f t="shared" si="97"/>
        <v>99775.877277530963</v>
      </c>
      <c r="BX139" s="2">
        <f t="shared" si="97"/>
        <v>100713.16641279096</v>
      </c>
      <c r="BY139" s="2">
        <f t="shared" si="97"/>
        <v>101582.27101345915</v>
      </c>
      <c r="BZ139" s="2">
        <f t="shared" si="97"/>
        <v>103403.29355040513</v>
      </c>
      <c r="CA139" s="2">
        <f t="shared" si="97"/>
        <v>107752.98014068684</v>
      </c>
      <c r="CB139" s="2">
        <f t="shared" si="97"/>
        <v>112319.91968013441</v>
      </c>
      <c r="CC139" s="2">
        <f t="shared" si="97"/>
        <v>117033.31960826185</v>
      </c>
      <c r="CD139" s="2">
        <f t="shared" si="97"/>
        <v>116268.42598593674</v>
      </c>
    </row>
    <row r="140" spans="1:82" s="7" customFormat="1" x14ac:dyDescent="0.2">
      <c r="B140" s="7" t="s">
        <v>73</v>
      </c>
      <c r="G140" s="7">
        <f>SUM(G141,G152)</f>
        <v>14610.947100000003</v>
      </c>
      <c r="H140" s="7">
        <f t="shared" ref="H140:BS140" si="98">SUM(H141,H152)</f>
        <v>14610.947100000003</v>
      </c>
      <c r="I140" s="7">
        <f t="shared" si="98"/>
        <v>15504.1044</v>
      </c>
      <c r="J140" s="7">
        <f t="shared" si="98"/>
        <v>15951.078600000001</v>
      </c>
      <c r="K140" s="7">
        <f t="shared" si="98"/>
        <v>16399.3122</v>
      </c>
      <c r="L140" s="7">
        <f t="shared" si="98"/>
        <v>16847.490000000002</v>
      </c>
      <c r="M140" s="7">
        <f t="shared" si="98"/>
        <v>17295.835200000001</v>
      </c>
      <c r="N140" s="7">
        <f t="shared" si="98"/>
        <v>17745.714899999999</v>
      </c>
      <c r="O140" s="7">
        <f t="shared" si="98"/>
        <v>18198.607800000002</v>
      </c>
      <c r="P140" s="7">
        <f t="shared" si="98"/>
        <v>18652.951499999999</v>
      </c>
      <c r="Q140" s="7">
        <f t="shared" si="98"/>
        <v>19109.549099999997</v>
      </c>
      <c r="R140" s="7">
        <f t="shared" si="98"/>
        <v>19568.378700000001</v>
      </c>
      <c r="S140" s="7">
        <f t="shared" si="98"/>
        <v>20027.939699999999</v>
      </c>
      <c r="T140" s="7">
        <f t="shared" si="98"/>
        <v>21750.4002</v>
      </c>
      <c r="U140" s="7">
        <f t="shared" si="98"/>
        <v>22255.640100000004</v>
      </c>
      <c r="V140" s="7">
        <f t="shared" si="98"/>
        <v>22760.852099999996</v>
      </c>
      <c r="W140" s="7">
        <f t="shared" si="98"/>
        <v>23265.980399999997</v>
      </c>
      <c r="X140" s="7">
        <f t="shared" si="98"/>
        <v>23771.220300000004</v>
      </c>
      <c r="Y140" s="7">
        <f t="shared" si="98"/>
        <v>24276.432299999997</v>
      </c>
      <c r="Z140" s="7">
        <f t="shared" si="98"/>
        <v>24781.560600000001</v>
      </c>
      <c r="AA140" s="7">
        <f t="shared" si="98"/>
        <v>25286.744699999996</v>
      </c>
      <c r="AB140" s="7">
        <f t="shared" si="98"/>
        <v>25791.900900000004</v>
      </c>
      <c r="AC140" s="7">
        <f t="shared" si="98"/>
        <v>26297.140799999997</v>
      </c>
      <c r="AD140" s="7">
        <f t="shared" si="98"/>
        <v>26299.826999999997</v>
      </c>
      <c r="AE140" s="7">
        <f t="shared" si="98"/>
        <v>27307.481100000001</v>
      </c>
      <c r="AF140" s="7">
        <f t="shared" si="98"/>
        <v>27356.881372132426</v>
      </c>
      <c r="AG140" s="7">
        <f t="shared" si="98"/>
        <v>27146.54759187602</v>
      </c>
      <c r="AH140" s="7">
        <f t="shared" si="98"/>
        <v>27181.600529001644</v>
      </c>
      <c r="AI140" s="7">
        <f t="shared" si="98"/>
        <v>27223.811157913337</v>
      </c>
      <c r="AJ140" s="7">
        <f t="shared" si="98"/>
        <v>27974.217423164351</v>
      </c>
      <c r="AK140" s="7">
        <f t="shared" si="98"/>
        <v>28795.597925521499</v>
      </c>
      <c r="AL140" s="7">
        <f t="shared" si="98"/>
        <v>29837.274736209991</v>
      </c>
      <c r="AM140" s="7">
        <f t="shared" si="98"/>
        <v>31093.785470655643</v>
      </c>
      <c r="AN140" s="7">
        <f t="shared" si="98"/>
        <v>32586.419216066763</v>
      </c>
      <c r="AO140" s="7">
        <f t="shared" si="98"/>
        <v>34290.082769725166</v>
      </c>
      <c r="AP140" s="7">
        <f t="shared" si="98"/>
        <v>36163.445233034763</v>
      </c>
      <c r="AQ140" s="7">
        <f t="shared" si="98"/>
        <v>38143.947200880102</v>
      </c>
      <c r="AR140" s="7">
        <f t="shared" si="98"/>
        <v>40196.828968760441</v>
      </c>
      <c r="AS140" s="7">
        <f t="shared" si="98"/>
        <v>42272.222892494181</v>
      </c>
      <c r="AT140" s="7">
        <f t="shared" si="98"/>
        <v>44323.311247169004</v>
      </c>
      <c r="AU140" s="7">
        <f t="shared" si="98"/>
        <v>46310.315227750296</v>
      </c>
      <c r="AV140" s="7">
        <f t="shared" si="98"/>
        <v>48203.501935066248</v>
      </c>
      <c r="AW140" s="7">
        <f t="shared" si="98"/>
        <v>49984.710064594459</v>
      </c>
      <c r="AX140" s="7">
        <f t="shared" si="98"/>
        <v>51647.280909696419</v>
      </c>
      <c r="AY140" s="7">
        <f t="shared" si="98"/>
        <v>53194.616240868185</v>
      </c>
      <c r="AZ140" s="7">
        <f t="shared" si="98"/>
        <v>54620.965624522993</v>
      </c>
      <c r="BA140" s="7">
        <f t="shared" si="98"/>
        <v>55931.018526027452</v>
      </c>
      <c r="BB140" s="7">
        <f t="shared" si="98"/>
        <v>57123.982956941327</v>
      </c>
      <c r="BC140" s="7">
        <f t="shared" si="98"/>
        <v>58210.349095544239</v>
      </c>
      <c r="BD140" s="7">
        <f t="shared" si="98"/>
        <v>59084.206701977353</v>
      </c>
      <c r="BE140" s="7">
        <f t="shared" si="98"/>
        <v>59489.001527752407</v>
      </c>
      <c r="BF140" s="7">
        <f t="shared" si="98"/>
        <v>60083.905276104539</v>
      </c>
      <c r="BG140" s="7">
        <f t="shared" si="98"/>
        <v>60804.741076027836</v>
      </c>
      <c r="BH140" s="7">
        <f t="shared" si="98"/>
        <v>61610.66250053831</v>
      </c>
      <c r="BI140" s="7">
        <f t="shared" si="98"/>
        <v>62462.008205172933</v>
      </c>
      <c r="BJ140" s="7">
        <f t="shared" si="98"/>
        <v>63330.918986813354</v>
      </c>
      <c r="BK140" s="7">
        <f t="shared" si="98"/>
        <v>64193.619440927934</v>
      </c>
      <c r="BL140" s="7">
        <f t="shared" si="98"/>
        <v>65034.943755272543</v>
      </c>
      <c r="BM140" s="7">
        <f t="shared" si="98"/>
        <v>65846.063171447444</v>
      </c>
      <c r="BN140" s="7">
        <f t="shared" si="98"/>
        <v>66621.904352786107</v>
      </c>
      <c r="BO140" s="7">
        <f t="shared" si="98"/>
        <v>67360.343389268019</v>
      </c>
      <c r="BP140" s="7">
        <f t="shared" si="98"/>
        <v>68061.864173596521</v>
      </c>
      <c r="BQ140" s="7">
        <f t="shared" si="98"/>
        <v>68746.057265592797</v>
      </c>
      <c r="BR140" s="7">
        <f t="shared" si="98"/>
        <v>69424.520215316123</v>
      </c>
      <c r="BS140" s="7">
        <f t="shared" si="98"/>
        <v>70105.287984218332</v>
      </c>
      <c r="BT140" s="7">
        <f t="shared" ref="BT140:CD140" si="99">SUM(BT141,BT152)</f>
        <v>70794.00486360729</v>
      </c>
      <c r="BU140" s="7">
        <f t="shared" si="99"/>
        <v>71496.664079093884</v>
      </c>
      <c r="BV140" s="7">
        <f t="shared" si="99"/>
        <v>72217.182227700512</v>
      </c>
      <c r="BW140" s="7">
        <f t="shared" si="99"/>
        <v>72954.858162624907</v>
      </c>
      <c r="BX140" s="7">
        <f t="shared" si="99"/>
        <v>73714.274217569386</v>
      </c>
      <c r="BY140" s="7">
        <f t="shared" si="99"/>
        <v>74498.417515440451</v>
      </c>
      <c r="BZ140" s="7">
        <f t="shared" si="99"/>
        <v>75309.676909109709</v>
      </c>
      <c r="CA140" s="7">
        <f t="shared" si="99"/>
        <v>76149.987217790287</v>
      </c>
      <c r="CB140" s="7">
        <f t="shared" si="99"/>
        <v>77028.863777221006</v>
      </c>
      <c r="CC140" s="7">
        <f t="shared" si="99"/>
        <v>77973.83251258191</v>
      </c>
      <c r="CD140" s="7">
        <f t="shared" si="99"/>
        <v>79001.711817111223</v>
      </c>
    </row>
    <row r="141" spans="1:82" s="4" customFormat="1" x14ac:dyDescent="0.2">
      <c r="C141" s="4" t="s">
        <v>74</v>
      </c>
      <c r="G141" s="4">
        <f>SUM(G143:G151)</f>
        <v>12672.096300000003</v>
      </c>
      <c r="H141" s="4">
        <f t="shared" ref="H141:BS141" si="100">SUM(H143:H151)</f>
        <v>12672.096300000003</v>
      </c>
      <c r="I141" s="4">
        <f t="shared" si="100"/>
        <v>13455.333000000001</v>
      </c>
      <c r="J141" s="4">
        <f t="shared" si="100"/>
        <v>13846.9095</v>
      </c>
      <c r="K141" s="4">
        <f t="shared" si="100"/>
        <v>14238.541800000001</v>
      </c>
      <c r="L141" s="4">
        <f t="shared" si="100"/>
        <v>14630.118300000002</v>
      </c>
      <c r="M141" s="4">
        <f t="shared" si="100"/>
        <v>15021.806399999999</v>
      </c>
      <c r="N141" s="4">
        <f t="shared" si="100"/>
        <v>15414.415199999999</v>
      </c>
      <c r="O141" s="4">
        <f t="shared" si="100"/>
        <v>15808.837500000001</v>
      </c>
      <c r="P141" s="4">
        <f t="shared" si="100"/>
        <v>16204.096799999999</v>
      </c>
      <c r="Q141" s="4">
        <f t="shared" si="100"/>
        <v>16600.555799999995</v>
      </c>
      <c r="R141" s="4">
        <f t="shared" si="100"/>
        <v>16998.353999999999</v>
      </c>
      <c r="S141" s="4">
        <f t="shared" si="100"/>
        <v>17396.766</v>
      </c>
      <c r="T141" s="4">
        <f t="shared" si="100"/>
        <v>18884.672999999999</v>
      </c>
      <c r="U141" s="4">
        <f t="shared" si="100"/>
        <v>19335.760200000004</v>
      </c>
      <c r="V141" s="4">
        <f t="shared" si="100"/>
        <v>19786.847399999995</v>
      </c>
      <c r="W141" s="4">
        <f t="shared" si="100"/>
        <v>20237.850899999998</v>
      </c>
      <c r="X141" s="4">
        <f t="shared" si="100"/>
        <v>20688.938100000003</v>
      </c>
      <c r="Y141" s="4">
        <f t="shared" si="100"/>
        <v>21140.025299999998</v>
      </c>
      <c r="Z141" s="4">
        <f t="shared" si="100"/>
        <v>21591.0288</v>
      </c>
      <c r="AA141" s="4">
        <f t="shared" si="100"/>
        <v>22042.088099999994</v>
      </c>
      <c r="AB141" s="4">
        <f t="shared" si="100"/>
        <v>22493.091600000003</v>
      </c>
      <c r="AC141" s="4">
        <f t="shared" si="100"/>
        <v>22944.206699999999</v>
      </c>
      <c r="AD141" s="4">
        <f t="shared" si="100"/>
        <v>22944.206699999999</v>
      </c>
      <c r="AE141" s="4">
        <f t="shared" si="100"/>
        <v>23846.269500000002</v>
      </c>
      <c r="AF141" s="4">
        <f t="shared" si="100"/>
        <v>23275.474892357885</v>
      </c>
      <c r="AG141" s="4">
        <f t="shared" si="100"/>
        <v>23134.714264320657</v>
      </c>
      <c r="AH141" s="4">
        <f t="shared" si="100"/>
        <v>23143.577680251674</v>
      </c>
      <c r="AI141" s="4">
        <f t="shared" si="100"/>
        <v>23155.108407452739</v>
      </c>
      <c r="AJ141" s="4">
        <f t="shared" si="100"/>
        <v>23788.721560384074</v>
      </c>
      <c r="AK141" s="4">
        <f t="shared" si="100"/>
        <v>24481.963400788143</v>
      </c>
      <c r="AL141" s="4">
        <f t="shared" si="100"/>
        <v>25365.560349458374</v>
      </c>
      <c r="AM141" s="4">
        <f t="shared" si="100"/>
        <v>26429.703864067873</v>
      </c>
      <c r="AN141" s="4">
        <f t="shared" si="100"/>
        <v>27696.795948820985</v>
      </c>
      <c r="AO141" s="4">
        <f t="shared" si="100"/>
        <v>29145.295015131604</v>
      </c>
      <c r="AP141" s="4">
        <f t="shared" si="100"/>
        <v>30742.336586300982</v>
      </c>
      <c r="AQ141" s="4">
        <f t="shared" si="100"/>
        <v>32442.0704324547</v>
      </c>
      <c r="AR141" s="4">
        <f t="shared" si="100"/>
        <v>34204.329247254573</v>
      </c>
      <c r="AS141" s="4">
        <f t="shared" si="100"/>
        <v>35985.020162706562</v>
      </c>
      <c r="AT141" s="4">
        <f t="shared" si="100"/>
        <v>37742.746904028871</v>
      </c>
      <c r="AU141" s="4">
        <f t="shared" si="100"/>
        <v>39442.322925378256</v>
      </c>
      <c r="AV141" s="4">
        <f t="shared" si="100"/>
        <v>41057.458474857762</v>
      </c>
      <c r="AW141" s="4">
        <f t="shared" si="100"/>
        <v>42572.097150804359</v>
      </c>
      <c r="AX141" s="4">
        <f t="shared" si="100"/>
        <v>43980.357865296159</v>
      </c>
      <c r="AY141" s="4">
        <f t="shared" si="100"/>
        <v>45285.258527681515</v>
      </c>
      <c r="AZ141" s="4">
        <f t="shared" si="100"/>
        <v>46486.16613937074</v>
      </c>
      <c r="BA141" s="4">
        <f t="shared" si="100"/>
        <v>47587.728817527692</v>
      </c>
      <c r="BB141" s="4">
        <f t="shared" si="100"/>
        <v>48591.537069115599</v>
      </c>
      <c r="BC141" s="4">
        <f t="shared" si="100"/>
        <v>49505.592417751388</v>
      </c>
      <c r="BD141" s="4">
        <f t="shared" si="100"/>
        <v>50236.716447906379</v>
      </c>
      <c r="BE141" s="4">
        <f t="shared" si="100"/>
        <v>50558.498018721235</v>
      </c>
      <c r="BF141" s="4">
        <f t="shared" si="100"/>
        <v>51024.332733760159</v>
      </c>
      <c r="BG141" s="4">
        <f t="shared" si="100"/>
        <v>51601.945939138372</v>
      </c>
      <c r="BH141" s="4">
        <f t="shared" si="100"/>
        <v>52255.3876196524</v>
      </c>
      <c r="BI141" s="4">
        <f t="shared" si="100"/>
        <v>52949.836641375652</v>
      </c>
      <c r="BJ141" s="4">
        <f t="shared" si="100"/>
        <v>53660.805483578886</v>
      </c>
      <c r="BK141" s="4">
        <f t="shared" si="100"/>
        <v>54367.360950527524</v>
      </c>
      <c r="BL141" s="4">
        <f t="shared" si="100"/>
        <v>55056.199137258402</v>
      </c>
      <c r="BM141" s="4">
        <f t="shared" si="100"/>
        <v>55719.635652318902</v>
      </c>
      <c r="BN141" s="4">
        <f t="shared" si="100"/>
        <v>56353.411089441732</v>
      </c>
      <c r="BO141" s="4">
        <f t="shared" si="100"/>
        <v>56955.848285397864</v>
      </c>
      <c r="BP141" s="4">
        <f t="shared" si="100"/>
        <v>57527.495117806073</v>
      </c>
      <c r="BQ141" s="4">
        <f t="shared" si="100"/>
        <v>58083.271676693621</v>
      </c>
      <c r="BR141" s="4">
        <f t="shared" si="100"/>
        <v>58633.428165379475</v>
      </c>
      <c r="BS141" s="4">
        <f t="shared" si="100"/>
        <v>59185.13053785688</v>
      </c>
      <c r="BT141" s="4">
        <f t="shared" ref="BT141:CD141" si="101">SUM(BT143:BT151)</f>
        <v>59743.443767306657</v>
      </c>
      <c r="BU141" s="4">
        <f t="shared" si="101"/>
        <v>60313.529304374773</v>
      </c>
      <c r="BV141" s="4">
        <f t="shared" si="101"/>
        <v>60898.812479980828</v>
      </c>
      <c r="BW141" s="4">
        <f t="shared" si="101"/>
        <v>61498.8287795055</v>
      </c>
      <c r="BX141" s="4">
        <f t="shared" si="101"/>
        <v>62117.578103351138</v>
      </c>
      <c r="BY141" s="4">
        <f t="shared" si="101"/>
        <v>62757.733693011432</v>
      </c>
      <c r="BZ141" s="4">
        <f t="shared" si="101"/>
        <v>63421.397601660858</v>
      </c>
      <c r="CA141" s="4">
        <f t="shared" si="101"/>
        <v>64110.238689044345</v>
      </c>
      <c r="CB141" s="4">
        <f t="shared" si="101"/>
        <v>64832.711507985303</v>
      </c>
      <c r="CC141" s="4">
        <f t="shared" si="101"/>
        <v>65613.16976243649</v>
      </c>
      <c r="CD141" s="4">
        <f t="shared" si="101"/>
        <v>66466.386195130151</v>
      </c>
    </row>
    <row r="142" spans="1:82" s="5" customFormat="1" x14ac:dyDescent="0.2">
      <c r="D142" s="5" t="s">
        <v>75</v>
      </c>
    </row>
    <row r="143" spans="1:82" s="3" customFormat="1" x14ac:dyDescent="0.2">
      <c r="E143" s="3" t="s">
        <v>76</v>
      </c>
      <c r="F143" s="3" t="s">
        <v>6</v>
      </c>
      <c r="G143" s="3">
        <f>O368</f>
        <v>214.27199999999999</v>
      </c>
      <c r="H143" s="3">
        <f t="shared" ref="H143:BS146" si="102">P368</f>
        <v>214.27199999999999</v>
      </c>
      <c r="I143" s="3">
        <f t="shared" si="102"/>
        <v>226.85489999999999</v>
      </c>
      <c r="J143" s="3">
        <f t="shared" si="102"/>
        <v>233.13239999999999</v>
      </c>
      <c r="K143" s="3">
        <f t="shared" si="102"/>
        <v>239.43780000000001</v>
      </c>
      <c r="L143" s="3">
        <f t="shared" si="102"/>
        <v>245.71530000000001</v>
      </c>
      <c r="M143" s="3">
        <f t="shared" si="102"/>
        <v>252.02070000000001</v>
      </c>
      <c r="N143" s="3">
        <f t="shared" si="102"/>
        <v>258.29820000000001</v>
      </c>
      <c r="O143" s="3">
        <f t="shared" si="102"/>
        <v>264.60359999999997</v>
      </c>
      <c r="P143" s="3">
        <f t="shared" si="102"/>
        <v>270.8811</v>
      </c>
      <c r="Q143" s="3">
        <f t="shared" si="102"/>
        <v>277.18650000000002</v>
      </c>
      <c r="R143" s="3">
        <f t="shared" si="102"/>
        <v>283.464</v>
      </c>
      <c r="S143" s="3">
        <f t="shared" si="102"/>
        <v>289.76940000000002</v>
      </c>
      <c r="T143" s="3">
        <f t="shared" si="102"/>
        <v>316.86029999999988</v>
      </c>
      <c r="U143" s="3">
        <f t="shared" si="102"/>
        <v>411.02280000000002</v>
      </c>
      <c r="V143" s="3">
        <f t="shared" si="102"/>
        <v>505.21319999999997</v>
      </c>
      <c r="W143" s="3">
        <f t="shared" si="102"/>
        <v>599.34780000000001</v>
      </c>
      <c r="X143" s="3">
        <f t="shared" si="102"/>
        <v>693.51029999999992</v>
      </c>
      <c r="Y143" s="3">
        <f t="shared" si="102"/>
        <v>787.70069999999998</v>
      </c>
      <c r="Z143" s="3">
        <f t="shared" si="102"/>
        <v>881.83529999999996</v>
      </c>
      <c r="AA143" s="3">
        <f t="shared" si="102"/>
        <v>976.02569999999992</v>
      </c>
      <c r="AB143" s="3">
        <f t="shared" si="102"/>
        <v>1070.1603</v>
      </c>
      <c r="AC143" s="3">
        <f t="shared" si="102"/>
        <v>1164.3507</v>
      </c>
      <c r="AD143" s="3">
        <f t="shared" si="102"/>
        <v>1164.3507</v>
      </c>
      <c r="AE143" s="3">
        <f t="shared" si="102"/>
        <v>1352.6757</v>
      </c>
      <c r="AF143" s="3">
        <f t="shared" si="102"/>
        <v>5387.9058535896702</v>
      </c>
      <c r="AG143" s="3">
        <f t="shared" si="102"/>
        <v>5327.5908423975097</v>
      </c>
      <c r="AH143" s="3">
        <f t="shared" si="102"/>
        <v>5325.6419788425401</v>
      </c>
      <c r="AI143" s="3">
        <f t="shared" si="102"/>
        <v>5323.5007229073699</v>
      </c>
      <c r="AJ143" s="3">
        <f t="shared" si="102"/>
        <v>5464.6098453172199</v>
      </c>
      <c r="AK143" s="3">
        <f t="shared" si="102"/>
        <v>5618.7802726494192</v>
      </c>
      <c r="AL143" s="3">
        <f t="shared" si="102"/>
        <v>5815.9022988608695</v>
      </c>
      <c r="AM143" s="3">
        <f t="shared" si="102"/>
        <v>6052.4398232599797</v>
      </c>
      <c r="AN143" s="3">
        <f t="shared" si="102"/>
        <v>6334.4175776044303</v>
      </c>
      <c r="AO143" s="3">
        <f t="shared" si="102"/>
        <v>6656.9438074865893</v>
      </c>
      <c r="AP143" s="3">
        <f t="shared" si="102"/>
        <v>7013.2153045733303</v>
      </c>
      <c r="AQ143" s="3">
        <f t="shared" si="102"/>
        <v>7394.7133618081098</v>
      </c>
      <c r="AR143" s="3">
        <f t="shared" si="102"/>
        <v>7790.0351678423103</v>
      </c>
      <c r="AS143" s="3">
        <f t="shared" si="102"/>
        <v>8189.0587457844003</v>
      </c>
      <c r="AT143" s="3">
        <f t="shared" si="102"/>
        <v>8582.3212407861211</v>
      </c>
      <c r="AU143" s="3">
        <f t="shared" si="102"/>
        <v>8961.8009594397408</v>
      </c>
      <c r="AV143" s="3">
        <f t="shared" si="102"/>
        <v>9321.5497706574697</v>
      </c>
      <c r="AW143" s="3">
        <f t="shared" si="102"/>
        <v>9657.9620987215294</v>
      </c>
      <c r="AX143" s="3">
        <f t="shared" si="102"/>
        <v>9969.7713604622804</v>
      </c>
      <c r="AY143" s="3">
        <f t="shared" si="102"/>
        <v>10257.738218345899</v>
      </c>
      <c r="AZ143" s="3">
        <f t="shared" si="102"/>
        <v>10522.6215534275</v>
      </c>
      <c r="BA143" s="3">
        <f t="shared" si="102"/>
        <v>10765.575719988399</v>
      </c>
      <c r="BB143" s="3">
        <f t="shared" si="102"/>
        <v>10987.208179154901</v>
      </c>
      <c r="BC143" s="3">
        <f t="shared" si="102"/>
        <v>11189.2433367052</v>
      </c>
      <c r="BD143" s="3">
        <f t="shared" si="102"/>
        <v>11350.5198122282</v>
      </c>
      <c r="BE143" s="3">
        <f t="shared" si="102"/>
        <v>11419.5459228571</v>
      </c>
      <c r="BF143" s="3">
        <f t="shared" si="102"/>
        <v>11518.5424909347</v>
      </c>
      <c r="BG143" s="3">
        <f t="shared" si="102"/>
        <v>11643.2483815217</v>
      </c>
      <c r="BH143" s="3">
        <f t="shared" si="102"/>
        <v>11785.467322939499</v>
      </c>
      <c r="BI143" s="3">
        <f t="shared" si="102"/>
        <v>11937.273817970599</v>
      </c>
      <c r="BJ143" s="3">
        <f t="shared" si="102"/>
        <v>12093.097394643701</v>
      </c>
      <c r="BK143" s="3">
        <f t="shared" si="102"/>
        <v>12248.1763415491</v>
      </c>
      <c r="BL143" s="3">
        <f t="shared" si="102"/>
        <v>12399.4911671641</v>
      </c>
      <c r="BM143" s="3">
        <f t="shared" si="102"/>
        <v>12545.299651601399</v>
      </c>
      <c r="BN143" s="3">
        <f t="shared" si="102"/>
        <v>12684.6469586037</v>
      </c>
      <c r="BO143" s="3">
        <f t="shared" si="102"/>
        <v>12817.166117519801</v>
      </c>
      <c r="BP143" s="3">
        <f t="shared" si="102"/>
        <v>12942.985389936701</v>
      </c>
      <c r="BQ143" s="3">
        <f t="shared" si="102"/>
        <v>13065.179491115599</v>
      </c>
      <c r="BR143" s="3">
        <f t="shared" si="102"/>
        <v>13186.074943728099</v>
      </c>
      <c r="BS143" s="3">
        <f t="shared" si="102"/>
        <v>13307.307083006001</v>
      </c>
      <c r="BT143" s="3">
        <f t="shared" ref="BT143:CD145" si="103">CB368</f>
        <v>13430.032044641401</v>
      </c>
      <c r="BU143" s="3">
        <f t="shared" si="103"/>
        <v>13555.4113085591</v>
      </c>
      <c r="BV143" s="3">
        <f t="shared" si="103"/>
        <v>13684.2162256909</v>
      </c>
      <c r="BW143" s="3">
        <f t="shared" si="103"/>
        <v>13816.357725490399</v>
      </c>
      <c r="BX143" s="3">
        <f t="shared" si="103"/>
        <v>13952.738983297901</v>
      </c>
      <c r="BY143" s="3">
        <f t="shared" si="103"/>
        <v>14093.967460239999</v>
      </c>
      <c r="BZ143" s="3">
        <f t="shared" si="103"/>
        <v>14240.5187930341</v>
      </c>
      <c r="CA143" s="3">
        <f t="shared" si="103"/>
        <v>14392.7688593862</v>
      </c>
      <c r="CB143" s="3">
        <f t="shared" si="103"/>
        <v>14552.6362388654</v>
      </c>
      <c r="CC143" s="3">
        <f t="shared" si="103"/>
        <v>14725.646868169601</v>
      </c>
      <c r="CD143" s="3">
        <f t="shared" si="103"/>
        <v>14915.137329966499</v>
      </c>
    </row>
    <row r="144" spans="1:82" s="3" customFormat="1" x14ac:dyDescent="0.2">
      <c r="E144" s="3" t="s">
        <v>78</v>
      </c>
      <c r="F144" s="3" t="s">
        <v>6</v>
      </c>
      <c r="G144" s="3">
        <f>O369</f>
        <v>10981.3284</v>
      </c>
      <c r="H144" s="3">
        <f t="shared" si="102"/>
        <v>10981.3284</v>
      </c>
      <c r="I144" s="3">
        <f t="shared" si="102"/>
        <v>11626.320599999999</v>
      </c>
      <c r="J144" s="3">
        <f t="shared" si="102"/>
        <v>11948.816699999999</v>
      </c>
      <c r="K144" s="3">
        <f t="shared" si="102"/>
        <v>12271.3128</v>
      </c>
      <c r="L144" s="3">
        <f t="shared" si="102"/>
        <v>12593.8089</v>
      </c>
      <c r="M144" s="3">
        <f t="shared" si="102"/>
        <v>12916.305</v>
      </c>
      <c r="N144" s="3">
        <f t="shared" si="102"/>
        <v>13238.801100000001</v>
      </c>
      <c r="O144" s="3">
        <f t="shared" si="102"/>
        <v>13561.297200000001</v>
      </c>
      <c r="P144" s="3">
        <f t="shared" si="102"/>
        <v>13883.793299999999</v>
      </c>
      <c r="Q144" s="3">
        <f t="shared" si="102"/>
        <v>14206.2894</v>
      </c>
      <c r="R144" s="3">
        <f t="shared" si="102"/>
        <v>14528.7855</v>
      </c>
      <c r="S144" s="3">
        <f t="shared" si="102"/>
        <v>14851.253699999999</v>
      </c>
      <c r="T144" s="3">
        <f t="shared" si="102"/>
        <v>16240.5342</v>
      </c>
      <c r="U144" s="3">
        <f t="shared" si="102"/>
        <v>16525.895400000001</v>
      </c>
      <c r="V144" s="3">
        <f t="shared" si="102"/>
        <v>16811.2287</v>
      </c>
      <c r="W144" s="3">
        <f t="shared" si="102"/>
        <v>17096.589899999999</v>
      </c>
      <c r="X144" s="3">
        <f t="shared" si="102"/>
        <v>17381.951099999998</v>
      </c>
      <c r="Y144" s="3">
        <f t="shared" si="102"/>
        <v>17667.2844</v>
      </c>
      <c r="Z144" s="3">
        <f t="shared" si="102"/>
        <v>17952.6456</v>
      </c>
      <c r="AA144" s="3">
        <f t="shared" si="102"/>
        <v>18237.978899999998</v>
      </c>
      <c r="AB144" s="3">
        <f t="shared" si="102"/>
        <v>18523.340100000001</v>
      </c>
      <c r="AC144" s="3">
        <f t="shared" si="102"/>
        <v>18808.6734</v>
      </c>
      <c r="AD144" s="3">
        <f t="shared" si="102"/>
        <v>18808.6734</v>
      </c>
      <c r="AE144" s="3">
        <f t="shared" si="102"/>
        <v>19379.367900000001</v>
      </c>
      <c r="AF144" s="3">
        <f t="shared" si="102"/>
        <v>14147.184955262001</v>
      </c>
      <c r="AG144" s="3">
        <f t="shared" si="102"/>
        <v>14001.2569287756</v>
      </c>
      <c r="AH144" s="3">
        <f t="shared" si="102"/>
        <v>14002.590361734299</v>
      </c>
      <c r="AI144" s="3">
        <f t="shared" si="102"/>
        <v>14004.0554315847</v>
      </c>
      <c r="AJ144" s="3">
        <f t="shared" si="102"/>
        <v>14383.1635854222</v>
      </c>
      <c r="AK144" s="3">
        <f t="shared" si="102"/>
        <v>14797.385880124501</v>
      </c>
      <c r="AL144" s="3">
        <f t="shared" si="102"/>
        <v>15325.704450720499</v>
      </c>
      <c r="AM144" s="3">
        <f t="shared" si="102"/>
        <v>15959.982187125899</v>
      </c>
      <c r="AN144" s="3">
        <f t="shared" si="102"/>
        <v>16715.2793248411</v>
      </c>
      <c r="AO144" s="3">
        <f t="shared" si="102"/>
        <v>17578.617441431001</v>
      </c>
      <c r="AP144" s="3">
        <f t="shared" si="102"/>
        <v>18531.365041277699</v>
      </c>
      <c r="AQ144" s="3">
        <f t="shared" si="102"/>
        <v>19549.355785010401</v>
      </c>
      <c r="AR144" s="3">
        <f t="shared" si="102"/>
        <v>20604.387687439499</v>
      </c>
      <c r="AS144" s="3">
        <f t="shared" si="102"/>
        <v>21669.687267422301</v>
      </c>
      <c r="AT144" s="3">
        <f t="shared" si="102"/>
        <v>22720.1606330457</v>
      </c>
      <c r="AU144" s="3">
        <f t="shared" si="102"/>
        <v>23734.522830235499</v>
      </c>
      <c r="AV144" s="3">
        <f t="shared" si="102"/>
        <v>24696.911613540098</v>
      </c>
      <c r="AW144" s="3">
        <f t="shared" si="102"/>
        <v>25597.699206962701</v>
      </c>
      <c r="AX144" s="3">
        <f t="shared" si="102"/>
        <v>26433.426485515502</v>
      </c>
      <c r="AY144" s="3">
        <f t="shared" si="102"/>
        <v>27206.0302179108</v>
      </c>
      <c r="AZ144" s="3">
        <f t="shared" si="102"/>
        <v>27916.753641459301</v>
      </c>
      <c r="BA144" s="3">
        <f t="shared" si="102"/>
        <v>28568.582963426699</v>
      </c>
      <c r="BB144" s="3">
        <f t="shared" si="102"/>
        <v>29162.2044020541</v>
      </c>
      <c r="BC144" s="3">
        <f t="shared" si="102"/>
        <v>29703.011413321401</v>
      </c>
      <c r="BD144" s="3">
        <f t="shared" si="102"/>
        <v>30134.7280071606</v>
      </c>
      <c r="BE144" s="3">
        <f t="shared" si="102"/>
        <v>30320.522510074799</v>
      </c>
      <c r="BF144" s="3">
        <f t="shared" si="102"/>
        <v>30593.455759863598</v>
      </c>
      <c r="BG144" s="3">
        <f t="shared" si="102"/>
        <v>30934.342898419702</v>
      </c>
      <c r="BH144" s="3">
        <f t="shared" si="102"/>
        <v>31321.441899128298</v>
      </c>
      <c r="BI144" s="3">
        <f t="shared" si="102"/>
        <v>31733.6945158954</v>
      </c>
      <c r="BJ144" s="3">
        <f t="shared" si="102"/>
        <v>32156.303787004101</v>
      </c>
      <c r="BK144" s="3">
        <f t="shared" si="102"/>
        <v>32576.627695409399</v>
      </c>
      <c r="BL144" s="3">
        <f t="shared" si="102"/>
        <v>32986.629077556201</v>
      </c>
      <c r="BM144" s="3">
        <f t="shared" si="102"/>
        <v>33381.666514151198</v>
      </c>
      <c r="BN144" s="3">
        <f t="shared" si="102"/>
        <v>33759.1572406247</v>
      </c>
      <c r="BO144" s="3">
        <f t="shared" si="102"/>
        <v>34118.078633345802</v>
      </c>
      <c r="BP144" s="3">
        <f t="shared" si="102"/>
        <v>34458.7585656835</v>
      </c>
      <c r="BQ144" s="3">
        <f t="shared" si="102"/>
        <v>34789.746122438599</v>
      </c>
      <c r="BR144" s="3">
        <f t="shared" si="102"/>
        <v>35117.246520423403</v>
      </c>
      <c r="BS144" s="3">
        <f t="shared" si="102"/>
        <v>35445.596463903799</v>
      </c>
      <c r="BT144" s="3">
        <f t="shared" si="103"/>
        <v>35777.866261493102</v>
      </c>
      <c r="BU144" s="3">
        <f t="shared" si="103"/>
        <v>36117.184727089603</v>
      </c>
      <c r="BV144" s="3">
        <f t="shared" si="103"/>
        <v>36465.632454898601</v>
      </c>
      <c r="BW144" s="3">
        <f t="shared" si="103"/>
        <v>36822.935201395601</v>
      </c>
      <c r="BX144" s="3">
        <f t="shared" si="103"/>
        <v>37191.519717056501</v>
      </c>
      <c r="BY144" s="3">
        <f t="shared" si="103"/>
        <v>37573.014398986401</v>
      </c>
      <c r="BZ144" s="3">
        <f t="shared" si="103"/>
        <v>37968.699050299001</v>
      </c>
      <c r="CA144" s="3">
        <f t="shared" si="103"/>
        <v>38379.588981464804</v>
      </c>
      <c r="CB144" s="3">
        <f t="shared" si="103"/>
        <v>38810.811936960097</v>
      </c>
      <c r="CC144" s="3">
        <f t="shared" si="103"/>
        <v>39277.106373216397</v>
      </c>
      <c r="CD144" s="3">
        <f t="shared" si="103"/>
        <v>39787.413847989599</v>
      </c>
    </row>
    <row r="145" spans="2:82" s="3" customFormat="1" x14ac:dyDescent="0.2">
      <c r="D145" s="3" t="s">
        <v>79</v>
      </c>
      <c r="F145" s="3" t="s">
        <v>6</v>
      </c>
      <c r="G145" s="3">
        <f>O370</f>
        <v>0</v>
      </c>
      <c r="H145" s="3">
        <f t="shared" si="102"/>
        <v>0</v>
      </c>
      <c r="I145" s="3">
        <f t="shared" si="102"/>
        <v>0</v>
      </c>
      <c r="J145" s="3">
        <f t="shared" si="102"/>
        <v>0</v>
      </c>
      <c r="K145" s="3">
        <f t="shared" si="102"/>
        <v>0</v>
      </c>
      <c r="L145" s="3">
        <f t="shared" si="102"/>
        <v>0</v>
      </c>
      <c r="M145" s="3">
        <f t="shared" si="102"/>
        <v>0</v>
      </c>
      <c r="N145" s="3">
        <f t="shared" si="102"/>
        <v>0</v>
      </c>
      <c r="O145" s="3">
        <f t="shared" si="102"/>
        <v>0</v>
      </c>
      <c r="P145" s="3">
        <f t="shared" si="102"/>
        <v>0</v>
      </c>
      <c r="Q145" s="3">
        <f t="shared" si="102"/>
        <v>0</v>
      </c>
      <c r="R145" s="3">
        <f t="shared" si="102"/>
        <v>0</v>
      </c>
      <c r="S145" s="3">
        <f t="shared" si="102"/>
        <v>0</v>
      </c>
      <c r="T145" s="3">
        <f t="shared" si="102"/>
        <v>0</v>
      </c>
      <c r="U145" s="3">
        <f t="shared" si="102"/>
        <v>0</v>
      </c>
      <c r="V145" s="3">
        <f t="shared" si="102"/>
        <v>0</v>
      </c>
      <c r="W145" s="3">
        <f t="shared" si="102"/>
        <v>0</v>
      </c>
      <c r="X145" s="3">
        <f t="shared" si="102"/>
        <v>0</v>
      </c>
      <c r="Y145" s="3">
        <f t="shared" si="102"/>
        <v>0</v>
      </c>
      <c r="Z145" s="3">
        <f t="shared" si="102"/>
        <v>0</v>
      </c>
      <c r="AA145" s="3">
        <f t="shared" si="102"/>
        <v>0</v>
      </c>
      <c r="AB145" s="3">
        <f t="shared" si="102"/>
        <v>0</v>
      </c>
      <c r="AC145" s="3">
        <f t="shared" si="102"/>
        <v>0</v>
      </c>
      <c r="AD145" s="3">
        <f t="shared" si="102"/>
        <v>0</v>
      </c>
      <c r="AE145" s="3">
        <f t="shared" si="102"/>
        <v>0</v>
      </c>
      <c r="AF145" s="3">
        <f t="shared" si="102"/>
        <v>0</v>
      </c>
      <c r="AG145" s="3">
        <f t="shared" si="102"/>
        <v>0</v>
      </c>
      <c r="AH145" s="3">
        <f t="shared" si="102"/>
        <v>0</v>
      </c>
      <c r="AI145" s="3">
        <f t="shared" si="102"/>
        <v>0</v>
      </c>
      <c r="AJ145" s="3">
        <f t="shared" si="102"/>
        <v>0</v>
      </c>
      <c r="AK145" s="3">
        <f t="shared" si="102"/>
        <v>0</v>
      </c>
      <c r="AL145" s="3">
        <f t="shared" si="102"/>
        <v>0</v>
      </c>
      <c r="AM145" s="3">
        <f t="shared" si="102"/>
        <v>0</v>
      </c>
      <c r="AN145" s="3">
        <f t="shared" si="102"/>
        <v>0</v>
      </c>
      <c r="AO145" s="3">
        <f t="shared" si="102"/>
        <v>0</v>
      </c>
      <c r="AP145" s="3">
        <f t="shared" si="102"/>
        <v>0</v>
      </c>
      <c r="AQ145" s="3">
        <f t="shared" si="102"/>
        <v>0</v>
      </c>
      <c r="AR145" s="3">
        <f t="shared" si="102"/>
        <v>0</v>
      </c>
      <c r="AS145" s="3">
        <f t="shared" si="102"/>
        <v>0</v>
      </c>
      <c r="AT145" s="3">
        <f t="shared" si="102"/>
        <v>0</v>
      </c>
      <c r="AU145" s="3">
        <f t="shared" si="102"/>
        <v>0</v>
      </c>
      <c r="AV145" s="3">
        <f t="shared" si="102"/>
        <v>0</v>
      </c>
      <c r="AW145" s="3">
        <f t="shared" si="102"/>
        <v>0</v>
      </c>
      <c r="AX145" s="3">
        <f t="shared" si="102"/>
        <v>0</v>
      </c>
      <c r="AY145" s="3">
        <f t="shared" si="102"/>
        <v>0</v>
      </c>
      <c r="AZ145" s="3">
        <f t="shared" si="102"/>
        <v>0</v>
      </c>
      <c r="BA145" s="3">
        <f t="shared" si="102"/>
        <v>0</v>
      </c>
      <c r="BB145" s="3">
        <f t="shared" si="102"/>
        <v>0</v>
      </c>
      <c r="BC145" s="3">
        <f t="shared" si="102"/>
        <v>0</v>
      </c>
      <c r="BD145" s="3">
        <f t="shared" si="102"/>
        <v>0</v>
      </c>
      <c r="BE145" s="3">
        <f t="shared" si="102"/>
        <v>0</v>
      </c>
      <c r="BF145" s="3">
        <f t="shared" si="102"/>
        <v>0</v>
      </c>
      <c r="BG145" s="3">
        <f t="shared" si="102"/>
        <v>0</v>
      </c>
      <c r="BH145" s="3">
        <f t="shared" si="102"/>
        <v>0</v>
      </c>
      <c r="BI145" s="3">
        <f t="shared" si="102"/>
        <v>0</v>
      </c>
      <c r="BJ145" s="3">
        <f t="shared" si="102"/>
        <v>0</v>
      </c>
      <c r="BK145" s="3">
        <f t="shared" si="102"/>
        <v>0</v>
      </c>
      <c r="BL145" s="3">
        <f t="shared" si="102"/>
        <v>0</v>
      </c>
      <c r="BM145" s="3">
        <f t="shared" si="102"/>
        <v>0</v>
      </c>
      <c r="BN145" s="3">
        <f t="shared" si="102"/>
        <v>0</v>
      </c>
      <c r="BO145" s="3">
        <f t="shared" si="102"/>
        <v>0</v>
      </c>
      <c r="BP145" s="3">
        <f t="shared" si="102"/>
        <v>0</v>
      </c>
      <c r="BQ145" s="3">
        <f t="shared" si="102"/>
        <v>0</v>
      </c>
      <c r="BR145" s="3">
        <f t="shared" si="102"/>
        <v>0</v>
      </c>
      <c r="BS145" s="3">
        <f t="shared" si="102"/>
        <v>0</v>
      </c>
      <c r="BT145" s="3">
        <f t="shared" si="103"/>
        <v>0</v>
      </c>
      <c r="BU145" s="3">
        <f t="shared" si="103"/>
        <v>0</v>
      </c>
      <c r="BV145" s="3">
        <f t="shared" si="103"/>
        <v>0</v>
      </c>
      <c r="BW145" s="3">
        <f t="shared" si="103"/>
        <v>0</v>
      </c>
      <c r="BX145" s="3">
        <f t="shared" si="103"/>
        <v>0</v>
      </c>
      <c r="BY145" s="3">
        <f t="shared" si="103"/>
        <v>0</v>
      </c>
      <c r="BZ145" s="3">
        <f t="shared" si="103"/>
        <v>0</v>
      </c>
      <c r="CA145" s="3">
        <f t="shared" si="103"/>
        <v>0</v>
      </c>
      <c r="CB145" s="3">
        <f t="shared" si="103"/>
        <v>0</v>
      </c>
      <c r="CC145" s="3">
        <f t="shared" si="103"/>
        <v>0</v>
      </c>
      <c r="CD145" s="3">
        <f t="shared" si="103"/>
        <v>0</v>
      </c>
    </row>
    <row r="146" spans="2:82" s="3" customFormat="1" x14ac:dyDescent="0.2">
      <c r="D146" s="3" t="s">
        <v>80</v>
      </c>
      <c r="F146" s="3" t="s">
        <v>6</v>
      </c>
      <c r="G146" s="3">
        <f>O371</f>
        <v>344.45339999999999</v>
      </c>
      <c r="H146" s="3">
        <f t="shared" si="102"/>
        <v>344.45339999999999</v>
      </c>
      <c r="I146" s="3">
        <f t="shared" si="102"/>
        <v>365.04360000000003</v>
      </c>
      <c r="J146" s="3">
        <f t="shared" si="102"/>
        <v>375.31079999999997</v>
      </c>
      <c r="K146" s="3">
        <f t="shared" si="102"/>
        <v>385.60590000000002</v>
      </c>
      <c r="L146" s="3">
        <f t="shared" si="102"/>
        <v>395.87310000000002</v>
      </c>
      <c r="M146" s="3">
        <f t="shared" si="102"/>
        <v>406.16820000000001</v>
      </c>
      <c r="N146" s="3">
        <f t="shared" si="102"/>
        <v>416.43540000000002</v>
      </c>
      <c r="O146" s="3">
        <f t="shared" si="102"/>
        <v>426.73049999999989</v>
      </c>
      <c r="P146" s="3">
        <f t="shared" si="102"/>
        <v>436.99770000000001</v>
      </c>
      <c r="Q146" s="3">
        <f t="shared" si="102"/>
        <v>447.2928</v>
      </c>
      <c r="R146" s="3">
        <f t="shared" si="102"/>
        <v>457.55999999999989</v>
      </c>
      <c r="S146" s="3">
        <f t="shared" si="102"/>
        <v>467.85509999999988</v>
      </c>
      <c r="T146" s="3">
        <f t="shared" si="102"/>
        <v>478.56869999999992</v>
      </c>
      <c r="U146" s="3">
        <f t="shared" si="102"/>
        <v>489.22649999999999</v>
      </c>
      <c r="V146" s="3">
        <f t="shared" si="102"/>
        <v>499.91219999999993</v>
      </c>
      <c r="W146" s="3">
        <f t="shared" si="102"/>
        <v>510.57</v>
      </c>
      <c r="X146" s="3">
        <f t="shared" si="102"/>
        <v>521.25569999999993</v>
      </c>
      <c r="Y146" s="3">
        <f t="shared" si="102"/>
        <v>531.94139999999993</v>
      </c>
      <c r="Z146" s="3">
        <f t="shared" si="102"/>
        <v>542.5992</v>
      </c>
      <c r="AA146" s="3">
        <f t="shared" si="102"/>
        <v>553.28489999999999</v>
      </c>
      <c r="AB146" s="3">
        <f t="shared" si="102"/>
        <v>563.94269999999995</v>
      </c>
      <c r="AC146" s="3">
        <f t="shared" si="102"/>
        <v>574.62839999999994</v>
      </c>
      <c r="AD146" s="3">
        <f t="shared" si="102"/>
        <v>574.62839999999994</v>
      </c>
      <c r="AE146" s="3">
        <f t="shared" si="102"/>
        <v>595.97190000000001</v>
      </c>
      <c r="AF146" s="3">
        <f t="shared" si="102"/>
        <v>740.67456675234996</v>
      </c>
      <c r="AG146" s="3">
        <f t="shared" si="102"/>
        <v>791.03777267579505</v>
      </c>
      <c r="AH146" s="3">
        <f t="shared" si="102"/>
        <v>792.125113090637</v>
      </c>
      <c r="AI146" s="3">
        <f t="shared" si="102"/>
        <v>793.64217201256508</v>
      </c>
      <c r="AJ146" s="3">
        <f t="shared" si="102"/>
        <v>817.01433026403208</v>
      </c>
      <c r="AK146" s="3">
        <f t="shared" si="102"/>
        <v>842.74083401309201</v>
      </c>
      <c r="AL146" s="3">
        <f t="shared" si="102"/>
        <v>875.52266262078808</v>
      </c>
      <c r="AM146" s="3">
        <f t="shared" si="102"/>
        <v>915.54259822415293</v>
      </c>
      <c r="AN146" s="3">
        <f t="shared" si="102"/>
        <v>963.24775152643906</v>
      </c>
      <c r="AO146" s="3">
        <f t="shared" si="102"/>
        <v>1017.8672872675101</v>
      </c>
      <c r="AP146" s="3">
        <f t="shared" si="102"/>
        <v>1077.9479726038101</v>
      </c>
      <c r="AQ146" s="3">
        <f t="shared" si="102"/>
        <v>1141.0466962063799</v>
      </c>
      <c r="AR146" s="3">
        <f t="shared" si="102"/>
        <v>1206.6180650559099</v>
      </c>
      <c r="AS146" s="3">
        <f t="shared" si="102"/>
        <v>1273.09464849255</v>
      </c>
      <c r="AT146" s="3">
        <f t="shared" si="102"/>
        <v>1338.98728073914</v>
      </c>
      <c r="AU146" s="3">
        <f t="shared" si="102"/>
        <v>1403.0146819858901</v>
      </c>
      <c r="AV146" s="3">
        <f t="shared" si="102"/>
        <v>1464.2015766290899</v>
      </c>
      <c r="AW146" s="3">
        <f t="shared" si="102"/>
        <v>1521.9333310194299</v>
      </c>
      <c r="AX146" s="3">
        <f t="shared" si="102"/>
        <v>1575.9590709311201</v>
      </c>
      <c r="AY146" s="3">
        <f t="shared" si="102"/>
        <v>1626.3490214581</v>
      </c>
      <c r="AZ146" s="3">
        <f t="shared" si="102"/>
        <v>1672.7285940735701</v>
      </c>
      <c r="BA146" s="3">
        <f t="shared" si="102"/>
        <v>1715.2306914086</v>
      </c>
      <c r="BB146" s="3">
        <f t="shared" si="102"/>
        <v>1754.0205393267299</v>
      </c>
      <c r="BC146" s="3">
        <f t="shared" si="102"/>
        <v>1789.23514239208</v>
      </c>
      <c r="BD146" s="3">
        <f t="shared" si="102"/>
        <v>1817.4680913165</v>
      </c>
      <c r="BE146" s="3">
        <f t="shared" si="102"/>
        <v>1830.44463858207</v>
      </c>
      <c r="BF146" s="3">
        <f t="shared" si="102"/>
        <v>1848.2297999321099</v>
      </c>
      <c r="BG146" s="3">
        <f t="shared" si="102"/>
        <v>1869.9792334660899</v>
      </c>
      <c r="BH146" s="3">
        <f t="shared" si="102"/>
        <v>1894.39098563161</v>
      </c>
      <c r="BI146" s="3">
        <f t="shared" si="102"/>
        <v>1920.20510667078</v>
      </c>
      <c r="BJ146" s="3">
        <f t="shared" si="102"/>
        <v>1946.53065672353</v>
      </c>
      <c r="BK146" s="3">
        <f t="shared" si="102"/>
        <v>1972.60319954531</v>
      </c>
      <c r="BL146" s="3">
        <f t="shared" si="102"/>
        <v>1997.9382148033801</v>
      </c>
      <c r="BM146" s="3">
        <f t="shared" si="102"/>
        <v>2022.25759143645</v>
      </c>
      <c r="BN146" s="3">
        <f t="shared" si="102"/>
        <v>2045.4143161637401</v>
      </c>
      <c r="BO146" s="3">
        <f t="shared" si="102"/>
        <v>2067.3547357008702</v>
      </c>
      <c r="BP146" s="3">
        <f t="shared" si="102"/>
        <v>2088.1037898008299</v>
      </c>
      <c r="BQ146" s="3">
        <f t="shared" si="102"/>
        <v>2108.2726664891502</v>
      </c>
      <c r="BR146" s="3">
        <f t="shared" si="102"/>
        <v>2128.2352979833499</v>
      </c>
      <c r="BS146" s="3">
        <f t="shared" ref="BS146:CD149" si="104">CA371</f>
        <v>2148.2543720764202</v>
      </c>
      <c r="BT146" s="3">
        <f t="shared" si="104"/>
        <v>2168.5156242971998</v>
      </c>
      <c r="BU146" s="3">
        <f t="shared" si="104"/>
        <v>2189.2029853239701</v>
      </c>
      <c r="BV146" s="3">
        <f t="shared" si="104"/>
        <v>2210.4395131484598</v>
      </c>
      <c r="BW146" s="3">
        <f t="shared" si="104"/>
        <v>2232.2099485796898</v>
      </c>
      <c r="BX146" s="3">
        <f t="shared" si="104"/>
        <v>2254.6580233519999</v>
      </c>
      <c r="BY146" s="3">
        <f t="shared" si="104"/>
        <v>2277.8803790082102</v>
      </c>
      <c r="BZ146" s="3">
        <f t="shared" si="104"/>
        <v>2301.95199888462</v>
      </c>
      <c r="CA146" s="3">
        <f t="shared" si="104"/>
        <v>2326.9316226626001</v>
      </c>
      <c r="CB146" s="3">
        <f t="shared" si="104"/>
        <v>2353.1277157080599</v>
      </c>
      <c r="CC146" s="3">
        <f t="shared" si="104"/>
        <v>2381.4313819583899</v>
      </c>
      <c r="CD146" s="3">
        <f t="shared" si="104"/>
        <v>2412.3814513399998</v>
      </c>
    </row>
    <row r="147" spans="2:82" s="3" customFormat="1" x14ac:dyDescent="0.2">
      <c r="D147" s="3" t="s">
        <v>81</v>
      </c>
      <c r="F147" s="3" t="s">
        <v>6</v>
      </c>
      <c r="G147" s="3">
        <f>O372</f>
        <v>1056.7125000000001</v>
      </c>
      <c r="H147" s="3">
        <f t="shared" ref="H147:BS150" si="105">P372</f>
        <v>1056.7125000000001</v>
      </c>
      <c r="I147" s="3">
        <f t="shared" si="105"/>
        <v>1163.5137</v>
      </c>
      <c r="J147" s="3">
        <f t="shared" si="105"/>
        <v>1216.9142999999999</v>
      </c>
      <c r="K147" s="3">
        <f t="shared" si="105"/>
        <v>1270.3149000000001</v>
      </c>
      <c r="L147" s="3">
        <f t="shared" si="105"/>
        <v>1323.7155</v>
      </c>
      <c r="M147" s="3">
        <f t="shared" si="105"/>
        <v>1377.1161</v>
      </c>
      <c r="N147" s="3">
        <f t="shared" si="105"/>
        <v>1430.5445999999999</v>
      </c>
      <c r="O147" s="3">
        <f t="shared" si="105"/>
        <v>1483.9452000000001</v>
      </c>
      <c r="P147" s="3">
        <f t="shared" si="105"/>
        <v>1537.3458000000001</v>
      </c>
      <c r="Q147" s="3">
        <f t="shared" si="105"/>
        <v>1590.7464</v>
      </c>
      <c r="R147" s="3">
        <f t="shared" si="105"/>
        <v>1644.1469999999999</v>
      </c>
      <c r="S147" s="3">
        <f t="shared" si="105"/>
        <v>1697.5476000000001</v>
      </c>
      <c r="T147" s="3">
        <f t="shared" si="105"/>
        <v>1750.9482</v>
      </c>
      <c r="U147" s="3">
        <f t="shared" si="105"/>
        <v>1806.7203</v>
      </c>
      <c r="V147" s="3">
        <f t="shared" si="105"/>
        <v>1862.4924000000001</v>
      </c>
      <c r="W147" s="3">
        <f t="shared" si="105"/>
        <v>1918.2645</v>
      </c>
      <c r="X147" s="3">
        <f t="shared" si="105"/>
        <v>1974.0645</v>
      </c>
      <c r="Y147" s="3">
        <f t="shared" si="105"/>
        <v>2029.8366000000001</v>
      </c>
      <c r="Z147" s="3">
        <f t="shared" si="105"/>
        <v>2085.6087000000002</v>
      </c>
      <c r="AA147" s="3">
        <f t="shared" si="105"/>
        <v>2141.3807999999999</v>
      </c>
      <c r="AB147" s="3">
        <f t="shared" si="105"/>
        <v>2197.1529</v>
      </c>
      <c r="AC147" s="3">
        <f t="shared" si="105"/>
        <v>2252.9529000000002</v>
      </c>
      <c r="AD147" s="3">
        <f t="shared" si="105"/>
        <v>2252.9529000000002</v>
      </c>
      <c r="AE147" s="3">
        <f t="shared" si="105"/>
        <v>2364.4971</v>
      </c>
      <c r="AF147" s="3">
        <f t="shared" si="105"/>
        <v>2815.46381000368</v>
      </c>
      <c r="AG147" s="3">
        <f t="shared" si="105"/>
        <v>2842.1751058411501</v>
      </c>
      <c r="AH147" s="3">
        <f t="shared" si="105"/>
        <v>2846.04519764209</v>
      </c>
      <c r="AI147" s="3">
        <f t="shared" si="105"/>
        <v>2851.4522017209601</v>
      </c>
      <c r="AJ147" s="3">
        <f t="shared" si="105"/>
        <v>2935.3736501412</v>
      </c>
      <c r="AK147" s="3">
        <f t="shared" si="105"/>
        <v>3027.7477058967202</v>
      </c>
      <c r="AL147" s="3">
        <f t="shared" si="105"/>
        <v>3145.4605506887301</v>
      </c>
      <c r="AM147" s="3">
        <f t="shared" si="105"/>
        <v>3289.1573365484701</v>
      </c>
      <c r="AN147" s="3">
        <f t="shared" si="105"/>
        <v>3460.4522561726799</v>
      </c>
      <c r="AO147" s="3">
        <f t="shared" si="105"/>
        <v>3656.5766688249701</v>
      </c>
      <c r="AP147" s="3">
        <f t="shared" si="105"/>
        <v>3872.3157049708798</v>
      </c>
      <c r="AQ147" s="3">
        <f t="shared" si="105"/>
        <v>4098.9092763731296</v>
      </c>
      <c r="AR147" s="3">
        <f t="shared" si="105"/>
        <v>4334.3807435300596</v>
      </c>
      <c r="AS147" s="3">
        <f t="shared" si="105"/>
        <v>4573.0996290498297</v>
      </c>
      <c r="AT147" s="3">
        <f t="shared" si="105"/>
        <v>4809.7158636844006</v>
      </c>
      <c r="AU147" s="3">
        <f t="shared" si="105"/>
        <v>5039.62871931666</v>
      </c>
      <c r="AV147" s="3">
        <f t="shared" si="105"/>
        <v>5259.3354732702801</v>
      </c>
      <c r="AW147" s="3">
        <f t="shared" si="105"/>
        <v>5466.6296137150403</v>
      </c>
      <c r="AX147" s="3">
        <f t="shared" si="105"/>
        <v>5660.6095357649501</v>
      </c>
      <c r="AY147" s="3">
        <f t="shared" si="105"/>
        <v>5841.5290670375998</v>
      </c>
      <c r="AZ147" s="3">
        <f t="shared" si="105"/>
        <v>6008.0495006603796</v>
      </c>
      <c r="BA147" s="3">
        <f t="shared" si="105"/>
        <v>6160.6491220277903</v>
      </c>
      <c r="BB147" s="3">
        <f t="shared" si="105"/>
        <v>6299.9228755104596</v>
      </c>
      <c r="BC147" s="3">
        <f t="shared" si="105"/>
        <v>6426.3631571525902</v>
      </c>
      <c r="BD147" s="3">
        <f t="shared" si="105"/>
        <v>6527.7335724894801</v>
      </c>
      <c r="BE147" s="3">
        <f t="shared" si="105"/>
        <v>6574.3166009846</v>
      </c>
      <c r="BF147" s="3">
        <f t="shared" si="105"/>
        <v>6638.1420230476106</v>
      </c>
      <c r="BG147" s="3">
        <f t="shared" si="105"/>
        <v>6716.2075518351803</v>
      </c>
      <c r="BH147" s="3">
        <f t="shared" si="105"/>
        <v>6803.8379681258702</v>
      </c>
      <c r="BI147" s="3">
        <f t="shared" si="105"/>
        <v>6896.5068708295503</v>
      </c>
      <c r="BJ147" s="3">
        <f t="shared" si="105"/>
        <v>6991.0154084708001</v>
      </c>
      <c r="BK147" s="3">
        <f t="shared" si="105"/>
        <v>7084.6174189063686</v>
      </c>
      <c r="BL147" s="3">
        <f t="shared" si="105"/>
        <v>7175.5722058240499</v>
      </c>
      <c r="BM147" s="3">
        <f t="shared" si="105"/>
        <v>7262.8821791043001</v>
      </c>
      <c r="BN147" s="3">
        <f t="shared" si="105"/>
        <v>7346.0185175373599</v>
      </c>
      <c r="BO147" s="3">
        <f t="shared" si="105"/>
        <v>7424.7882661922104</v>
      </c>
      <c r="BP147" s="3">
        <f t="shared" si="105"/>
        <v>7499.2824879827294</v>
      </c>
      <c r="BQ147" s="3">
        <f t="shared" si="105"/>
        <v>7571.6927637028002</v>
      </c>
      <c r="BR147" s="3">
        <f t="shared" si="105"/>
        <v>7643.3623943900293</v>
      </c>
      <c r="BS147" s="3">
        <f t="shared" si="105"/>
        <v>7715.2348246476204</v>
      </c>
      <c r="BT147" s="3">
        <f t="shared" si="104"/>
        <v>7787.9778491773004</v>
      </c>
      <c r="BU147" s="3">
        <f t="shared" si="104"/>
        <v>7862.2505665827202</v>
      </c>
      <c r="BV147" s="3">
        <f t="shared" si="104"/>
        <v>7938.4956574794414</v>
      </c>
      <c r="BW147" s="3">
        <f t="shared" si="104"/>
        <v>8016.6586481964496</v>
      </c>
      <c r="BX147" s="3">
        <f t="shared" si="104"/>
        <v>8097.2552337577299</v>
      </c>
      <c r="BY147" s="3">
        <f t="shared" si="104"/>
        <v>8180.6326017772408</v>
      </c>
      <c r="BZ147" s="3">
        <f t="shared" si="104"/>
        <v>8267.06033129551</v>
      </c>
      <c r="CA147" s="3">
        <f t="shared" si="104"/>
        <v>8356.7487694397296</v>
      </c>
      <c r="CB147" s="3">
        <f t="shared" si="104"/>
        <v>8450.805766290021</v>
      </c>
      <c r="CC147" s="3">
        <f t="shared" si="104"/>
        <v>8552.431814095049</v>
      </c>
      <c r="CD147" s="3">
        <f t="shared" si="104"/>
        <v>8663.5622048712703</v>
      </c>
    </row>
    <row r="148" spans="2:82" s="3" customFormat="1" x14ac:dyDescent="0.2">
      <c r="D148" s="3" t="s">
        <v>82</v>
      </c>
      <c r="F148" s="3" t="s">
        <v>6</v>
      </c>
      <c r="G148" s="3">
        <f>O373</f>
        <v>42.184800000000003</v>
      </c>
      <c r="H148" s="3">
        <f t="shared" si="105"/>
        <v>42.184800000000003</v>
      </c>
      <c r="I148" s="3">
        <f t="shared" si="105"/>
        <v>42.184800000000003</v>
      </c>
      <c r="J148" s="3">
        <f t="shared" si="105"/>
        <v>42.184800000000003</v>
      </c>
      <c r="K148" s="3">
        <f t="shared" si="105"/>
        <v>42.184800000000003</v>
      </c>
      <c r="L148" s="3">
        <f t="shared" si="105"/>
        <v>42.184800000000003</v>
      </c>
      <c r="M148" s="3">
        <f t="shared" si="105"/>
        <v>42.184800000000003</v>
      </c>
      <c r="N148" s="3">
        <f t="shared" si="105"/>
        <v>42.184800000000003</v>
      </c>
      <c r="O148" s="3">
        <f t="shared" si="105"/>
        <v>42.184800000000003</v>
      </c>
      <c r="P148" s="3">
        <f t="shared" si="105"/>
        <v>42.184800000000003</v>
      </c>
      <c r="Q148" s="3">
        <f t="shared" si="105"/>
        <v>42.184800000000003</v>
      </c>
      <c r="R148" s="3">
        <f t="shared" si="105"/>
        <v>42.184800000000003</v>
      </c>
      <c r="S148" s="3">
        <f t="shared" si="105"/>
        <v>42.184800000000003</v>
      </c>
      <c r="T148" s="3">
        <f t="shared" si="105"/>
        <v>42.993899999999996</v>
      </c>
      <c r="U148" s="3">
        <f t="shared" si="105"/>
        <v>41.5152</v>
      </c>
      <c r="V148" s="3">
        <f t="shared" si="105"/>
        <v>39.980699999999999</v>
      </c>
      <c r="W148" s="3">
        <f t="shared" si="105"/>
        <v>38.446199999999997</v>
      </c>
      <c r="X148" s="3">
        <f t="shared" si="105"/>
        <v>36.883800000000001</v>
      </c>
      <c r="Y148" s="3">
        <f t="shared" si="105"/>
        <v>35.377200000000002</v>
      </c>
      <c r="Z148" s="3">
        <f t="shared" si="105"/>
        <v>33.842700000000001</v>
      </c>
      <c r="AA148" s="3">
        <f t="shared" si="105"/>
        <v>32.280299999999997</v>
      </c>
      <c r="AB148" s="3">
        <f t="shared" si="105"/>
        <v>30.745799999999999</v>
      </c>
      <c r="AC148" s="3">
        <f t="shared" si="105"/>
        <v>29.211300000000001</v>
      </c>
      <c r="AD148" s="3">
        <f t="shared" si="105"/>
        <v>29.211300000000001</v>
      </c>
      <c r="AE148" s="3">
        <f t="shared" si="105"/>
        <v>26.142299999999999</v>
      </c>
      <c r="AF148" s="3">
        <f t="shared" si="105"/>
        <v>0</v>
      </c>
      <c r="AG148" s="3">
        <f t="shared" si="105"/>
        <v>0</v>
      </c>
      <c r="AH148" s="3">
        <f t="shared" si="105"/>
        <v>0</v>
      </c>
      <c r="AI148" s="3">
        <f t="shared" si="105"/>
        <v>0</v>
      </c>
      <c r="AJ148" s="3">
        <f t="shared" si="105"/>
        <v>0</v>
      </c>
      <c r="AK148" s="3">
        <f t="shared" si="105"/>
        <v>0</v>
      </c>
      <c r="AL148" s="3">
        <f t="shared" si="105"/>
        <v>0</v>
      </c>
      <c r="AM148" s="3">
        <f t="shared" si="105"/>
        <v>0</v>
      </c>
      <c r="AN148" s="3">
        <f t="shared" si="105"/>
        <v>0</v>
      </c>
      <c r="AO148" s="3">
        <f t="shared" si="105"/>
        <v>0</v>
      </c>
      <c r="AP148" s="3">
        <f t="shared" si="105"/>
        <v>0</v>
      </c>
      <c r="AQ148" s="3">
        <f t="shared" si="105"/>
        <v>0</v>
      </c>
      <c r="AR148" s="3">
        <f t="shared" si="105"/>
        <v>0</v>
      </c>
      <c r="AS148" s="3">
        <f t="shared" si="105"/>
        <v>0</v>
      </c>
      <c r="AT148" s="3">
        <f t="shared" si="105"/>
        <v>0</v>
      </c>
      <c r="AU148" s="3">
        <f t="shared" si="105"/>
        <v>0</v>
      </c>
      <c r="AV148" s="3">
        <f t="shared" si="105"/>
        <v>0</v>
      </c>
      <c r="AW148" s="3">
        <f t="shared" si="105"/>
        <v>0</v>
      </c>
      <c r="AX148" s="3">
        <f t="shared" si="105"/>
        <v>0</v>
      </c>
      <c r="AY148" s="3">
        <f t="shared" si="105"/>
        <v>0</v>
      </c>
      <c r="AZ148" s="3">
        <f t="shared" si="105"/>
        <v>0</v>
      </c>
      <c r="BA148" s="3">
        <f t="shared" si="105"/>
        <v>0</v>
      </c>
      <c r="BB148" s="3">
        <f t="shared" si="105"/>
        <v>0</v>
      </c>
      <c r="BC148" s="3">
        <f t="shared" si="105"/>
        <v>0</v>
      </c>
      <c r="BD148" s="3">
        <f t="shared" si="105"/>
        <v>0</v>
      </c>
      <c r="BE148" s="3">
        <f t="shared" si="105"/>
        <v>0</v>
      </c>
      <c r="BF148" s="3">
        <f t="shared" si="105"/>
        <v>0</v>
      </c>
      <c r="BG148" s="3">
        <f t="shared" si="105"/>
        <v>0</v>
      </c>
      <c r="BH148" s="3">
        <f t="shared" si="105"/>
        <v>0</v>
      </c>
      <c r="BI148" s="3">
        <f t="shared" si="105"/>
        <v>0</v>
      </c>
      <c r="BJ148" s="3">
        <f t="shared" si="105"/>
        <v>0</v>
      </c>
      <c r="BK148" s="3">
        <f t="shared" si="105"/>
        <v>0</v>
      </c>
      <c r="BL148" s="3">
        <f t="shared" si="105"/>
        <v>0</v>
      </c>
      <c r="BM148" s="3">
        <f t="shared" si="105"/>
        <v>0</v>
      </c>
      <c r="BN148" s="3">
        <f t="shared" si="105"/>
        <v>0</v>
      </c>
      <c r="BO148" s="3">
        <f t="shared" si="105"/>
        <v>0</v>
      </c>
      <c r="BP148" s="3">
        <f t="shared" si="105"/>
        <v>0</v>
      </c>
      <c r="BQ148" s="3">
        <f t="shared" si="105"/>
        <v>0</v>
      </c>
      <c r="BR148" s="3">
        <f t="shared" si="105"/>
        <v>0</v>
      </c>
      <c r="BS148" s="3">
        <f t="shared" si="105"/>
        <v>0</v>
      </c>
      <c r="BT148" s="3">
        <f t="shared" si="104"/>
        <v>0</v>
      </c>
      <c r="BU148" s="3">
        <f t="shared" si="104"/>
        <v>0</v>
      </c>
      <c r="BV148" s="3">
        <f t="shared" si="104"/>
        <v>0</v>
      </c>
      <c r="BW148" s="3">
        <f t="shared" si="104"/>
        <v>0</v>
      </c>
      <c r="BX148" s="3">
        <f t="shared" si="104"/>
        <v>0</v>
      </c>
      <c r="BY148" s="3">
        <f t="shared" si="104"/>
        <v>0</v>
      </c>
      <c r="BZ148" s="3">
        <f t="shared" si="104"/>
        <v>0</v>
      </c>
      <c r="CA148" s="3">
        <f t="shared" si="104"/>
        <v>0</v>
      </c>
      <c r="CB148" s="3">
        <f t="shared" si="104"/>
        <v>0</v>
      </c>
      <c r="CC148" s="3">
        <f t="shared" si="104"/>
        <v>0</v>
      </c>
      <c r="CD148" s="3">
        <f t="shared" si="104"/>
        <v>0</v>
      </c>
    </row>
    <row r="149" spans="2:82" s="3" customFormat="1" x14ac:dyDescent="0.2">
      <c r="D149" s="3" t="s">
        <v>83</v>
      </c>
      <c r="F149" s="3" t="s">
        <v>6</v>
      </c>
      <c r="G149" s="3">
        <f>O374</f>
        <v>0</v>
      </c>
      <c r="H149" s="3">
        <f t="shared" si="105"/>
        <v>0</v>
      </c>
      <c r="I149" s="3">
        <f t="shared" si="105"/>
        <v>0</v>
      </c>
      <c r="J149" s="3">
        <f t="shared" si="105"/>
        <v>0</v>
      </c>
      <c r="K149" s="3">
        <f t="shared" si="105"/>
        <v>0</v>
      </c>
      <c r="L149" s="3">
        <f t="shared" si="105"/>
        <v>0</v>
      </c>
      <c r="M149" s="3">
        <f t="shared" si="105"/>
        <v>0</v>
      </c>
      <c r="N149" s="3">
        <f t="shared" si="105"/>
        <v>0</v>
      </c>
      <c r="O149" s="3">
        <f t="shared" si="105"/>
        <v>0</v>
      </c>
      <c r="P149" s="3">
        <f t="shared" si="105"/>
        <v>0</v>
      </c>
      <c r="Q149" s="3">
        <f t="shared" si="105"/>
        <v>0</v>
      </c>
      <c r="R149" s="3">
        <f t="shared" si="105"/>
        <v>0</v>
      </c>
      <c r="S149" s="3">
        <f t="shared" si="105"/>
        <v>0</v>
      </c>
      <c r="T149" s="3">
        <f t="shared" si="105"/>
        <v>0</v>
      </c>
      <c r="U149" s="3">
        <f t="shared" si="105"/>
        <v>0</v>
      </c>
      <c r="V149" s="3">
        <f t="shared" si="105"/>
        <v>0</v>
      </c>
      <c r="W149" s="3">
        <f t="shared" si="105"/>
        <v>0</v>
      </c>
      <c r="X149" s="3">
        <f t="shared" si="105"/>
        <v>0</v>
      </c>
      <c r="Y149" s="3">
        <f t="shared" si="105"/>
        <v>0</v>
      </c>
      <c r="Z149" s="3">
        <f t="shared" si="105"/>
        <v>0</v>
      </c>
      <c r="AA149" s="3">
        <f t="shared" si="105"/>
        <v>0</v>
      </c>
      <c r="AB149" s="3">
        <f t="shared" si="105"/>
        <v>0</v>
      </c>
      <c r="AC149" s="3">
        <f t="shared" si="105"/>
        <v>0</v>
      </c>
      <c r="AD149" s="3">
        <f t="shared" si="105"/>
        <v>0</v>
      </c>
      <c r="AE149" s="3">
        <f t="shared" si="105"/>
        <v>0</v>
      </c>
      <c r="AF149" s="3">
        <f t="shared" si="105"/>
        <v>0</v>
      </c>
      <c r="AG149" s="3">
        <f t="shared" si="105"/>
        <v>0</v>
      </c>
      <c r="AH149" s="3">
        <f t="shared" si="105"/>
        <v>0</v>
      </c>
      <c r="AI149" s="3">
        <f t="shared" si="105"/>
        <v>0</v>
      </c>
      <c r="AJ149" s="3">
        <f t="shared" si="105"/>
        <v>0</v>
      </c>
      <c r="AK149" s="3">
        <f t="shared" si="105"/>
        <v>0</v>
      </c>
      <c r="AL149" s="3">
        <f t="shared" si="105"/>
        <v>0</v>
      </c>
      <c r="AM149" s="3">
        <f t="shared" si="105"/>
        <v>0</v>
      </c>
      <c r="AN149" s="3">
        <f t="shared" si="105"/>
        <v>0</v>
      </c>
      <c r="AO149" s="3">
        <f t="shared" si="105"/>
        <v>0</v>
      </c>
      <c r="AP149" s="3">
        <f t="shared" si="105"/>
        <v>0</v>
      </c>
      <c r="AQ149" s="3">
        <f t="shared" si="105"/>
        <v>0</v>
      </c>
      <c r="AR149" s="3">
        <f t="shared" si="105"/>
        <v>0</v>
      </c>
      <c r="AS149" s="3">
        <f t="shared" si="105"/>
        <v>0</v>
      </c>
      <c r="AT149" s="3">
        <f t="shared" si="105"/>
        <v>0</v>
      </c>
      <c r="AU149" s="3">
        <f t="shared" si="105"/>
        <v>0</v>
      </c>
      <c r="AV149" s="3">
        <f t="shared" si="105"/>
        <v>0</v>
      </c>
      <c r="AW149" s="3">
        <f t="shared" si="105"/>
        <v>0</v>
      </c>
      <c r="AX149" s="3">
        <f t="shared" si="105"/>
        <v>0</v>
      </c>
      <c r="AY149" s="3">
        <f t="shared" si="105"/>
        <v>0</v>
      </c>
      <c r="AZ149" s="3">
        <f t="shared" si="105"/>
        <v>0</v>
      </c>
      <c r="BA149" s="3">
        <f t="shared" si="105"/>
        <v>0</v>
      </c>
      <c r="BB149" s="3">
        <f t="shared" si="105"/>
        <v>0</v>
      </c>
      <c r="BC149" s="3">
        <f t="shared" si="105"/>
        <v>0</v>
      </c>
      <c r="BD149" s="3">
        <f t="shared" si="105"/>
        <v>0</v>
      </c>
      <c r="BE149" s="3">
        <f t="shared" si="105"/>
        <v>0</v>
      </c>
      <c r="BF149" s="3">
        <f t="shared" si="105"/>
        <v>0</v>
      </c>
      <c r="BG149" s="3">
        <f t="shared" si="105"/>
        <v>0</v>
      </c>
      <c r="BH149" s="3">
        <f t="shared" si="105"/>
        <v>0</v>
      </c>
      <c r="BI149" s="3">
        <f t="shared" si="105"/>
        <v>0</v>
      </c>
      <c r="BJ149" s="3">
        <f t="shared" si="105"/>
        <v>0</v>
      </c>
      <c r="BK149" s="3">
        <f t="shared" si="105"/>
        <v>0</v>
      </c>
      <c r="BL149" s="3">
        <f t="shared" si="105"/>
        <v>0</v>
      </c>
      <c r="BM149" s="3">
        <f t="shared" si="105"/>
        <v>0</v>
      </c>
      <c r="BN149" s="3">
        <f t="shared" si="105"/>
        <v>0</v>
      </c>
      <c r="BO149" s="3">
        <f t="shared" si="105"/>
        <v>0</v>
      </c>
      <c r="BP149" s="3">
        <f t="shared" si="105"/>
        <v>0</v>
      </c>
      <c r="BQ149" s="3">
        <f t="shared" si="105"/>
        <v>0</v>
      </c>
      <c r="BR149" s="3">
        <f t="shared" si="105"/>
        <v>0</v>
      </c>
      <c r="BS149" s="3">
        <f t="shared" si="105"/>
        <v>0</v>
      </c>
      <c r="BT149" s="3">
        <f t="shared" si="104"/>
        <v>0</v>
      </c>
      <c r="BU149" s="3">
        <f t="shared" si="104"/>
        <v>0</v>
      </c>
      <c r="BV149" s="3">
        <f t="shared" si="104"/>
        <v>0</v>
      </c>
      <c r="BW149" s="3">
        <f t="shared" si="104"/>
        <v>0</v>
      </c>
      <c r="BX149" s="3">
        <f t="shared" si="104"/>
        <v>0</v>
      </c>
      <c r="BY149" s="3">
        <f t="shared" si="104"/>
        <v>0</v>
      </c>
      <c r="BZ149" s="3">
        <f t="shared" si="104"/>
        <v>0</v>
      </c>
      <c r="CA149" s="3">
        <f t="shared" si="104"/>
        <v>0</v>
      </c>
      <c r="CB149" s="3">
        <f t="shared" si="104"/>
        <v>0</v>
      </c>
      <c r="CC149" s="3">
        <f t="shared" si="104"/>
        <v>0</v>
      </c>
      <c r="CD149" s="3">
        <f t="shared" si="104"/>
        <v>0</v>
      </c>
    </row>
    <row r="150" spans="2:82" s="3" customFormat="1" x14ac:dyDescent="0.2">
      <c r="D150" s="3" t="s">
        <v>84</v>
      </c>
      <c r="F150" s="3" t="s">
        <v>6</v>
      </c>
      <c r="G150" s="3">
        <f>O375</f>
        <v>33.145200000000003</v>
      </c>
      <c r="H150" s="3">
        <f t="shared" si="105"/>
        <v>33.145200000000003</v>
      </c>
      <c r="I150" s="3">
        <f t="shared" si="105"/>
        <v>31.415399999999991</v>
      </c>
      <c r="J150" s="3">
        <f t="shared" si="105"/>
        <v>30.5505</v>
      </c>
      <c r="K150" s="3">
        <f t="shared" si="105"/>
        <v>29.685600000000001</v>
      </c>
      <c r="L150" s="3">
        <f t="shared" si="105"/>
        <v>28.820699999999999</v>
      </c>
      <c r="M150" s="3">
        <f t="shared" si="105"/>
        <v>28.011600000000001</v>
      </c>
      <c r="N150" s="3">
        <f t="shared" si="105"/>
        <v>28.1511</v>
      </c>
      <c r="O150" s="3">
        <f t="shared" si="105"/>
        <v>30.0762</v>
      </c>
      <c r="P150" s="3">
        <f t="shared" si="105"/>
        <v>32.894100000000002</v>
      </c>
      <c r="Q150" s="3">
        <f t="shared" si="105"/>
        <v>36.855899999999998</v>
      </c>
      <c r="R150" s="3">
        <f t="shared" si="105"/>
        <v>42.212699999999998</v>
      </c>
      <c r="S150" s="3">
        <f t="shared" si="105"/>
        <v>48.1554</v>
      </c>
      <c r="T150" s="3">
        <f t="shared" si="105"/>
        <v>54.767699999999998</v>
      </c>
      <c r="U150" s="3">
        <f t="shared" si="105"/>
        <v>61.38</v>
      </c>
      <c r="V150" s="3">
        <f t="shared" si="105"/>
        <v>68.020200000000003</v>
      </c>
      <c r="W150" s="3">
        <f t="shared" si="105"/>
        <v>74.632499999999993</v>
      </c>
      <c r="X150" s="3">
        <f t="shared" si="105"/>
        <v>81.272699999999986</v>
      </c>
      <c r="Y150" s="3">
        <f t="shared" si="105"/>
        <v>87.884999999999991</v>
      </c>
      <c r="Z150" s="3">
        <f t="shared" si="105"/>
        <v>94.497299999999996</v>
      </c>
      <c r="AA150" s="3">
        <f t="shared" si="105"/>
        <v>101.1375</v>
      </c>
      <c r="AB150" s="3">
        <f t="shared" si="105"/>
        <v>107.74979999999999</v>
      </c>
      <c r="AC150" s="3">
        <f t="shared" si="105"/>
        <v>114.39</v>
      </c>
      <c r="AD150" s="3">
        <f t="shared" si="105"/>
        <v>114.39</v>
      </c>
      <c r="AE150" s="3">
        <f t="shared" si="105"/>
        <v>127.6146</v>
      </c>
      <c r="AF150" s="3">
        <f t="shared" si="105"/>
        <v>184.24570675018501</v>
      </c>
      <c r="AG150" s="3">
        <f t="shared" si="105"/>
        <v>172.65361463060401</v>
      </c>
      <c r="AH150" s="3">
        <f t="shared" si="105"/>
        <v>177.17502894210699</v>
      </c>
      <c r="AI150" s="3">
        <f t="shared" si="105"/>
        <v>182.45787922714101</v>
      </c>
      <c r="AJ150" s="3">
        <f t="shared" si="105"/>
        <v>188.560149239423</v>
      </c>
      <c r="AK150" s="3">
        <f t="shared" si="105"/>
        <v>195.30870810441101</v>
      </c>
      <c r="AL150" s="3">
        <f t="shared" si="105"/>
        <v>202.970386567487</v>
      </c>
      <c r="AM150" s="3">
        <f t="shared" si="105"/>
        <v>212.58191890937201</v>
      </c>
      <c r="AN150" s="3">
        <f t="shared" si="105"/>
        <v>223.39903867633299</v>
      </c>
      <c r="AO150" s="3">
        <f t="shared" si="105"/>
        <v>235.28981012153201</v>
      </c>
      <c r="AP150" s="3">
        <f t="shared" si="105"/>
        <v>247.49256287526501</v>
      </c>
      <c r="AQ150" s="3">
        <f t="shared" si="105"/>
        <v>258.04531305667899</v>
      </c>
      <c r="AR150" s="3">
        <f t="shared" si="105"/>
        <v>268.90758338679302</v>
      </c>
      <c r="AS150" s="3">
        <f t="shared" si="105"/>
        <v>280.07987195747597</v>
      </c>
      <c r="AT150" s="3">
        <f t="shared" si="105"/>
        <v>291.56188577351099</v>
      </c>
      <c r="AU150" s="3">
        <f t="shared" si="105"/>
        <v>303.35573440046898</v>
      </c>
      <c r="AV150" s="3">
        <f t="shared" si="105"/>
        <v>315.460040760825</v>
      </c>
      <c r="AW150" s="3">
        <f t="shared" si="105"/>
        <v>327.87290038565902</v>
      </c>
      <c r="AX150" s="3">
        <f t="shared" si="105"/>
        <v>340.59141262230901</v>
      </c>
      <c r="AY150" s="3">
        <f t="shared" si="105"/>
        <v>353.61200292911002</v>
      </c>
      <c r="AZ150" s="3">
        <f t="shared" si="105"/>
        <v>366.01284974998998</v>
      </c>
      <c r="BA150" s="3">
        <f t="shared" si="105"/>
        <v>377.69032067620702</v>
      </c>
      <c r="BB150" s="3">
        <f t="shared" si="105"/>
        <v>388.181073069413</v>
      </c>
      <c r="BC150" s="3">
        <f t="shared" si="105"/>
        <v>397.73936818011799</v>
      </c>
      <c r="BD150" s="3">
        <f t="shared" si="105"/>
        <v>406.26696471159897</v>
      </c>
      <c r="BE150" s="3">
        <f t="shared" si="105"/>
        <v>413.66834622266498</v>
      </c>
      <c r="BF150" s="3">
        <f t="shared" si="105"/>
        <v>425.96265998214102</v>
      </c>
      <c r="BG150" s="3">
        <f t="shared" si="105"/>
        <v>438.167873895708</v>
      </c>
      <c r="BH150" s="3">
        <f t="shared" si="105"/>
        <v>450.24944382711698</v>
      </c>
      <c r="BI150" s="3">
        <f t="shared" si="105"/>
        <v>462.15633000932701</v>
      </c>
      <c r="BJ150" s="3">
        <f t="shared" si="105"/>
        <v>473.85823673675799</v>
      </c>
      <c r="BK150" s="3">
        <f t="shared" si="105"/>
        <v>485.33629511734398</v>
      </c>
      <c r="BL150" s="3">
        <f t="shared" si="105"/>
        <v>496.56847191066498</v>
      </c>
      <c r="BM150" s="3">
        <f t="shared" si="105"/>
        <v>507.52971602554697</v>
      </c>
      <c r="BN150" s="3">
        <f t="shared" si="105"/>
        <v>518.17405651222907</v>
      </c>
      <c r="BO150" s="3">
        <f t="shared" si="105"/>
        <v>528.46053263917804</v>
      </c>
      <c r="BP150" s="3">
        <f t="shared" si="105"/>
        <v>538.36488440231403</v>
      </c>
      <c r="BQ150" s="3">
        <f t="shared" si="105"/>
        <v>548.38063294747894</v>
      </c>
      <c r="BR150" s="3">
        <f t="shared" si="105"/>
        <v>558.50900885458896</v>
      </c>
      <c r="BS150" s="3">
        <f>CA375</f>
        <v>568.73779422303903</v>
      </c>
      <c r="BT150" s="3">
        <f>CB375</f>
        <v>579.05198769764797</v>
      </c>
      <c r="BU150" s="3">
        <f>CC375</f>
        <v>589.47971681937906</v>
      </c>
      <c r="BV150" s="3">
        <f>CD375</f>
        <v>600.02862876343295</v>
      </c>
      <c r="BW150" s="3">
        <f>CE375</f>
        <v>610.66725584335597</v>
      </c>
      <c r="BX150" s="3">
        <f>CF375</f>
        <v>621.40614588700907</v>
      </c>
      <c r="BY150" s="3">
        <f>CG375</f>
        <v>632.23885299958704</v>
      </c>
      <c r="BZ150" s="3">
        <f>CH375</f>
        <v>643.16742814762097</v>
      </c>
      <c r="CA150" s="3">
        <f>CI375</f>
        <v>654.20045609100691</v>
      </c>
      <c r="CB150" s="3">
        <f>CJ375</f>
        <v>665.32985016171892</v>
      </c>
      <c r="CC150" s="3">
        <f>CK375</f>
        <v>676.55332499705401</v>
      </c>
      <c r="CD150" s="3">
        <f>CL375</f>
        <v>687.89136096277605</v>
      </c>
    </row>
    <row r="151" spans="2:82" s="3" customFormat="1" x14ac:dyDescent="0.2">
      <c r="D151" s="3" t="s">
        <v>85</v>
      </c>
      <c r="F151" s="3" t="s">
        <v>6</v>
      </c>
      <c r="G151" s="3">
        <f>O376</f>
        <v>0</v>
      </c>
      <c r="H151" s="3">
        <f>P376</f>
        <v>0</v>
      </c>
      <c r="I151" s="3">
        <f>Q376</f>
        <v>0</v>
      </c>
      <c r="J151" s="3">
        <f>R376</f>
        <v>0</v>
      </c>
      <c r="K151" s="3">
        <f>S376</f>
        <v>0</v>
      </c>
      <c r="L151" s="3">
        <f>T376</f>
        <v>0</v>
      </c>
      <c r="M151" s="3">
        <f>U376</f>
        <v>0</v>
      </c>
      <c r="N151" s="3">
        <f>V376</f>
        <v>0</v>
      </c>
      <c r="O151" s="3">
        <f>W376</f>
        <v>0</v>
      </c>
      <c r="P151" s="3">
        <f>X376</f>
        <v>0</v>
      </c>
      <c r="Q151" s="3">
        <f>Y376</f>
        <v>0</v>
      </c>
      <c r="R151" s="3">
        <f>Z376</f>
        <v>0</v>
      </c>
      <c r="S151" s="3">
        <f>AA376</f>
        <v>0</v>
      </c>
      <c r="T151" s="3">
        <f>AB376</f>
        <v>0</v>
      </c>
      <c r="U151" s="3">
        <f>AC376</f>
        <v>0</v>
      </c>
      <c r="V151" s="3">
        <f>AD376</f>
        <v>0</v>
      </c>
      <c r="W151" s="3">
        <f>AE376</f>
        <v>0</v>
      </c>
      <c r="X151" s="3">
        <f>AF376</f>
        <v>0</v>
      </c>
      <c r="Y151" s="3">
        <f>AG376</f>
        <v>0</v>
      </c>
      <c r="Z151" s="3">
        <f>AH376</f>
        <v>0</v>
      </c>
      <c r="AA151" s="3">
        <f>AI376</f>
        <v>0</v>
      </c>
      <c r="AB151" s="3">
        <f>AJ376</f>
        <v>0</v>
      </c>
      <c r="AC151" s="3">
        <f>AK376</f>
        <v>0</v>
      </c>
      <c r="AD151" s="3">
        <f>AL376</f>
        <v>0</v>
      </c>
      <c r="AE151" s="3">
        <f>AM376</f>
        <v>0</v>
      </c>
      <c r="AF151" s="3">
        <f>AN376</f>
        <v>0</v>
      </c>
      <c r="AG151" s="3">
        <f>AO376</f>
        <v>0</v>
      </c>
      <c r="AH151" s="3">
        <f>AP376</f>
        <v>0</v>
      </c>
      <c r="AI151" s="3">
        <f>AQ376</f>
        <v>0</v>
      </c>
      <c r="AJ151" s="3">
        <f>AR376</f>
        <v>0</v>
      </c>
      <c r="AK151" s="3">
        <f>AS376</f>
        <v>0</v>
      </c>
      <c r="AL151" s="3">
        <f>AT376</f>
        <v>0</v>
      </c>
      <c r="AM151" s="3">
        <f>AU376</f>
        <v>0</v>
      </c>
      <c r="AN151" s="3">
        <f>AV376</f>
        <v>0</v>
      </c>
      <c r="AO151" s="3">
        <f>AW376</f>
        <v>0</v>
      </c>
      <c r="AP151" s="3">
        <f>AX376</f>
        <v>0</v>
      </c>
      <c r="AQ151" s="3">
        <f>AY376</f>
        <v>0</v>
      </c>
      <c r="AR151" s="3">
        <f>AZ376</f>
        <v>0</v>
      </c>
      <c r="AS151" s="3">
        <f>BA376</f>
        <v>0</v>
      </c>
      <c r="AT151" s="3">
        <f>BB376</f>
        <v>0</v>
      </c>
      <c r="AU151" s="3">
        <f>BC376</f>
        <v>0</v>
      </c>
      <c r="AV151" s="3">
        <f>BD376</f>
        <v>0</v>
      </c>
      <c r="AW151" s="3">
        <f>BE376</f>
        <v>0</v>
      </c>
      <c r="AX151" s="3">
        <f>BF376</f>
        <v>0</v>
      </c>
      <c r="AY151" s="3">
        <f>BG376</f>
        <v>0</v>
      </c>
      <c r="AZ151" s="3">
        <f>BH376</f>
        <v>0</v>
      </c>
      <c r="BA151" s="3">
        <f>BI376</f>
        <v>0</v>
      </c>
      <c r="BB151" s="3">
        <f>BJ376</f>
        <v>0</v>
      </c>
      <c r="BC151" s="3">
        <f>BK376</f>
        <v>0</v>
      </c>
      <c r="BD151" s="3">
        <f>BL376</f>
        <v>0</v>
      </c>
      <c r="BE151" s="3">
        <f>BM376</f>
        <v>0</v>
      </c>
      <c r="BF151" s="3">
        <f>BN376</f>
        <v>0</v>
      </c>
      <c r="BG151" s="3">
        <f>BO376</f>
        <v>0</v>
      </c>
      <c r="BH151" s="3">
        <f>BP376</f>
        <v>0</v>
      </c>
      <c r="BI151" s="3">
        <f>BQ376</f>
        <v>0</v>
      </c>
      <c r="BJ151" s="3">
        <f>BR376</f>
        <v>0</v>
      </c>
      <c r="BK151" s="3">
        <f>BS376</f>
        <v>0</v>
      </c>
      <c r="BL151" s="3">
        <f>BT376</f>
        <v>0</v>
      </c>
      <c r="BM151" s="3">
        <f>BU376</f>
        <v>0</v>
      </c>
      <c r="BN151" s="3">
        <f>BV376</f>
        <v>0</v>
      </c>
      <c r="BO151" s="3">
        <f>BW376</f>
        <v>0</v>
      </c>
      <c r="BP151" s="3">
        <f>BX376</f>
        <v>0</v>
      </c>
      <c r="BQ151" s="3">
        <f>BY376</f>
        <v>0</v>
      </c>
      <c r="BR151" s="3">
        <f>BZ376</f>
        <v>0</v>
      </c>
      <c r="BS151" s="3">
        <f>CA376</f>
        <v>0</v>
      </c>
      <c r="BT151" s="3">
        <f>CB376</f>
        <v>0</v>
      </c>
      <c r="BU151" s="3">
        <f>CC376</f>
        <v>0</v>
      </c>
      <c r="BV151" s="3">
        <f>CD376</f>
        <v>0</v>
      </c>
      <c r="BW151" s="3">
        <f>CE376</f>
        <v>0</v>
      </c>
      <c r="BX151" s="3">
        <f>CF376</f>
        <v>0</v>
      </c>
      <c r="BY151" s="3">
        <f>CG376</f>
        <v>0</v>
      </c>
      <c r="BZ151" s="3">
        <f>CH376</f>
        <v>0</v>
      </c>
      <c r="CA151" s="3">
        <f>CI376</f>
        <v>0</v>
      </c>
      <c r="CB151" s="3">
        <f>CJ376</f>
        <v>0</v>
      </c>
      <c r="CC151" s="3">
        <f>CK376</f>
        <v>0</v>
      </c>
      <c r="CD151" s="3">
        <f>CL376</f>
        <v>0</v>
      </c>
    </row>
    <row r="152" spans="2:82" s="4" customFormat="1" x14ac:dyDescent="0.2">
      <c r="C152" s="4" t="s">
        <v>86</v>
      </c>
      <c r="G152" s="4">
        <f>SUM(G153:G154)</f>
        <v>1938.8508000000002</v>
      </c>
      <c r="H152" s="4">
        <f t="shared" ref="H152:BS152" si="106">SUM(H153:H154)</f>
        <v>1938.8508000000002</v>
      </c>
      <c r="I152" s="4">
        <f t="shared" si="106"/>
        <v>2048.7714000000001</v>
      </c>
      <c r="J152" s="4">
        <f t="shared" si="106"/>
        <v>2104.1691000000001</v>
      </c>
      <c r="K152" s="4">
        <f t="shared" si="106"/>
        <v>2160.7703999999999</v>
      </c>
      <c r="L152" s="4">
        <f t="shared" si="106"/>
        <v>2217.3717000000001</v>
      </c>
      <c r="M152" s="4">
        <f t="shared" si="106"/>
        <v>2274.0288</v>
      </c>
      <c r="N152" s="4">
        <f t="shared" si="106"/>
        <v>2331.2997</v>
      </c>
      <c r="O152" s="4">
        <f t="shared" si="106"/>
        <v>2389.7703000000001</v>
      </c>
      <c r="P152" s="4">
        <f t="shared" si="106"/>
        <v>2448.8546999999999</v>
      </c>
      <c r="Q152" s="4">
        <f t="shared" si="106"/>
        <v>2508.9933000000001</v>
      </c>
      <c r="R152" s="4">
        <f t="shared" si="106"/>
        <v>2570.0247000000004</v>
      </c>
      <c r="S152" s="4">
        <f t="shared" si="106"/>
        <v>2631.1736999999998</v>
      </c>
      <c r="T152" s="4">
        <f t="shared" si="106"/>
        <v>2865.7271999999998</v>
      </c>
      <c r="U152" s="4">
        <f t="shared" si="106"/>
        <v>2919.8798999999999</v>
      </c>
      <c r="V152" s="4">
        <f t="shared" si="106"/>
        <v>2974.0047</v>
      </c>
      <c r="W152" s="4">
        <f t="shared" si="106"/>
        <v>3028.1295</v>
      </c>
      <c r="X152" s="4">
        <f t="shared" si="106"/>
        <v>3082.2822000000001</v>
      </c>
      <c r="Y152" s="4">
        <f t="shared" si="106"/>
        <v>3136.4069999999997</v>
      </c>
      <c r="Z152" s="4">
        <f t="shared" si="106"/>
        <v>3190.5317999999997</v>
      </c>
      <c r="AA152" s="4">
        <f t="shared" si="106"/>
        <v>3244.6566000000003</v>
      </c>
      <c r="AB152" s="4">
        <f t="shared" si="106"/>
        <v>3298.8092999999999</v>
      </c>
      <c r="AC152" s="4">
        <f t="shared" si="106"/>
        <v>3352.9340999999999</v>
      </c>
      <c r="AD152" s="4">
        <f t="shared" si="106"/>
        <v>3355.6203</v>
      </c>
      <c r="AE152" s="4">
        <f t="shared" si="106"/>
        <v>3461.2116000000001</v>
      </c>
      <c r="AF152" s="4">
        <f t="shared" si="106"/>
        <v>4081.4064797745423</v>
      </c>
      <c r="AG152" s="4">
        <f t="shared" si="106"/>
        <v>4011.8333275553623</v>
      </c>
      <c r="AH152" s="4">
        <f t="shared" si="106"/>
        <v>4038.0228487499689</v>
      </c>
      <c r="AI152" s="4">
        <f t="shared" si="106"/>
        <v>4068.7027504605967</v>
      </c>
      <c r="AJ152" s="4">
        <f t="shared" si="106"/>
        <v>4185.4958627802771</v>
      </c>
      <c r="AK152" s="4">
        <f t="shared" si="106"/>
        <v>4313.6345247333556</v>
      </c>
      <c r="AL152" s="4">
        <f t="shared" si="106"/>
        <v>4471.7143867516188</v>
      </c>
      <c r="AM152" s="4">
        <f t="shared" si="106"/>
        <v>4664.0816065877689</v>
      </c>
      <c r="AN152" s="4">
        <f t="shared" si="106"/>
        <v>4889.6232672457772</v>
      </c>
      <c r="AO152" s="4">
        <f t="shared" si="106"/>
        <v>5144.7877545935644</v>
      </c>
      <c r="AP152" s="4">
        <f t="shared" si="106"/>
        <v>5421.1086467337809</v>
      </c>
      <c r="AQ152" s="4">
        <f t="shared" si="106"/>
        <v>5701.8767684254035</v>
      </c>
      <c r="AR152" s="4">
        <f t="shared" si="106"/>
        <v>5992.4997215058675</v>
      </c>
      <c r="AS152" s="4">
        <f t="shared" si="106"/>
        <v>6287.2027297876202</v>
      </c>
      <c r="AT152" s="4">
        <f t="shared" si="106"/>
        <v>6580.5643431401313</v>
      </c>
      <c r="AU152" s="4">
        <f t="shared" si="106"/>
        <v>6867.9923023720439</v>
      </c>
      <c r="AV152" s="4">
        <f t="shared" si="106"/>
        <v>7146.0434602084833</v>
      </c>
      <c r="AW152" s="4">
        <f t="shared" si="106"/>
        <v>7412.6129137901044</v>
      </c>
      <c r="AX152" s="4">
        <f t="shared" si="106"/>
        <v>7666.9230444002642</v>
      </c>
      <c r="AY152" s="4">
        <f t="shared" si="106"/>
        <v>7909.3577131866723</v>
      </c>
      <c r="AZ152" s="4">
        <f t="shared" si="106"/>
        <v>8134.7994851522544</v>
      </c>
      <c r="BA152" s="4">
        <f t="shared" si="106"/>
        <v>8343.2897084997621</v>
      </c>
      <c r="BB152" s="4">
        <f t="shared" si="106"/>
        <v>8532.4458878257246</v>
      </c>
      <c r="BC152" s="4">
        <f t="shared" si="106"/>
        <v>8704.756677792855</v>
      </c>
      <c r="BD152" s="4">
        <f t="shared" si="106"/>
        <v>8847.49025407097</v>
      </c>
      <c r="BE152" s="4">
        <f t="shared" si="106"/>
        <v>8930.5035090311685</v>
      </c>
      <c r="BF152" s="4">
        <f t="shared" si="106"/>
        <v>9059.5725423443782</v>
      </c>
      <c r="BG152" s="4">
        <f t="shared" si="106"/>
        <v>9202.7951368894628</v>
      </c>
      <c r="BH152" s="4">
        <f t="shared" si="106"/>
        <v>9355.2748808859069</v>
      </c>
      <c r="BI152" s="4">
        <f t="shared" si="106"/>
        <v>9512.1715637972811</v>
      </c>
      <c r="BJ152" s="4">
        <f t="shared" si="106"/>
        <v>9670.1135032344664</v>
      </c>
      <c r="BK152" s="4">
        <f t="shared" si="106"/>
        <v>9826.2584904004088</v>
      </c>
      <c r="BL152" s="4">
        <f t="shared" si="106"/>
        <v>9978.7446180141396</v>
      </c>
      <c r="BM152" s="4">
        <f t="shared" si="106"/>
        <v>10126.427519128545</v>
      </c>
      <c r="BN152" s="4">
        <f t="shared" si="106"/>
        <v>10268.493263344379</v>
      </c>
      <c r="BO152" s="4">
        <f t="shared" si="106"/>
        <v>10404.495103870158</v>
      </c>
      <c r="BP152" s="4">
        <f t="shared" si="106"/>
        <v>10534.369055790452</v>
      </c>
      <c r="BQ152" s="4">
        <f t="shared" si="106"/>
        <v>10662.785588899171</v>
      </c>
      <c r="BR152" s="4">
        <f t="shared" si="106"/>
        <v>10791.092049936648</v>
      </c>
      <c r="BS152" s="4">
        <f t="shared" si="106"/>
        <v>10920.157446361458</v>
      </c>
      <c r="BT152" s="4">
        <f t="shared" ref="BT152:CD152" si="107">SUM(BT153:BT154)</f>
        <v>11050.561096300637</v>
      </c>
      <c r="BU152" s="4">
        <f t="shared" si="107"/>
        <v>11183.13477471911</v>
      </c>
      <c r="BV152" s="4">
        <f t="shared" si="107"/>
        <v>11318.369747719682</v>
      </c>
      <c r="BW152" s="4">
        <f t="shared" si="107"/>
        <v>11456.029383119407</v>
      </c>
      <c r="BX152" s="4">
        <f t="shared" si="107"/>
        <v>11596.696114218254</v>
      </c>
      <c r="BY152" s="4">
        <f t="shared" si="107"/>
        <v>11740.683822429022</v>
      </c>
      <c r="BZ152" s="4">
        <f t="shared" si="107"/>
        <v>11888.279307448855</v>
      </c>
      <c r="CA152" s="4">
        <f t="shared" si="107"/>
        <v>12039.748528745939</v>
      </c>
      <c r="CB152" s="4">
        <f t="shared" si="107"/>
        <v>12196.152269235701</v>
      </c>
      <c r="CC152" s="4">
        <f t="shared" si="107"/>
        <v>12360.66275014542</v>
      </c>
      <c r="CD152" s="4">
        <f t="shared" si="107"/>
        <v>12535.32562198107</v>
      </c>
    </row>
    <row r="153" spans="2:82" s="3" customFormat="1" x14ac:dyDescent="0.2">
      <c r="F153" s="3" t="s">
        <v>6</v>
      </c>
      <c r="G153" s="3">
        <f>O377</f>
        <v>315.04680000000002</v>
      </c>
      <c r="H153" s="3">
        <f>P377</f>
        <v>315.04680000000002</v>
      </c>
      <c r="I153" s="3">
        <f>Q377</f>
        <v>330.7824</v>
      </c>
      <c r="J153" s="3">
        <f>R377</f>
        <v>338.67809999999997</v>
      </c>
      <c r="K153" s="3">
        <f>S377</f>
        <v>346.68540000000002</v>
      </c>
      <c r="L153" s="3">
        <f>T377</f>
        <v>354.69269999999989</v>
      </c>
      <c r="M153" s="3">
        <f>U377</f>
        <v>362.75580000000002</v>
      </c>
      <c r="N153" s="3">
        <f>V377</f>
        <v>371.43270000000001</v>
      </c>
      <c r="O153" s="3">
        <f>W377</f>
        <v>381.30930000000001</v>
      </c>
      <c r="P153" s="3">
        <f>X377</f>
        <v>391.79969999999997</v>
      </c>
      <c r="Q153" s="3">
        <f>Y377</f>
        <v>403.07130000000001</v>
      </c>
      <c r="R153" s="3">
        <f>Z377</f>
        <v>415.23570000000001</v>
      </c>
      <c r="S153" s="3">
        <f>AA377</f>
        <v>427.79070000000002</v>
      </c>
      <c r="T153" s="3">
        <f>AB377</f>
        <v>461.68919999999991</v>
      </c>
      <c r="U153" s="3">
        <f>AC377</f>
        <v>475.16489999999988</v>
      </c>
      <c r="V153" s="3">
        <f>AD377</f>
        <v>488.61270000000002</v>
      </c>
      <c r="W153" s="3">
        <f>AE377</f>
        <v>502.06049999999999</v>
      </c>
      <c r="X153" s="3">
        <f>AF377</f>
        <v>515.53620000000001</v>
      </c>
      <c r="Y153" s="3">
        <f>AG377</f>
        <v>528.98400000000004</v>
      </c>
      <c r="Z153" s="3">
        <f>AH377</f>
        <v>542.43179999999995</v>
      </c>
      <c r="AA153" s="3">
        <f>AI377</f>
        <v>555.87959999999998</v>
      </c>
      <c r="AB153" s="3">
        <f>AJ377</f>
        <v>569.35529999999994</v>
      </c>
      <c r="AC153" s="3">
        <f>AK377</f>
        <v>582.80309999999997</v>
      </c>
      <c r="AD153" s="3">
        <f>AL377</f>
        <v>583.30529999999999</v>
      </c>
      <c r="AE153" s="3">
        <f>AM377</f>
        <v>609.72659999999996</v>
      </c>
      <c r="AF153" s="3">
        <f>AN377</f>
        <v>1155.272451975369</v>
      </c>
      <c r="AG153" s="3">
        <f>AO377</f>
        <v>1126.8184980986609</v>
      </c>
      <c r="AH153" s="3">
        <f>AP377</f>
        <v>1142.817516549931</v>
      </c>
      <c r="AI153" s="3">
        <f>AQ377</f>
        <v>1161.4997423491229</v>
      </c>
      <c r="AJ153" s="3">
        <f>AR377</f>
        <v>1196.7566854514139</v>
      </c>
      <c r="AK153" s="3">
        <f>AS377</f>
        <v>1235.564265013852</v>
      </c>
      <c r="AL153" s="3">
        <f>AT377</f>
        <v>1281.728684327308</v>
      </c>
      <c r="AM153" s="3">
        <f>AU377</f>
        <v>1338.612482540811</v>
      </c>
      <c r="AN153" s="3">
        <f>AV377</f>
        <v>1404.139339131272</v>
      </c>
      <c r="AO153" s="3">
        <f>AW377</f>
        <v>1477.3764073120519</v>
      </c>
      <c r="AP153" s="3">
        <f>AX377</f>
        <v>1554.9652930070131</v>
      </c>
      <c r="AQ153" s="3">
        <f>AY377</f>
        <v>1629.1128102675409</v>
      </c>
      <c r="AR153" s="3">
        <f>AZ377</f>
        <v>1705.7037050596221</v>
      </c>
      <c r="AS153" s="3">
        <f>BA377</f>
        <v>1783.7677056234679</v>
      </c>
      <c r="AT153" s="3">
        <f>BB377</f>
        <v>1862.39243036785</v>
      </c>
      <c r="AU153" s="3">
        <f>BC377</f>
        <v>1940.8108944836199</v>
      </c>
      <c r="AV153" s="3">
        <f>BD377</f>
        <v>2018.440967672281</v>
      </c>
      <c r="AW153" s="3">
        <f>BE377</f>
        <v>2094.9239942657091</v>
      </c>
      <c r="AX153" s="3">
        <f>BF377</f>
        <v>2170.122281069217</v>
      </c>
      <c r="AY153" s="3">
        <f>BG377</f>
        <v>2244.0915971129161</v>
      </c>
      <c r="AZ153" s="3">
        <f>BH377</f>
        <v>2313.6300391167852</v>
      </c>
      <c r="BA153" s="3">
        <f>BI377</f>
        <v>2378.4814436776869</v>
      </c>
      <c r="BB153" s="3">
        <f>BJ377</f>
        <v>2437.0668522699311</v>
      </c>
      <c r="BC153" s="3">
        <f>BK377</f>
        <v>2490.451788572123</v>
      </c>
      <c r="BD153" s="3">
        <f>BL377</f>
        <v>2536.2457987554872</v>
      </c>
      <c r="BE153" s="3">
        <f>BM377</f>
        <v>2569.1381597285372</v>
      </c>
      <c r="BF153" s="3">
        <f>BN377</f>
        <v>2622.2146514292908</v>
      </c>
      <c r="BG153" s="3">
        <f>BO377</f>
        <v>2677.4461679387682</v>
      </c>
      <c r="BH153" s="3">
        <f>BP377</f>
        <v>2733.9213760133848</v>
      </c>
      <c r="BI153" s="3">
        <f>BQ377</f>
        <v>2790.696686231262</v>
      </c>
      <c r="BJ153" s="3">
        <f>BR377</f>
        <v>2847.1280971595702</v>
      </c>
      <c r="BK153" s="3">
        <f>BS377</f>
        <v>2902.6898726992708</v>
      </c>
      <c r="BL153" s="3">
        <f>BT377</f>
        <v>2957.0130047417092</v>
      </c>
      <c r="BM153" s="3">
        <f>BU377</f>
        <v>3009.8414691118878</v>
      </c>
      <c r="BN153" s="3">
        <f>BV377</f>
        <v>3060.9214096284049</v>
      </c>
      <c r="BO153" s="3">
        <f>BW377</f>
        <v>3110.073803815721</v>
      </c>
      <c r="BP153" s="3">
        <f>BX377</f>
        <v>3157.2260590401238</v>
      </c>
      <c r="BQ153" s="3">
        <f>BY377</f>
        <v>3204.4176070893859</v>
      </c>
      <c r="BR153" s="3">
        <f>BZ377</f>
        <v>3251.8778522392799</v>
      </c>
      <c r="BS153" s="3">
        <f>CA377</f>
        <v>3299.721916185897</v>
      </c>
      <c r="BT153" s="3">
        <f t="shared" ref="BT153:CD154" si="108">CB377</f>
        <v>3348.0090509716042</v>
      </c>
      <c r="BU153" s="3">
        <f t="shared" si="108"/>
        <v>3396.9505752141122</v>
      </c>
      <c r="BV153" s="3">
        <f t="shared" si="108"/>
        <v>3446.6485567026421</v>
      </c>
      <c r="BW153" s="3">
        <f t="shared" si="108"/>
        <v>3496.9830485193888</v>
      </c>
      <c r="BX153" s="3">
        <f t="shared" si="108"/>
        <v>3548.0789106421639</v>
      </c>
      <c r="BY153" s="3">
        <f t="shared" si="108"/>
        <v>3599.9724740444731</v>
      </c>
      <c r="BZ153" s="3">
        <f t="shared" si="108"/>
        <v>3652.717157985524</v>
      </c>
      <c r="CA153" s="3">
        <f t="shared" si="108"/>
        <v>3706.379447761341</v>
      </c>
      <c r="CB153" s="3">
        <f t="shared" si="108"/>
        <v>3761.1170554408968</v>
      </c>
      <c r="CC153" s="3">
        <f t="shared" si="108"/>
        <v>3817.4574917738528</v>
      </c>
      <c r="CD153" s="3">
        <f t="shared" si="108"/>
        <v>3875.7966558226158</v>
      </c>
    </row>
    <row r="154" spans="2:82" s="3" customFormat="1" x14ac:dyDescent="0.2">
      <c r="F154" s="3" t="s">
        <v>8</v>
      </c>
      <c r="G154" s="3">
        <f>O378</f>
        <v>1623.8040000000001</v>
      </c>
      <c r="H154" s="3">
        <f>P378</f>
        <v>1623.8040000000001</v>
      </c>
      <c r="I154" s="3">
        <f>Q378</f>
        <v>1717.989</v>
      </c>
      <c r="J154" s="3">
        <f>R378</f>
        <v>1765.491</v>
      </c>
      <c r="K154" s="3">
        <f>S378</f>
        <v>1814.085</v>
      </c>
      <c r="L154" s="3">
        <f>T378</f>
        <v>1862.6790000000001</v>
      </c>
      <c r="M154" s="3">
        <f>U378</f>
        <v>1911.2729999999999</v>
      </c>
      <c r="N154" s="3">
        <f>V378</f>
        <v>1959.867</v>
      </c>
      <c r="O154" s="3">
        <f>W378</f>
        <v>2008.461</v>
      </c>
      <c r="P154" s="3">
        <f>X378</f>
        <v>2057.0549999999998</v>
      </c>
      <c r="Q154" s="3">
        <f>Y378</f>
        <v>2105.922</v>
      </c>
      <c r="R154" s="3">
        <f>Z378</f>
        <v>2154.7890000000002</v>
      </c>
      <c r="S154" s="3">
        <f>AA378</f>
        <v>2203.3829999999998</v>
      </c>
      <c r="T154" s="3">
        <f>AB378</f>
        <v>2404.038</v>
      </c>
      <c r="U154" s="3">
        <f>AC378</f>
        <v>2444.7150000000001</v>
      </c>
      <c r="V154" s="3">
        <f>AD378</f>
        <v>2485.3919999999998</v>
      </c>
      <c r="W154" s="3">
        <f>AE378</f>
        <v>2526.069</v>
      </c>
      <c r="X154" s="3">
        <f>AF378</f>
        <v>2566.7460000000001</v>
      </c>
      <c r="Y154" s="3">
        <f>AG378</f>
        <v>2607.4229999999998</v>
      </c>
      <c r="Z154" s="3">
        <f>AH378</f>
        <v>2648.1</v>
      </c>
      <c r="AA154" s="3">
        <f>AI378</f>
        <v>2688.777</v>
      </c>
      <c r="AB154" s="3">
        <f>AJ378</f>
        <v>2729.4540000000002</v>
      </c>
      <c r="AC154" s="3">
        <f>AK378</f>
        <v>2770.1309999999999</v>
      </c>
      <c r="AD154" s="3">
        <f>AL378</f>
        <v>2772.3150000000001</v>
      </c>
      <c r="AE154" s="3">
        <f>AM378</f>
        <v>2851.4850000000001</v>
      </c>
      <c r="AF154" s="3">
        <f>AN378</f>
        <v>2926.1340277991731</v>
      </c>
      <c r="AG154" s="3">
        <f>AO378</f>
        <v>2885.0148294567011</v>
      </c>
      <c r="AH154" s="3">
        <f>AP378</f>
        <v>2895.2053322000379</v>
      </c>
      <c r="AI154" s="3">
        <f>AQ378</f>
        <v>2907.203008111474</v>
      </c>
      <c r="AJ154" s="3">
        <f>AR378</f>
        <v>2988.7391773288632</v>
      </c>
      <c r="AK154" s="3">
        <f>AS378</f>
        <v>3078.0702597195041</v>
      </c>
      <c r="AL154" s="3">
        <f>AT378</f>
        <v>3189.9857024243111</v>
      </c>
      <c r="AM154" s="3">
        <f>AU378</f>
        <v>3325.4691240469579</v>
      </c>
      <c r="AN154" s="3">
        <f>AV378</f>
        <v>3485.483928114505</v>
      </c>
      <c r="AO154" s="3">
        <f>AW378</f>
        <v>3667.4113472815129</v>
      </c>
      <c r="AP154" s="3">
        <f>AX378</f>
        <v>3866.1433537267681</v>
      </c>
      <c r="AQ154" s="3">
        <f>AY378</f>
        <v>4072.7639581578628</v>
      </c>
      <c r="AR154" s="3">
        <f>AZ378</f>
        <v>4286.7960164462456</v>
      </c>
      <c r="AS154" s="3">
        <f>BA378</f>
        <v>4503.4350241641523</v>
      </c>
      <c r="AT154" s="3">
        <f>BB378</f>
        <v>4718.1719127722818</v>
      </c>
      <c r="AU154" s="3">
        <f>BC378</f>
        <v>4927.1814078884236</v>
      </c>
      <c r="AV154" s="3">
        <f>BD378</f>
        <v>5127.6024925362026</v>
      </c>
      <c r="AW154" s="3">
        <f>BE378</f>
        <v>5317.6889195243948</v>
      </c>
      <c r="AX154" s="3">
        <f>BF378</f>
        <v>5496.8007633310472</v>
      </c>
      <c r="AY154" s="3">
        <f>BG378</f>
        <v>5665.2661160737562</v>
      </c>
      <c r="AZ154" s="3">
        <f>BH378</f>
        <v>5821.1694460354693</v>
      </c>
      <c r="BA154" s="3">
        <f>BI378</f>
        <v>5964.8082648220752</v>
      </c>
      <c r="BB154" s="3">
        <f>BJ378</f>
        <v>6095.379035555794</v>
      </c>
      <c r="BC154" s="3">
        <f>BK378</f>
        <v>6214.3048892207325</v>
      </c>
      <c r="BD154" s="3">
        <f>BL378</f>
        <v>6311.2444553154828</v>
      </c>
      <c r="BE154" s="3">
        <f>BM378</f>
        <v>6361.3653493026322</v>
      </c>
      <c r="BF154" s="3">
        <f>BN378</f>
        <v>6437.3578909150874</v>
      </c>
      <c r="BG154" s="3">
        <f>BO378</f>
        <v>6525.3489689506951</v>
      </c>
      <c r="BH154" s="3">
        <f>BP378</f>
        <v>6621.3535048725216</v>
      </c>
      <c r="BI154" s="3">
        <f>BQ378</f>
        <v>6721.4748775660191</v>
      </c>
      <c r="BJ154" s="3">
        <f>BR378</f>
        <v>6822.9854060748967</v>
      </c>
      <c r="BK154" s="3">
        <f>BS378</f>
        <v>6923.5686177011376</v>
      </c>
      <c r="BL154" s="3">
        <f>BT378</f>
        <v>7021.7316132724309</v>
      </c>
      <c r="BM154" s="3">
        <f>BU378</f>
        <v>7116.5860500166582</v>
      </c>
      <c r="BN154" s="3">
        <f>BV378</f>
        <v>7207.5718537159746</v>
      </c>
      <c r="BO154" s="3">
        <f>BW378</f>
        <v>7294.4213000544369</v>
      </c>
      <c r="BP154" s="3">
        <f>BX378</f>
        <v>7377.1429967503282</v>
      </c>
      <c r="BQ154" s="3">
        <f>BY378</f>
        <v>7458.3679818097844</v>
      </c>
      <c r="BR154" s="3">
        <f>BZ378</f>
        <v>7539.214197697368</v>
      </c>
      <c r="BS154" s="3">
        <f>CA378</f>
        <v>7620.4355301755613</v>
      </c>
      <c r="BT154" s="3">
        <f t="shared" si="108"/>
        <v>7702.5520453290319</v>
      </c>
      <c r="BU154" s="3">
        <f t="shared" si="108"/>
        <v>7786.1841995049972</v>
      </c>
      <c r="BV154" s="3">
        <f t="shared" si="108"/>
        <v>7871.7211910170399</v>
      </c>
      <c r="BW154" s="3">
        <f t="shared" si="108"/>
        <v>7959.0463346000188</v>
      </c>
      <c r="BX154" s="3">
        <f t="shared" si="108"/>
        <v>8048.6172035760892</v>
      </c>
      <c r="BY154" s="3">
        <f t="shared" si="108"/>
        <v>8140.7113483845496</v>
      </c>
      <c r="BZ154" s="3">
        <f t="shared" si="108"/>
        <v>8235.5621494633306</v>
      </c>
      <c r="CA154" s="3">
        <f t="shared" si="108"/>
        <v>8333.3690809845975</v>
      </c>
      <c r="CB154" s="3">
        <f t="shared" si="108"/>
        <v>8435.0352137948048</v>
      </c>
      <c r="CC154" s="3">
        <f t="shared" si="108"/>
        <v>8543.2052583715686</v>
      </c>
      <c r="CD154" s="3">
        <f t="shared" si="108"/>
        <v>8659.5289661584538</v>
      </c>
    </row>
    <row r="155" spans="2:82" s="7" customFormat="1" x14ac:dyDescent="0.2">
      <c r="B155" s="7" t="s">
        <v>168</v>
      </c>
      <c r="G155" s="7">
        <f>SUM(G156,G162,G170,G178,G185,G193,G197,)</f>
        <v>14389.133999999998</v>
      </c>
      <c r="H155" s="7">
        <f t="shared" ref="H155:BS155" si="109">SUM(H156,H162,H170,H178,H185,H193,H197,)</f>
        <v>16788.429</v>
      </c>
      <c r="I155" s="7">
        <f t="shared" si="109"/>
        <v>20706.769</v>
      </c>
      <c r="J155" s="7">
        <f t="shared" si="109"/>
        <v>20383.971000000001</v>
      </c>
      <c r="K155" s="7">
        <f t="shared" si="109"/>
        <v>28635.995999999999</v>
      </c>
      <c r="L155" s="7">
        <f t="shared" si="109"/>
        <v>26028.453000000001</v>
      </c>
      <c r="M155" s="7">
        <f t="shared" si="109"/>
        <v>32027.892000000003</v>
      </c>
      <c r="N155" s="7">
        <f t="shared" si="109"/>
        <v>25650.799000000003</v>
      </c>
      <c r="O155" s="7">
        <f t="shared" si="109"/>
        <v>27965.278999999999</v>
      </c>
      <c r="P155" s="7">
        <f t="shared" si="109"/>
        <v>25951.614000000001</v>
      </c>
      <c r="Q155" s="7">
        <f t="shared" si="109"/>
        <v>26211.505000000001</v>
      </c>
      <c r="R155" s="7">
        <f t="shared" si="109"/>
        <v>36513.462999999996</v>
      </c>
      <c r="S155" s="7">
        <f t="shared" si="109"/>
        <v>33681.442999999999</v>
      </c>
      <c r="T155" s="7">
        <f t="shared" si="109"/>
        <v>35688.832999999999</v>
      </c>
      <c r="U155" s="7">
        <f t="shared" si="109"/>
        <v>37483.782000000007</v>
      </c>
      <c r="V155" s="7">
        <f t="shared" si="109"/>
        <v>39565.029000000002</v>
      </c>
      <c r="W155" s="7">
        <f t="shared" si="109"/>
        <v>41696.032000000007</v>
      </c>
      <c r="X155" s="7">
        <f>SUM(X156,X162,X170,X178,X185,X193,X197,)</f>
        <v>44040.457000000002</v>
      </c>
      <c r="Y155" s="7">
        <f t="shared" si="109"/>
        <v>51044.505000000005</v>
      </c>
      <c r="Z155" s="7">
        <f t="shared" si="109"/>
        <v>53317.777999999998</v>
      </c>
      <c r="AA155" s="7">
        <f t="shared" si="109"/>
        <v>52915.315999999999</v>
      </c>
      <c r="AB155" s="7">
        <f t="shared" si="109"/>
        <v>55348.46</v>
      </c>
      <c r="AC155" s="7">
        <f t="shared" si="109"/>
        <v>53363.12</v>
      </c>
      <c r="AD155" s="7">
        <f t="shared" si="109"/>
        <v>57130.686999999991</v>
      </c>
      <c r="AE155" s="7">
        <f t="shared" si="109"/>
        <v>55688.621999999996</v>
      </c>
      <c r="AF155" s="7">
        <f t="shared" si="109"/>
        <v>60716.288586900082</v>
      </c>
      <c r="AG155" s="7">
        <f t="shared" si="109"/>
        <v>59098.468091151459</v>
      </c>
      <c r="AH155" s="7">
        <f t="shared" si="109"/>
        <v>59995.76640954816</v>
      </c>
      <c r="AI155" s="7">
        <f t="shared" si="109"/>
        <v>60794.687768487223</v>
      </c>
      <c r="AJ155" s="7">
        <f t="shared" si="109"/>
        <v>62341.688439433565</v>
      </c>
      <c r="AK155" s="7">
        <f t="shared" si="109"/>
        <v>64149.140600543076</v>
      </c>
      <c r="AL155" s="7">
        <f t="shared" si="109"/>
        <v>64742.874955864252</v>
      </c>
      <c r="AM155" s="7">
        <f t="shared" si="109"/>
        <v>65925.356762382362</v>
      </c>
      <c r="AN155" s="7">
        <f t="shared" si="109"/>
        <v>68501.079112741834</v>
      </c>
      <c r="AO155" s="7">
        <f t="shared" si="109"/>
        <v>70954.945755545254</v>
      </c>
      <c r="AP155" s="7">
        <f t="shared" si="109"/>
        <v>72814.854112782064</v>
      </c>
      <c r="AQ155" s="7">
        <f t="shared" si="109"/>
        <v>73161.832146488698</v>
      </c>
      <c r="AR155" s="7">
        <f t="shared" si="109"/>
        <v>72188.193566954928</v>
      </c>
      <c r="AS155" s="7">
        <f t="shared" si="109"/>
        <v>69525.588221701095</v>
      </c>
      <c r="AT155" s="7">
        <f t="shared" si="109"/>
        <v>64970.804223368497</v>
      </c>
      <c r="AU155" s="7">
        <f t="shared" si="109"/>
        <v>58633.249993356607</v>
      </c>
      <c r="AV155" s="7">
        <f t="shared" si="109"/>
        <v>51015.17564652938</v>
      </c>
      <c r="AW155" s="7">
        <f t="shared" si="109"/>
        <v>42903.892585639405</v>
      </c>
      <c r="AX155" s="7">
        <f t="shared" si="109"/>
        <v>35120.666490390955</v>
      </c>
      <c r="AY155" s="7">
        <f t="shared" si="109"/>
        <v>28273.042570068363</v>
      </c>
      <c r="AZ155" s="7">
        <f t="shared" si="109"/>
        <v>22601.320428708139</v>
      </c>
      <c r="BA155" s="7">
        <f t="shared" si="109"/>
        <v>18152.937198426356</v>
      </c>
      <c r="BB155" s="7">
        <f t="shared" si="109"/>
        <v>14810.871091140627</v>
      </c>
      <c r="BC155" s="7">
        <f t="shared" si="109"/>
        <v>12378.1830685558</v>
      </c>
      <c r="BD155" s="7">
        <f t="shared" si="109"/>
        <v>10644.543815060922</v>
      </c>
      <c r="BE155" s="7">
        <f t="shared" si="109"/>
        <v>9422.2615777780411</v>
      </c>
      <c r="BF155" s="7">
        <f t="shared" si="109"/>
        <v>8509.597698501615</v>
      </c>
      <c r="BG155" s="7">
        <f t="shared" si="109"/>
        <v>9478.53187681708</v>
      </c>
      <c r="BH155" s="7">
        <f t="shared" si="109"/>
        <v>10857.068264307238</v>
      </c>
      <c r="BI155" s="7">
        <f t="shared" si="109"/>
        <v>12282.838350246553</v>
      </c>
      <c r="BJ155" s="7">
        <f t="shared" si="109"/>
        <v>13658.729602990665</v>
      </c>
      <c r="BK155" s="7">
        <f t="shared" si="109"/>
        <v>14926.91320239886</v>
      </c>
      <c r="BL155" s="7">
        <f t="shared" si="109"/>
        <v>16089.185613825477</v>
      </c>
      <c r="BM155" s="7">
        <f t="shared" si="109"/>
        <v>17146.09641800564</v>
      </c>
      <c r="BN155" s="7">
        <f t="shared" si="109"/>
        <v>18060.049500962246</v>
      </c>
      <c r="BO155" s="7">
        <f t="shared" si="109"/>
        <v>18785.659627072855</v>
      </c>
      <c r="BP155" s="7">
        <f t="shared" si="109"/>
        <v>19436.376653545565</v>
      </c>
      <c r="BQ155" s="7">
        <f t="shared" si="109"/>
        <v>20040.035328261492</v>
      </c>
      <c r="BR155" s="7">
        <f t="shared" si="109"/>
        <v>20634.552598282906</v>
      </c>
      <c r="BS155" s="7">
        <f t="shared" si="109"/>
        <v>21137.592380198505</v>
      </c>
      <c r="BT155" s="7">
        <f t="shared" ref="BT155:CD155" si="110">SUM(BT156,BT162,BT170,BT178,BT185,BT193,BT197,)</f>
        <v>21227.573190513616</v>
      </c>
      <c r="BU155" s="7">
        <f t="shared" si="110"/>
        <v>20240.249211829687</v>
      </c>
      <c r="BV155" s="7">
        <f t="shared" si="110"/>
        <v>20482.93997203766</v>
      </c>
      <c r="BW155" s="7">
        <f t="shared" si="110"/>
        <v>20631.627747591134</v>
      </c>
      <c r="BX155" s="7">
        <f t="shared" si="110"/>
        <v>20684.607559126896</v>
      </c>
      <c r="BY155" s="7">
        <f t="shared" si="110"/>
        <v>20645.134641064644</v>
      </c>
      <c r="BZ155" s="7">
        <f t="shared" si="110"/>
        <v>21529.640519243396</v>
      </c>
      <c r="CA155" s="7">
        <f t="shared" si="110"/>
        <v>24911.755489836156</v>
      </c>
      <c r="CB155" s="7">
        <f t="shared" si="110"/>
        <v>28468.41962631615</v>
      </c>
      <c r="CC155" s="7">
        <f t="shared" si="110"/>
        <v>32100.145672274564</v>
      </c>
      <c r="CD155" s="7">
        <f t="shared" si="110"/>
        <v>30167.596404728672</v>
      </c>
    </row>
    <row r="156" spans="2:82" s="4" customFormat="1" x14ac:dyDescent="0.2">
      <c r="C156" s="4" t="s">
        <v>88</v>
      </c>
      <c r="G156" s="4">
        <f>SUM(G157,G161)</f>
        <v>-5899.6840000000002</v>
      </c>
      <c r="H156" s="4">
        <f t="shared" ref="H156:BS156" si="111">SUM(H157,H161)</f>
        <v>-3804.1480000000001</v>
      </c>
      <c r="I156" s="4">
        <f t="shared" si="111"/>
        <v>-5827.3909999999996</v>
      </c>
      <c r="J156" s="4">
        <f t="shared" si="111"/>
        <v>-1027.9469999999999</v>
      </c>
      <c r="K156" s="4">
        <f t="shared" si="111"/>
        <v>2092.018</v>
      </c>
      <c r="L156" s="4">
        <f t="shared" si="111"/>
        <v>5333.9579999999996</v>
      </c>
      <c r="M156" s="4">
        <f t="shared" si="111"/>
        <v>8704.9060000000009</v>
      </c>
      <c r="N156" s="4">
        <f t="shared" si="111"/>
        <v>5930.1890000000003</v>
      </c>
      <c r="O156" s="4">
        <f t="shared" si="111"/>
        <v>8684.5650000000005</v>
      </c>
      <c r="P156" s="4">
        <f t="shared" si="111"/>
        <v>11593.858</v>
      </c>
      <c r="Q156" s="4">
        <f t="shared" si="111"/>
        <v>22733.442999999999</v>
      </c>
      <c r="R156" s="4">
        <f t="shared" si="111"/>
        <v>24621.127</v>
      </c>
      <c r="S156" s="4">
        <f t="shared" si="111"/>
        <v>29990.578000000001</v>
      </c>
      <c r="T156" s="4">
        <f t="shared" si="111"/>
        <v>32054.527999999998</v>
      </c>
      <c r="U156" s="4">
        <f t="shared" si="111"/>
        <v>34281.235000000001</v>
      </c>
      <c r="V156" s="4">
        <f t="shared" si="111"/>
        <v>36327.923000000003</v>
      </c>
      <c r="W156" s="4">
        <f t="shared" si="111"/>
        <v>38424.774000000005</v>
      </c>
      <c r="X156" s="4">
        <f t="shared" si="111"/>
        <v>40539.485999999997</v>
      </c>
      <c r="Y156" s="4">
        <f t="shared" si="111"/>
        <v>47663.904999999999</v>
      </c>
      <c r="Z156" s="4">
        <f t="shared" si="111"/>
        <v>49898.983999999997</v>
      </c>
      <c r="AA156" s="4">
        <f t="shared" si="111"/>
        <v>53243.349000000002</v>
      </c>
      <c r="AB156" s="4">
        <f t="shared" si="111"/>
        <v>52582.537000000004</v>
      </c>
      <c r="AC156" s="4">
        <f t="shared" si="111"/>
        <v>51332.642000000007</v>
      </c>
      <c r="AD156" s="4">
        <f t="shared" si="111"/>
        <v>55182.935999999994</v>
      </c>
      <c r="AE156" s="4">
        <f t="shared" si="111"/>
        <v>54187.805</v>
      </c>
      <c r="AF156" s="4">
        <f t="shared" si="111"/>
        <v>39424.834745261236</v>
      </c>
      <c r="AG156" s="4">
        <f t="shared" si="111"/>
        <v>37983.597326845746</v>
      </c>
      <c r="AH156" s="4">
        <f t="shared" si="111"/>
        <v>39056.350198844899</v>
      </c>
      <c r="AI156" s="4">
        <f t="shared" si="111"/>
        <v>40201.589106345709</v>
      </c>
      <c r="AJ156" s="4">
        <f t="shared" si="111"/>
        <v>42182.953719722296</v>
      </c>
      <c r="AK156" s="4">
        <f t="shared" si="111"/>
        <v>44393.868098622886</v>
      </c>
      <c r="AL156" s="4">
        <f t="shared" si="111"/>
        <v>46888.758736761665</v>
      </c>
      <c r="AM156" s="4">
        <f t="shared" si="111"/>
        <v>49429.074887746174</v>
      </c>
      <c r="AN156" s="4">
        <f t="shared" si="111"/>
        <v>52101.200201648375</v>
      </c>
      <c r="AO156" s="4">
        <f t="shared" si="111"/>
        <v>54653.720786062884</v>
      </c>
      <c r="AP156" s="4">
        <f t="shared" si="111"/>
        <v>56612.149130643462</v>
      </c>
      <c r="AQ156" s="4">
        <f t="shared" si="111"/>
        <v>57049.234413235288</v>
      </c>
      <c r="AR156" s="4">
        <f t="shared" si="111"/>
        <v>56152.100202611458</v>
      </c>
      <c r="AS156" s="4">
        <f t="shared" si="111"/>
        <v>53548.21995228681</v>
      </c>
      <c r="AT156" s="4">
        <f t="shared" si="111"/>
        <v>49031.994405405763</v>
      </c>
      <c r="AU156" s="4">
        <f t="shared" si="111"/>
        <v>42712.475797069645</v>
      </c>
      <c r="AV156" s="4">
        <f t="shared" si="111"/>
        <v>35093.581796001177</v>
      </c>
      <c r="AW156" s="4">
        <f t="shared" si="111"/>
        <v>26966.161891931784</v>
      </c>
      <c r="AX156" s="4">
        <f t="shared" si="111"/>
        <v>19156.650603945433</v>
      </c>
      <c r="AY156" s="4">
        <f t="shared" si="111"/>
        <v>12281.650747690019</v>
      </c>
      <c r="AZ156" s="4">
        <f t="shared" si="111"/>
        <v>6587.64362299614</v>
      </c>
      <c r="BA156" s="4">
        <f t="shared" si="111"/>
        <v>2132.2460787022901</v>
      </c>
      <c r="BB156" s="4">
        <f t="shared" si="111"/>
        <v>-1200.9699883438152</v>
      </c>
      <c r="BC156" s="4">
        <f t="shared" si="111"/>
        <v>-3603.1688292509452</v>
      </c>
      <c r="BD156" s="4">
        <f t="shared" si="111"/>
        <v>-5278.0127583412668</v>
      </c>
      <c r="BE156" s="4">
        <f t="shared" si="111"/>
        <v>-6403.8555960076301</v>
      </c>
      <c r="BF156" s="4">
        <f t="shared" si="111"/>
        <v>-6175.1963946792803</v>
      </c>
      <c r="BG156" s="4">
        <f t="shared" si="111"/>
        <v>-5932.364997189231</v>
      </c>
      <c r="BH156" s="4">
        <f t="shared" si="111"/>
        <v>-5667.5693188021469</v>
      </c>
      <c r="BI156" s="4">
        <f t="shared" si="111"/>
        <v>-5379.971843388621</v>
      </c>
      <c r="BJ156" s="4">
        <f t="shared" si="111"/>
        <v>-5068.3899018116872</v>
      </c>
      <c r="BK156" s="4">
        <f t="shared" si="111"/>
        <v>-4764.8236844505291</v>
      </c>
      <c r="BL156" s="4">
        <f t="shared" si="111"/>
        <v>-4454.4609534431838</v>
      </c>
      <c r="BM156" s="4">
        <f t="shared" si="111"/>
        <v>-4136.2654904714245</v>
      </c>
      <c r="BN156" s="4">
        <f t="shared" si="111"/>
        <v>-3814.1539578338607</v>
      </c>
      <c r="BO156" s="4">
        <f t="shared" si="111"/>
        <v>-3488.9300386806626</v>
      </c>
      <c r="BP156" s="4">
        <f t="shared" si="111"/>
        <v>-3165.5572601226286</v>
      </c>
      <c r="BQ156" s="4">
        <f t="shared" si="111"/>
        <v>-2836.1299350153959</v>
      </c>
      <c r="BR156" s="4">
        <f t="shared" si="111"/>
        <v>-2502.1521559316125</v>
      </c>
      <c r="BS156" s="4">
        <f t="shared" si="111"/>
        <v>-2164.4484998086546</v>
      </c>
      <c r="BT156" s="4">
        <f t="shared" ref="BT156:CD156" si="112">SUM(BT157,BT161)</f>
        <v>-1824.7469361969561</v>
      </c>
      <c r="BU156" s="4">
        <f t="shared" si="112"/>
        <v>-1483.5106728780875</v>
      </c>
      <c r="BV156" s="4">
        <f t="shared" si="112"/>
        <v>-1144.5058585525403</v>
      </c>
      <c r="BW156" s="4">
        <f t="shared" si="112"/>
        <v>-807.16700116085576</v>
      </c>
      <c r="BX156" s="4">
        <f t="shared" si="112"/>
        <v>-473.34336400622396</v>
      </c>
      <c r="BY156" s="4">
        <f t="shared" si="112"/>
        <v>-144.5035309038085</v>
      </c>
      <c r="BZ156" s="4">
        <f t="shared" si="112"/>
        <v>177.95482716977403</v>
      </c>
      <c r="CA156" s="4">
        <f t="shared" si="112"/>
        <v>506.51812146709108</v>
      </c>
      <c r="CB156" s="4">
        <f t="shared" si="112"/>
        <v>872.82029359263561</v>
      </c>
      <c r="CC156" s="4">
        <f t="shared" si="112"/>
        <v>1277.8976128474951</v>
      </c>
      <c r="CD156" s="4">
        <f t="shared" si="112"/>
        <v>1722.0940998743126</v>
      </c>
    </row>
    <row r="157" spans="2:82" s="3" customFormat="1" x14ac:dyDescent="0.2">
      <c r="D157" s="3" t="s">
        <v>89</v>
      </c>
      <c r="G157" s="3">
        <f>O379+IF(O380=$F$238,0,O380)</f>
        <v>-5899.6840000000002</v>
      </c>
      <c r="H157" s="3">
        <f t="shared" ref="H157:BS157" si="113">P379+IF(P380=$F$238,0,P380)</f>
        <v>-3804.1480000000001</v>
      </c>
      <c r="I157" s="3">
        <f t="shared" si="113"/>
        <v>-5827.3909999999996</v>
      </c>
      <c r="J157" s="3">
        <f t="shared" si="113"/>
        <v>-1027.9469999999999</v>
      </c>
      <c r="K157" s="3">
        <f t="shared" si="113"/>
        <v>2092.018</v>
      </c>
      <c r="L157" s="3">
        <f t="shared" si="113"/>
        <v>5333.9579999999996</v>
      </c>
      <c r="M157" s="3">
        <f t="shared" si="113"/>
        <v>8704.9060000000009</v>
      </c>
      <c r="N157" s="3">
        <f t="shared" si="113"/>
        <v>5930.1890000000003</v>
      </c>
      <c r="O157" s="3">
        <f t="shared" si="113"/>
        <v>8684.5650000000005</v>
      </c>
      <c r="P157" s="3">
        <f t="shared" si="113"/>
        <v>11593.858</v>
      </c>
      <c r="Q157" s="3">
        <f t="shared" si="113"/>
        <v>22733.442999999999</v>
      </c>
      <c r="R157" s="3">
        <f t="shared" si="113"/>
        <v>25062.136999999999</v>
      </c>
      <c r="S157" s="3">
        <f t="shared" si="113"/>
        <v>30893.936000000002</v>
      </c>
      <c r="T157" s="3">
        <f t="shared" si="113"/>
        <v>33340.254999999997</v>
      </c>
      <c r="U157" s="3">
        <f t="shared" si="113"/>
        <v>35825.004000000001</v>
      </c>
      <c r="V157" s="3">
        <f t="shared" si="113"/>
        <v>38348.031999999999</v>
      </c>
      <c r="W157" s="3">
        <f t="shared" si="113"/>
        <v>40902.154000000002</v>
      </c>
      <c r="X157" s="3">
        <f t="shared" si="113"/>
        <v>43486.574000000001</v>
      </c>
      <c r="Y157" s="3">
        <f t="shared" si="113"/>
        <v>51094.434999999998</v>
      </c>
      <c r="Z157" s="3">
        <f t="shared" si="113"/>
        <v>53805.942999999999</v>
      </c>
      <c r="AA157" s="3">
        <f t="shared" si="113"/>
        <v>56406.758000000002</v>
      </c>
      <c r="AB157" s="3">
        <f t="shared" si="113"/>
        <v>58900.826000000001</v>
      </c>
      <c r="AC157" s="3">
        <f t="shared" si="113"/>
        <v>60287.247000000003</v>
      </c>
      <c r="AD157" s="3">
        <f t="shared" si="113"/>
        <v>62360.968999999997</v>
      </c>
      <c r="AE157" s="3">
        <f t="shared" si="113"/>
        <v>63581.68</v>
      </c>
      <c r="AF157" s="3">
        <f t="shared" si="113"/>
        <v>39424.834745261236</v>
      </c>
      <c r="AG157" s="3">
        <f t="shared" si="113"/>
        <v>37983.597326845746</v>
      </c>
      <c r="AH157" s="3">
        <f t="shared" si="113"/>
        <v>39056.350198844899</v>
      </c>
      <c r="AI157" s="3">
        <f t="shared" si="113"/>
        <v>40201.589106345709</v>
      </c>
      <c r="AJ157" s="3">
        <f t="shared" si="113"/>
        <v>42182.953719722296</v>
      </c>
      <c r="AK157" s="3">
        <f t="shared" si="113"/>
        <v>44393.868098622886</v>
      </c>
      <c r="AL157" s="3">
        <f t="shared" si="113"/>
        <v>46888.758736761665</v>
      </c>
      <c r="AM157" s="3">
        <f t="shared" si="113"/>
        <v>49429.074887746174</v>
      </c>
      <c r="AN157" s="3">
        <f t="shared" si="113"/>
        <v>52101.200201648375</v>
      </c>
      <c r="AO157" s="3">
        <f t="shared" si="113"/>
        <v>54653.720786062884</v>
      </c>
      <c r="AP157" s="3">
        <f t="shared" si="113"/>
        <v>56612.149130643462</v>
      </c>
      <c r="AQ157" s="3">
        <f t="shared" si="113"/>
        <v>57049.234413235288</v>
      </c>
      <c r="AR157" s="3">
        <f t="shared" si="113"/>
        <v>56152.100202611458</v>
      </c>
      <c r="AS157" s="3">
        <f t="shared" si="113"/>
        <v>53548.21995228681</v>
      </c>
      <c r="AT157" s="3">
        <f t="shared" si="113"/>
        <v>49031.994405405763</v>
      </c>
      <c r="AU157" s="3">
        <f t="shared" si="113"/>
        <v>42712.475797069645</v>
      </c>
      <c r="AV157" s="3">
        <f t="shared" si="113"/>
        <v>35093.581796001177</v>
      </c>
      <c r="AW157" s="3">
        <f t="shared" si="113"/>
        <v>26966.161891931784</v>
      </c>
      <c r="AX157" s="3">
        <f t="shared" si="113"/>
        <v>19156.650603945433</v>
      </c>
      <c r="AY157" s="3">
        <f t="shared" si="113"/>
        <v>12281.650747690019</v>
      </c>
      <c r="AZ157" s="3">
        <f t="shared" si="113"/>
        <v>6587.64362299614</v>
      </c>
      <c r="BA157" s="3">
        <f t="shared" si="113"/>
        <v>2132.2460787022901</v>
      </c>
      <c r="BB157" s="3">
        <f t="shared" si="113"/>
        <v>-1200.9699883438152</v>
      </c>
      <c r="BC157" s="3">
        <f t="shared" si="113"/>
        <v>-3603.1688292509452</v>
      </c>
      <c r="BD157" s="3">
        <f t="shared" si="113"/>
        <v>-5278.0127583412668</v>
      </c>
      <c r="BE157" s="3">
        <f t="shared" si="113"/>
        <v>-6403.8555960076301</v>
      </c>
      <c r="BF157" s="3">
        <f t="shared" si="113"/>
        <v>-6175.1963946792803</v>
      </c>
      <c r="BG157" s="3">
        <f t="shared" si="113"/>
        <v>-5932.364997189231</v>
      </c>
      <c r="BH157" s="3">
        <f t="shared" si="113"/>
        <v>-5667.5693188021469</v>
      </c>
      <c r="BI157" s="3">
        <f t="shared" si="113"/>
        <v>-5379.971843388621</v>
      </c>
      <c r="BJ157" s="3">
        <f t="shared" si="113"/>
        <v>-5068.3899018116872</v>
      </c>
      <c r="BK157" s="3">
        <f t="shared" si="113"/>
        <v>-4764.8236844505291</v>
      </c>
      <c r="BL157" s="3">
        <f t="shared" si="113"/>
        <v>-4454.4609534431838</v>
      </c>
      <c r="BM157" s="3">
        <f t="shared" si="113"/>
        <v>-4136.2654904714245</v>
      </c>
      <c r="BN157" s="3">
        <f t="shared" si="113"/>
        <v>-3814.1539578338607</v>
      </c>
      <c r="BO157" s="3">
        <f t="shared" si="113"/>
        <v>-3488.9300386806626</v>
      </c>
      <c r="BP157" s="3">
        <f t="shared" si="113"/>
        <v>-3165.5572601226286</v>
      </c>
      <c r="BQ157" s="3">
        <f t="shared" si="113"/>
        <v>-2836.1299350153959</v>
      </c>
      <c r="BR157" s="3">
        <f t="shared" si="113"/>
        <v>-2502.1521559316125</v>
      </c>
      <c r="BS157" s="3">
        <f t="shared" si="113"/>
        <v>-2164.4484998086546</v>
      </c>
      <c r="BT157" s="3">
        <f t="shared" ref="BT157:CD157" si="114">CB379+IF(CB380=$F$238,0,CB380)</f>
        <v>-1824.7469361969561</v>
      </c>
      <c r="BU157" s="3">
        <f t="shared" si="114"/>
        <v>-1483.5106728780875</v>
      </c>
      <c r="BV157" s="3">
        <f t="shared" si="114"/>
        <v>-1144.5058585525403</v>
      </c>
      <c r="BW157" s="3">
        <f t="shared" si="114"/>
        <v>-807.16700116085576</v>
      </c>
      <c r="BX157" s="3">
        <f t="shared" si="114"/>
        <v>-473.34336400622396</v>
      </c>
      <c r="BY157" s="3">
        <f t="shared" si="114"/>
        <v>-144.5035309038085</v>
      </c>
      <c r="BZ157" s="3">
        <f t="shared" si="114"/>
        <v>177.95482716977403</v>
      </c>
      <c r="CA157" s="3">
        <f t="shared" si="114"/>
        <v>506.51812146709108</v>
      </c>
      <c r="CB157" s="3">
        <f t="shared" si="114"/>
        <v>872.82029359263561</v>
      </c>
      <c r="CC157" s="3">
        <f t="shared" si="114"/>
        <v>1277.8976128474951</v>
      </c>
      <c r="CD157" s="3">
        <f t="shared" si="114"/>
        <v>1722.0940998743126</v>
      </c>
    </row>
    <row r="158" spans="2:82" s="3" customFormat="1" x14ac:dyDescent="0.2">
      <c r="E158" s="3" t="s">
        <v>90</v>
      </c>
      <c r="F158" s="3" t="s">
        <v>7</v>
      </c>
      <c r="G158" s="3">
        <f>O379</f>
        <v>-5899.6840000000002</v>
      </c>
      <c r="H158" s="3">
        <f>P379</f>
        <v>-3804.1480000000001</v>
      </c>
      <c r="I158" s="3">
        <f>Q379</f>
        <v>-5827.3909999999996</v>
      </c>
      <c r="J158" s="3">
        <f>R379</f>
        <v>-1027.9469999999999</v>
      </c>
      <c r="K158" s="3">
        <f>S379</f>
        <v>2092.018</v>
      </c>
      <c r="L158" s="3">
        <f>T379</f>
        <v>5333.9579999999996</v>
      </c>
      <c r="M158" s="3">
        <f>U379</f>
        <v>8704.9060000000009</v>
      </c>
      <c r="N158" s="3">
        <f>V379</f>
        <v>5930.1890000000003</v>
      </c>
      <c r="O158" s="3">
        <f>W379</f>
        <v>8684.5650000000005</v>
      </c>
      <c r="P158" s="3">
        <f>X379</f>
        <v>11593.858</v>
      </c>
      <c r="Q158" s="3">
        <f>Y379</f>
        <v>22733.442999999999</v>
      </c>
      <c r="R158" s="3">
        <f>Z379</f>
        <v>25062.136999999999</v>
      </c>
      <c r="S158" s="3">
        <f>AA379</f>
        <v>30893.936000000002</v>
      </c>
      <c r="T158" s="3">
        <f>AB379</f>
        <v>33340.254999999997</v>
      </c>
      <c r="U158" s="3">
        <f>AC379</f>
        <v>35825.004000000001</v>
      </c>
      <c r="V158" s="3">
        <f>AD379</f>
        <v>38348.031999999999</v>
      </c>
      <c r="W158" s="3">
        <f>AE379</f>
        <v>40902.154000000002</v>
      </c>
      <c r="X158" s="3">
        <f>AF379</f>
        <v>43486.574000000001</v>
      </c>
      <c r="Y158" s="3">
        <f>AG379</f>
        <v>51094.434999999998</v>
      </c>
      <c r="Z158" s="3">
        <f>AH379</f>
        <v>53805.942999999999</v>
      </c>
      <c r="AA158" s="3">
        <f>AI379</f>
        <v>56406.758000000002</v>
      </c>
      <c r="AB158" s="3">
        <f>AJ379</f>
        <v>58900.826000000001</v>
      </c>
      <c r="AC158" s="3">
        <f>AK379</f>
        <v>60287.247000000003</v>
      </c>
      <c r="AD158" s="3">
        <f>AL379</f>
        <v>62360.968999999997</v>
      </c>
      <c r="AE158" s="3">
        <f>AM379</f>
        <v>63581.68</v>
      </c>
      <c r="AF158" s="3">
        <f>AN379</f>
        <v>50432.226955131409</v>
      </c>
      <c r="AG158" s="3">
        <f>AO379</f>
        <v>48924.623013767647</v>
      </c>
      <c r="AH158" s="3">
        <f>AP379</f>
        <v>49930.41789059517</v>
      </c>
      <c r="AI158" s="3">
        <f>AQ379</f>
        <v>51008.255191383403</v>
      </c>
      <c r="AJ158" s="3">
        <f>AR379</f>
        <v>52917.456273581804</v>
      </c>
      <c r="AK158" s="3">
        <f>AS379</f>
        <v>55065.337428747713</v>
      </c>
      <c r="AL158" s="3">
        <f>AT379</f>
        <v>57507.153422280768</v>
      </c>
      <c r="AM158" s="3">
        <f>AU379</f>
        <v>60002.382562758779</v>
      </c>
      <c r="AN158" s="3">
        <f>AV379</f>
        <v>62638.440876297951</v>
      </c>
      <c r="AO158" s="3">
        <f>AW379</f>
        <v>65156.844236480109</v>
      </c>
      <c r="AP158" s="3">
        <f>AX379</f>
        <v>67086.076738571894</v>
      </c>
      <c r="AQ158" s="3">
        <f>AY379</f>
        <v>67502.504174945134</v>
      </c>
      <c r="AR158" s="3">
        <f>AZ379</f>
        <v>66595.354177169342</v>
      </c>
      <c r="AS158" s="3">
        <f>BA379</f>
        <v>63993.451128862231</v>
      </c>
      <c r="AT158" s="3">
        <f>BB379</f>
        <v>59491.224020556423</v>
      </c>
      <c r="AU158" s="3">
        <f>BC379</f>
        <v>53196.371400343793</v>
      </c>
      <c r="AV158" s="3">
        <f>BD379</f>
        <v>45610.152130072878</v>
      </c>
      <c r="AW158" s="3">
        <f>BE379</f>
        <v>37519.625330803327</v>
      </c>
      <c r="AX158" s="3">
        <f>BF379</f>
        <v>29746.53978581071</v>
      </c>
      <c r="AY158" s="3">
        <f>BG379</f>
        <v>22902.180684742769</v>
      </c>
      <c r="AZ158" s="3">
        <f>BH379</f>
        <v>17228.7542308636</v>
      </c>
      <c r="BA158" s="3">
        <f>BI379</f>
        <v>12779.769450169881</v>
      </c>
      <c r="BB158" s="3">
        <f>BJ379</f>
        <v>9436.8038644694643</v>
      </c>
      <c r="BC158" s="3">
        <f>BK379</f>
        <v>7005.6075564234643</v>
      </c>
      <c r="BD158" s="3">
        <f>BL379</f>
        <v>5278.6970848421624</v>
      </c>
      <c r="BE158" s="3">
        <f>BM379</f>
        <v>4073.8126124467708</v>
      </c>
      <c r="BF158" s="3">
        <f>BN379</f>
        <v>4198.9916484322694</v>
      </c>
      <c r="BG158" s="3">
        <f>BO379</f>
        <v>4325.0304502611189</v>
      </c>
      <c r="BH158" s="3">
        <f>BP379</f>
        <v>4451.6966561902627</v>
      </c>
      <c r="BI158" s="3">
        <f>BQ379</f>
        <v>4583.9175741474937</v>
      </c>
      <c r="BJ158" s="3">
        <f>BR379</f>
        <v>4722.7064665348908</v>
      </c>
      <c r="BK158" s="3">
        <f>BS379</f>
        <v>4837.031605080655</v>
      </c>
      <c r="BL158" s="3">
        <f>BT379</f>
        <v>4943.2354927937668</v>
      </c>
      <c r="BM158" s="3">
        <f>BU379</f>
        <v>5044.0383195058103</v>
      </c>
      <c r="BN158" s="3">
        <f>BV379</f>
        <v>5137.3607068137017</v>
      </c>
      <c r="BO158" s="3">
        <f>BW379</f>
        <v>5224.3817980158474</v>
      </c>
      <c r="BP158" s="3">
        <f>BX379</f>
        <v>5302.2564497506391</v>
      </c>
      <c r="BQ158" s="3">
        <f>BY379</f>
        <v>5379.9372787977109</v>
      </c>
      <c r="BR158" s="3">
        <f>BZ379</f>
        <v>5457.0137086589712</v>
      </c>
      <c r="BS158" s="3">
        <f>CA379</f>
        <v>5533.8284645863587</v>
      </c>
      <c r="BT158" s="3">
        <f>CB379</f>
        <v>5609.9799391614069</v>
      </c>
      <c r="BU158" s="3">
        <f>CC379</f>
        <v>5686.587910807918</v>
      </c>
      <c r="BV158" s="3">
        <f>CD379</f>
        <v>5762.3593183840539</v>
      </c>
      <c r="BW158" s="3">
        <f>CE379</f>
        <v>5837.4906716992591</v>
      </c>
      <c r="BX158" s="3">
        <f>CF379</f>
        <v>5911.4320206492102</v>
      </c>
      <c r="BY158" s="3">
        <f>CG379</f>
        <v>5984.0102600070059</v>
      </c>
      <c r="BZ158" s="3">
        <f>CH379</f>
        <v>6055.0590261174184</v>
      </c>
      <c r="CA158" s="3">
        <f>CI379</f>
        <v>6124.4180848176557</v>
      </c>
      <c r="CB158" s="3">
        <f>CJ379</f>
        <v>6191.9052191201099</v>
      </c>
      <c r="CC158" s="3">
        <f>CK379</f>
        <v>6257.37253929502</v>
      </c>
      <c r="CD158" s="3">
        <f>CL379</f>
        <v>6320.7238405323669</v>
      </c>
    </row>
    <row r="159" spans="2:82" s="3" customFormat="1" x14ac:dyDescent="0.2">
      <c r="E159" s="3" t="s">
        <v>91</v>
      </c>
      <c r="F159" s="3" t="s">
        <v>7</v>
      </c>
      <c r="AF159" s="3">
        <f>AN380</f>
        <v>-11007.39220987017</v>
      </c>
      <c r="AG159" s="3">
        <f>AO380</f>
        <v>-10941.025686921899</v>
      </c>
      <c r="AH159" s="3">
        <f>AP380</f>
        <v>-10874.06769175027</v>
      </c>
      <c r="AI159" s="3">
        <f>AQ380</f>
        <v>-10806.66608503769</v>
      </c>
      <c r="AJ159" s="3">
        <f>AR380</f>
        <v>-10734.502553859509</v>
      </c>
      <c r="AK159" s="3">
        <f>AS380</f>
        <v>-10671.46933012483</v>
      </c>
      <c r="AL159" s="3">
        <f>AT380</f>
        <v>-10618.394685519101</v>
      </c>
      <c r="AM159" s="3">
        <f>AU380</f>
        <v>-10573.307675012609</v>
      </c>
      <c r="AN159" s="3">
        <f>AV380</f>
        <v>-10537.24067464958</v>
      </c>
      <c r="AO159" s="3">
        <f>AW380</f>
        <v>-10503.123450417221</v>
      </c>
      <c r="AP159" s="3">
        <f>AX380</f>
        <v>-10473.92760792843</v>
      </c>
      <c r="AQ159" s="3">
        <f>AY380</f>
        <v>-10453.269761709849</v>
      </c>
      <c r="AR159" s="3">
        <f>AZ380</f>
        <v>-10443.25397455788</v>
      </c>
      <c r="AS159" s="3">
        <f>BA380</f>
        <v>-10445.23117657542</v>
      </c>
      <c r="AT159" s="3">
        <f>BB380</f>
        <v>-10459.22961515066</v>
      </c>
      <c r="AU159" s="3">
        <f>BC380</f>
        <v>-10483.89560327415</v>
      </c>
      <c r="AV159" s="3">
        <f>BD380</f>
        <v>-10516.570334071699</v>
      </c>
      <c r="AW159" s="3">
        <f>BE380</f>
        <v>-10553.46343887154</v>
      </c>
      <c r="AX159" s="3">
        <f>BF380</f>
        <v>-10589.889181865279</v>
      </c>
      <c r="AY159" s="3">
        <f>BG380</f>
        <v>-10620.52993705275</v>
      </c>
      <c r="AZ159" s="3">
        <f>BH380</f>
        <v>-10641.11060786746</v>
      </c>
      <c r="BA159" s="3">
        <f>BI380</f>
        <v>-10647.523371467591</v>
      </c>
      <c r="BB159" s="3">
        <f>BJ380</f>
        <v>-10637.77385281328</v>
      </c>
      <c r="BC159" s="3">
        <f>BK380</f>
        <v>-10608.77638567441</v>
      </c>
      <c r="BD159" s="3">
        <f>BL380</f>
        <v>-10556.709843183429</v>
      </c>
      <c r="BE159" s="3">
        <f>BM380</f>
        <v>-10477.668208454401</v>
      </c>
      <c r="BF159" s="3">
        <f>BN380</f>
        <v>-10374.18804311155</v>
      </c>
      <c r="BG159" s="3">
        <f>BO380</f>
        <v>-10257.39544745035</v>
      </c>
      <c r="BH159" s="3">
        <f>BP380</f>
        <v>-10119.26597499241</v>
      </c>
      <c r="BI159" s="3">
        <f>BQ380</f>
        <v>-9963.8894175361147</v>
      </c>
      <c r="BJ159" s="3">
        <f>BR380</f>
        <v>-9791.0963683465779</v>
      </c>
      <c r="BK159" s="3">
        <f>BS380</f>
        <v>-9601.8552895311841</v>
      </c>
      <c r="BL159" s="3">
        <f>BT380</f>
        <v>-9397.6964462369506</v>
      </c>
      <c r="BM159" s="3">
        <f>BU380</f>
        <v>-9180.3038099772348</v>
      </c>
      <c r="BN159" s="3">
        <f>BV380</f>
        <v>-8951.5146646475623</v>
      </c>
      <c r="BO159" s="3">
        <f>BW380</f>
        <v>-8713.31183669651</v>
      </c>
      <c r="BP159" s="3">
        <f>BX380</f>
        <v>-8467.8137098732677</v>
      </c>
      <c r="BQ159" s="3">
        <f>BY380</f>
        <v>-8216.0672138131067</v>
      </c>
      <c r="BR159" s="3">
        <f>BZ380</f>
        <v>-7959.1658645905836</v>
      </c>
      <c r="BS159" s="3">
        <f>CA380</f>
        <v>-7698.2769643950132</v>
      </c>
      <c r="BT159" s="3">
        <f>CB380</f>
        <v>-7434.726875358363</v>
      </c>
      <c r="BU159" s="3">
        <f>CC380</f>
        <v>-7170.0985836860054</v>
      </c>
      <c r="BV159" s="3">
        <f>CD380</f>
        <v>-6906.8651769365943</v>
      </c>
      <c r="BW159" s="3">
        <f>CE380</f>
        <v>-6644.6576728601149</v>
      </c>
      <c r="BX159" s="3">
        <f>CF380</f>
        <v>-6384.7753846554342</v>
      </c>
      <c r="BY159" s="3">
        <f>CG380</f>
        <v>-6128.5137909108144</v>
      </c>
      <c r="BZ159" s="3">
        <f>CH380</f>
        <v>-5877.1041989476444</v>
      </c>
      <c r="CA159" s="3">
        <f>CI380</f>
        <v>-5617.8999633505646</v>
      </c>
      <c r="CB159" s="3">
        <f>CJ380</f>
        <v>-5319.0849255274743</v>
      </c>
      <c r="CC159" s="3">
        <f>CK380</f>
        <v>-4979.4749264475249</v>
      </c>
      <c r="CD159" s="3">
        <f>CL380</f>
        <v>-4598.6297406580543</v>
      </c>
    </row>
    <row r="160" spans="2:82" s="3" customFormat="1" x14ac:dyDescent="0.2">
      <c r="E160" s="3" t="s">
        <v>173</v>
      </c>
      <c r="F160" s="3" t="s">
        <v>6</v>
      </c>
      <c r="AF160" s="3">
        <f>AN381</f>
        <v>76.742278649270304</v>
      </c>
      <c r="AG160" s="3">
        <f>AO381</f>
        <v>76.238227758876903</v>
      </c>
      <c r="AH160" s="3">
        <f>AP381</f>
        <v>75.73134100658541</v>
      </c>
      <c r="AI160" s="3">
        <f>AQ381</f>
        <v>75.222569346850207</v>
      </c>
      <c r="AJ160" s="3">
        <f>AR381</f>
        <v>74.683687931454685</v>
      </c>
      <c r="AK160" s="3">
        <f>AS381</f>
        <v>74.205436515298899</v>
      </c>
      <c r="AL160" s="3">
        <f>AT381</f>
        <v>73.793211651815</v>
      </c>
      <c r="AM160" s="3">
        <f>AU381</f>
        <v>73.434141133896802</v>
      </c>
      <c r="AN160" s="3">
        <f>AV381</f>
        <v>73.135164980329904</v>
      </c>
      <c r="AO160" s="3">
        <f>AW381</f>
        <v>72.849848847803798</v>
      </c>
      <c r="AP160" s="3">
        <f>AX381</f>
        <v>72.597593627945599</v>
      </c>
      <c r="AQ160" s="3">
        <f>AY381</f>
        <v>72.402014415939888</v>
      </c>
      <c r="AR160" s="3">
        <f>AZ381</f>
        <v>72.276844440004297</v>
      </c>
      <c r="AS160" s="3">
        <f>BA381</f>
        <v>72.230896498669011</v>
      </c>
      <c r="AT160" s="3">
        <f>BB381</f>
        <v>72.264342106838583</v>
      </c>
      <c r="AU160" s="3">
        <f>BC381</f>
        <v>72.368324463533497</v>
      </c>
      <c r="AV160" s="3">
        <f>BD381</f>
        <v>72.525460361588799</v>
      </c>
      <c r="AW160" s="3">
        <f>BE381</f>
        <v>72.710974135223992</v>
      </c>
      <c r="AX160" s="3">
        <f>BF381</f>
        <v>72.894240813438088</v>
      </c>
      <c r="AY160" s="3">
        <f>BG381</f>
        <v>73.040507500539604</v>
      </c>
      <c r="AZ160" s="3">
        <f>BH381</f>
        <v>73.12183264258671</v>
      </c>
      <c r="BA160" s="3">
        <f>BI381</f>
        <v>73.111367825708001</v>
      </c>
      <c r="BB160" s="3">
        <f>BJ381</f>
        <v>72.996072479259595</v>
      </c>
      <c r="BC160" s="3">
        <f>BK381</f>
        <v>72.755776655416796</v>
      </c>
      <c r="BD160" s="3">
        <f>BL381</f>
        <v>72.365506168728189</v>
      </c>
      <c r="BE160" s="3">
        <f>BM381</f>
        <v>71.799732681449399</v>
      </c>
      <c r="BF160" s="3">
        <f>BN381</f>
        <v>71.075016989217701</v>
      </c>
      <c r="BG160" s="3">
        <f>BO381</f>
        <v>70.264018498823603</v>
      </c>
      <c r="BH160" s="3">
        <f>BP381</f>
        <v>69.314268247844197</v>
      </c>
      <c r="BI160" s="3">
        <f>BQ381</f>
        <v>68.252447872026707</v>
      </c>
      <c r="BJ160" s="3">
        <f>BR381</f>
        <v>67.077438351262401</v>
      </c>
      <c r="BK160" s="3">
        <f>BS381</f>
        <v>65.795560123206798</v>
      </c>
      <c r="BL160" s="3">
        <f>BT381</f>
        <v>64.416804572692797</v>
      </c>
      <c r="BM160" s="3">
        <f>BU381</f>
        <v>62.952167462255503</v>
      </c>
      <c r="BN160" s="3">
        <f>BV381</f>
        <v>61.413636715069288</v>
      </c>
      <c r="BO160" s="3">
        <f>BW381</f>
        <v>59.814112192519303</v>
      </c>
      <c r="BP160" s="3">
        <f>BX381</f>
        <v>58.167375663011299</v>
      </c>
      <c r="BQ160" s="3">
        <f>BY381</f>
        <v>56.4802585456248</v>
      </c>
      <c r="BR160" s="3">
        <f>BZ381</f>
        <v>54.759848735681601</v>
      </c>
      <c r="BS160" s="3">
        <f>CA381</f>
        <v>53.013627056850012</v>
      </c>
      <c r="BT160" s="3">
        <f>CB381</f>
        <v>51.250258418078502</v>
      </c>
      <c r="BU160" s="3">
        <f>CC381</f>
        <v>49.4883123383498</v>
      </c>
      <c r="BV160" s="3">
        <f>CD381</f>
        <v>47.768649951383708</v>
      </c>
      <c r="BW160" s="3">
        <f>CE381</f>
        <v>46.055689625000007</v>
      </c>
      <c r="BX160" s="3">
        <f>CF381</f>
        <v>44.357919567684696</v>
      </c>
      <c r="BY160" s="3">
        <f>CG381</f>
        <v>42.683802937016587</v>
      </c>
      <c r="BZ160" s="3">
        <f>CH381</f>
        <v>41.041383669795302</v>
      </c>
      <c r="CA160" s="3">
        <f>CI381</f>
        <v>39.348043223371903</v>
      </c>
      <c r="CB160" s="3">
        <f>CJ381</f>
        <v>37.3959316447174</v>
      </c>
      <c r="CC160" s="3">
        <f>CK381</f>
        <v>35.177313009388499</v>
      </c>
      <c r="CD160" s="3">
        <f>CL381</f>
        <v>32.689311393838501</v>
      </c>
    </row>
    <row r="161" spans="3:82" s="3" customFormat="1" x14ac:dyDescent="0.2">
      <c r="D161" s="3" t="s">
        <v>172</v>
      </c>
      <c r="F161" s="3" t="s">
        <v>7</v>
      </c>
      <c r="G161" s="3">
        <v>0</v>
      </c>
      <c r="H161" s="3">
        <v>0</v>
      </c>
      <c r="I161" s="3">
        <v>0</v>
      </c>
      <c r="J161" s="3">
        <v>0</v>
      </c>
      <c r="K161" s="3">
        <v>0</v>
      </c>
      <c r="L161" s="3">
        <v>0</v>
      </c>
      <c r="M161" s="3">
        <v>0</v>
      </c>
      <c r="N161" s="3">
        <v>0</v>
      </c>
      <c r="O161" s="3">
        <v>0</v>
      </c>
      <c r="P161" s="3">
        <v>0</v>
      </c>
      <c r="Q161" s="14">
        <v>0</v>
      </c>
      <c r="R161" s="16">
        <v>-441.01</v>
      </c>
      <c r="S161" s="16">
        <v>-903.35799999999995</v>
      </c>
      <c r="T161" s="17">
        <v>-1285.7270000000001</v>
      </c>
      <c r="U161" s="17">
        <v>-1543.769</v>
      </c>
      <c r="V161" s="17">
        <v>-2020.1089999999999</v>
      </c>
      <c r="W161" s="17">
        <v>-2477.38</v>
      </c>
      <c r="X161" s="17">
        <v>-2947.0880000000002</v>
      </c>
      <c r="Y161" s="17">
        <v>-3430.53</v>
      </c>
      <c r="Z161" s="17">
        <v>-3906.9589999999998</v>
      </c>
      <c r="AA161" s="17">
        <v>-3163.4090000000001</v>
      </c>
      <c r="AB161" s="17">
        <v>-6318.2889999999998</v>
      </c>
      <c r="AC161" s="17">
        <v>-8954.6049999999996</v>
      </c>
      <c r="AD161" s="17">
        <v>-7178.0330000000004</v>
      </c>
      <c r="AE161" s="17">
        <v>-9393.875</v>
      </c>
      <c r="AF161" s="15"/>
    </row>
    <row r="162" spans="3:82" s="4" customFormat="1" x14ac:dyDescent="0.2">
      <c r="C162" s="4" t="s">
        <v>93</v>
      </c>
      <c r="G162" s="4">
        <f>SUM(G163:G169)</f>
        <v>19911.946</v>
      </c>
      <c r="H162" s="4">
        <f t="shared" ref="H162:BS162" si="115">SUM(H163:H169)</f>
        <v>20152.966</v>
      </c>
      <c r="I162" s="4">
        <f t="shared" si="115"/>
        <v>26094.548999999999</v>
      </c>
      <c r="J162" s="4">
        <f t="shared" si="115"/>
        <v>20972.307000000001</v>
      </c>
      <c r="K162" s="4">
        <f t="shared" si="115"/>
        <v>26104.366999999998</v>
      </c>
      <c r="L162" s="4">
        <f t="shared" si="115"/>
        <v>20253.254000000001</v>
      </c>
      <c r="M162" s="4">
        <f t="shared" si="115"/>
        <v>22881.858</v>
      </c>
      <c r="N162" s="4">
        <f t="shared" si="115"/>
        <v>19280.191999999999</v>
      </c>
      <c r="O162" s="4">
        <f t="shared" si="115"/>
        <v>18841.102999999999</v>
      </c>
      <c r="P162" s="4">
        <f t="shared" si="115"/>
        <v>13918.145</v>
      </c>
      <c r="Q162" s="4">
        <f t="shared" si="115"/>
        <v>3038.451</v>
      </c>
      <c r="R162" s="4">
        <f t="shared" si="115"/>
        <v>11452.724999999999</v>
      </c>
      <c r="S162" s="4">
        <f t="shared" si="115"/>
        <v>3251.2539999999999</v>
      </c>
      <c r="T162" s="4">
        <f t="shared" si="115"/>
        <v>3508.5429999999997</v>
      </c>
      <c r="U162" s="4">
        <f t="shared" si="115"/>
        <v>3076.7849999999999</v>
      </c>
      <c r="V162" s="4">
        <f t="shared" si="115"/>
        <v>3111.3440000000001</v>
      </c>
      <c r="W162" s="4">
        <f t="shared" si="115"/>
        <v>3145.4959999999996</v>
      </c>
      <c r="X162" s="4">
        <f t="shared" si="115"/>
        <v>3375.2089999999998</v>
      </c>
      <c r="Y162" s="4">
        <f t="shared" si="115"/>
        <v>3254.8379999999997</v>
      </c>
      <c r="Z162" s="4">
        <f t="shared" si="115"/>
        <v>3293.0320000000002</v>
      </c>
      <c r="AA162" s="4">
        <f t="shared" si="115"/>
        <v>-362.89799999999997</v>
      </c>
      <c r="AB162" s="4">
        <f t="shared" si="115"/>
        <v>2731.058</v>
      </c>
      <c r="AC162" s="4">
        <f t="shared" si="115"/>
        <v>1995.6130000000001</v>
      </c>
      <c r="AD162" s="4">
        <f t="shared" si="115"/>
        <v>1944.2670000000001</v>
      </c>
      <c r="AE162" s="4">
        <f t="shared" si="115"/>
        <v>1497.3330000000001</v>
      </c>
      <c r="AF162" s="4">
        <f t="shared" si="115"/>
        <v>4927.2850093232346</v>
      </c>
      <c r="AG162" s="4">
        <f t="shared" si="115"/>
        <v>4887.4820028599106</v>
      </c>
      <c r="AH162" s="4">
        <f t="shared" si="115"/>
        <v>4848.1676025872284</v>
      </c>
      <c r="AI162" s="4">
        <f t="shared" si="115"/>
        <v>4940.6286045591851</v>
      </c>
      <c r="AJ162" s="4">
        <f t="shared" si="115"/>
        <v>5216.284141409682</v>
      </c>
      <c r="AK162" s="4">
        <f t="shared" si="115"/>
        <v>5487.81333153374</v>
      </c>
      <c r="AL162" s="4">
        <f t="shared" si="115"/>
        <v>5916.8560865899972</v>
      </c>
      <c r="AM162" s="4">
        <f t="shared" si="115"/>
        <v>6016.4588344089398</v>
      </c>
      <c r="AN162" s="4">
        <f t="shared" si="115"/>
        <v>5843.9900027902149</v>
      </c>
      <c r="AO162" s="4">
        <f t="shared" si="115"/>
        <v>5565.5316831670743</v>
      </c>
      <c r="AP162" s="4">
        <f t="shared" si="115"/>
        <v>5151.8734193055252</v>
      </c>
      <c r="AQ162" s="4">
        <f t="shared" si="115"/>
        <v>4658.2504961199902</v>
      </c>
      <c r="AR162" s="4">
        <f t="shared" si="115"/>
        <v>4121.2929348310472</v>
      </c>
      <c r="AS162" s="4">
        <f t="shared" si="115"/>
        <v>3587.1336089731549</v>
      </c>
      <c r="AT162" s="4">
        <f t="shared" si="115"/>
        <v>3103.164540518565</v>
      </c>
      <c r="AU162" s="4">
        <f t="shared" si="115"/>
        <v>2715.5749674848726</v>
      </c>
      <c r="AV162" s="4">
        <f t="shared" si="115"/>
        <v>2467.1548006400644</v>
      </c>
      <c r="AW162" s="4">
        <f t="shared" si="115"/>
        <v>2395.2106515376504</v>
      </c>
      <c r="AX162" s="4">
        <f t="shared" si="115"/>
        <v>2529.4094772934973</v>
      </c>
      <c r="AY162" s="4">
        <f t="shared" si="115"/>
        <v>2842.5925293574414</v>
      </c>
      <c r="AZ162" s="4">
        <f t="shared" si="115"/>
        <v>3331.7617051207926</v>
      </c>
      <c r="BA162" s="4">
        <f t="shared" si="115"/>
        <v>3912.0806243320239</v>
      </c>
      <c r="BB162" s="4">
        <f t="shared" si="115"/>
        <v>4622.859750348226</v>
      </c>
      <c r="BC162" s="4">
        <f t="shared" si="115"/>
        <v>5434.2043908489304</v>
      </c>
      <c r="BD162" s="4">
        <f t="shared" si="115"/>
        <v>6304.9154037129256</v>
      </c>
      <c r="BE162" s="4">
        <f t="shared" si="115"/>
        <v>7127.9205607741824</v>
      </c>
      <c r="BF162" s="4">
        <f t="shared" si="115"/>
        <v>8820.9582961147753</v>
      </c>
      <c r="BG162" s="4">
        <f t="shared" si="115"/>
        <v>9411.8936275401484</v>
      </c>
      <c r="BH162" s="4">
        <f t="shared" si="115"/>
        <v>10206.219284671888</v>
      </c>
      <c r="BI162" s="4">
        <f t="shared" si="115"/>
        <v>11009.191280565641</v>
      </c>
      <c r="BJ162" s="4">
        <f t="shared" si="115"/>
        <v>11732.966678601197</v>
      </c>
      <c r="BK162" s="4">
        <f t="shared" si="115"/>
        <v>12362.375112379254</v>
      </c>
      <c r="BL162" s="4">
        <f t="shared" si="115"/>
        <v>12889.506144110057</v>
      </c>
      <c r="BM162" s="4">
        <f t="shared" si="115"/>
        <v>13301.891105232013</v>
      </c>
      <c r="BN162" s="4">
        <f t="shared" si="115"/>
        <v>13581.489453679422</v>
      </c>
      <c r="BO162" s="4">
        <f t="shared" si="115"/>
        <v>13732.392810622086</v>
      </c>
      <c r="BP162" s="4">
        <f t="shared" si="115"/>
        <v>13828.741488705353</v>
      </c>
      <c r="BQ162" s="4">
        <f t="shared" si="115"/>
        <v>13853.513160011595</v>
      </c>
      <c r="BR162" s="4">
        <f t="shared" si="115"/>
        <v>13769.788666325096</v>
      </c>
      <c r="BS162" s="4">
        <f t="shared" si="115"/>
        <v>13634.630127623022</v>
      </c>
      <c r="BT162" s="4">
        <f t="shared" ref="BT162:CD162" si="116">SUM(BT163:BT169)</f>
        <v>13122.953811556288</v>
      </c>
      <c r="BU162" s="4">
        <f t="shared" si="116"/>
        <v>11562.572625784085</v>
      </c>
      <c r="BV162" s="4">
        <f t="shared" si="116"/>
        <v>11321.388824803609</v>
      </c>
      <c r="BW162" s="4">
        <f t="shared" si="116"/>
        <v>11051.055227984196</v>
      </c>
      <c r="BX162" s="4">
        <f t="shared" si="116"/>
        <v>10755.008331337871</v>
      </c>
      <c r="BY162" s="4">
        <f t="shared" si="116"/>
        <v>10438.332684978124</v>
      </c>
      <c r="BZ162" s="4">
        <f t="shared" si="116"/>
        <v>10653.69219650844</v>
      </c>
      <c r="CA162" s="4">
        <f t="shared" si="116"/>
        <v>12223.177233049675</v>
      </c>
      <c r="CB162" s="4">
        <f t="shared" si="116"/>
        <v>13878.298959434047</v>
      </c>
      <c r="CC162" s="4">
        <f t="shared" si="116"/>
        <v>15569.033471699617</v>
      </c>
      <c r="CD162" s="4">
        <f t="shared" si="116"/>
        <v>14409.985372894984</v>
      </c>
    </row>
    <row r="163" spans="3:82" s="3" customFormat="1" x14ac:dyDescent="0.2">
      <c r="D163" s="3" t="s">
        <v>174</v>
      </c>
      <c r="F163" s="3" t="s">
        <v>7</v>
      </c>
      <c r="G163" s="3">
        <f t="shared" ref="G163" si="117">O382</f>
        <v>6958.0140000000001</v>
      </c>
      <c r="H163" s="3">
        <f>P382</f>
        <v>6958.0140000000001</v>
      </c>
      <c r="I163" s="3">
        <f>Q382</f>
        <v>6958.0140000000001</v>
      </c>
      <c r="J163" s="3">
        <f>R382</f>
        <v>6957.317</v>
      </c>
      <c r="K163" s="3">
        <f>S382</f>
        <v>6956.1949999999997</v>
      </c>
      <c r="L163" s="3">
        <f>T382</f>
        <v>6953.7550000000001</v>
      </c>
      <c r="M163" s="3">
        <f>U382</f>
        <v>6953.567</v>
      </c>
      <c r="N163" s="3">
        <f>V382</f>
        <v>6958.8069999999998</v>
      </c>
      <c r="O163" s="3">
        <f>W382</f>
        <v>6959.6009999999997</v>
      </c>
      <c r="P163" s="3">
        <f>X382</f>
        <v>417.49799999999999</v>
      </c>
      <c r="Q163" s="3">
        <f>Y382</f>
        <v>414.6</v>
      </c>
      <c r="R163" s="3">
        <f>Z382</f>
        <v>6914.9939999999997</v>
      </c>
      <c r="S163" s="3">
        <f>AA382</f>
        <v>330.49</v>
      </c>
      <c r="T163" s="3">
        <f>AB382</f>
        <v>287.97199999999998</v>
      </c>
      <c r="U163" s="3">
        <f>AC382</f>
        <v>246.53899999999999</v>
      </c>
      <c r="V163" s="3">
        <f>AD382</f>
        <v>204.37299999999999</v>
      </c>
      <c r="W163" s="3">
        <f>AE382</f>
        <v>203.65299999999999</v>
      </c>
      <c r="X163" s="3">
        <f>AF382</f>
        <v>278.17200000000003</v>
      </c>
      <c r="Y163" s="3">
        <f>AG382</f>
        <v>278.60599999999999</v>
      </c>
      <c r="Z163" s="3">
        <f>AH382</f>
        <v>493.57</v>
      </c>
      <c r="AA163" s="3">
        <f>AI382</f>
        <v>396.42500000000001</v>
      </c>
      <c r="AB163" s="3">
        <f>AJ382</f>
        <v>533.36800000000005</v>
      </c>
      <c r="AC163" s="3">
        <f>AK382</f>
        <v>169.512</v>
      </c>
      <c r="AD163" s="3">
        <f>AL382</f>
        <v>61.962000000000003</v>
      </c>
      <c r="AE163" s="3">
        <f>AM382</f>
        <v>6.2290000000000001</v>
      </c>
      <c r="AF163" s="3">
        <f>AN382</f>
        <v>26.22411437286533</v>
      </c>
      <c r="AG163" s="3">
        <f>AO382</f>
        <v>26.990719783212299</v>
      </c>
      <c r="AH163" s="3">
        <f>AP382</f>
        <v>27.82358563180296</v>
      </c>
      <c r="AI163" s="3">
        <f>AQ382</f>
        <v>28.720065561357799</v>
      </c>
      <c r="AJ163" s="3">
        <f>AR382</f>
        <v>29.69594266674687</v>
      </c>
      <c r="AK163" s="3">
        <f>AS382</f>
        <v>30.78123788941237</v>
      </c>
      <c r="AL163" s="3">
        <f>AT382</f>
        <v>31.976260358527689</v>
      </c>
      <c r="AM163" s="3">
        <f>AU382</f>
        <v>33.295681093604053</v>
      </c>
      <c r="AN163" s="3">
        <f>AV382</f>
        <v>34.77450298646712</v>
      </c>
      <c r="AO163" s="3">
        <f>AW382</f>
        <v>36.260519570071537</v>
      </c>
      <c r="AP163" s="3">
        <f>AX382</f>
        <v>37.711475556719833</v>
      </c>
      <c r="AQ163" s="3">
        <f>AY382</f>
        <v>39.090846332101293</v>
      </c>
      <c r="AR163" s="3">
        <f>AZ382</f>
        <v>40.373378146902247</v>
      </c>
      <c r="AS163" s="3">
        <f>BA382</f>
        <v>41.541556982352667</v>
      </c>
      <c r="AT163" s="3">
        <f>BB382</f>
        <v>42.588750749107618</v>
      </c>
      <c r="AU163" s="3">
        <f>BC382</f>
        <v>43.52084598561175</v>
      </c>
      <c r="AV163" s="3">
        <f>BD382</f>
        <v>44.35738304438599</v>
      </c>
      <c r="AW163" s="3">
        <f>BE382</f>
        <v>45.132132002164731</v>
      </c>
      <c r="AX163" s="3">
        <f>BF382</f>
        <v>45.892899721930029</v>
      </c>
      <c r="AY163" s="3">
        <f>BG382</f>
        <v>46.70030387827385</v>
      </c>
      <c r="AZ163" s="3">
        <f>BH382</f>
        <v>47.610613877316183</v>
      </c>
      <c r="BA163" s="3">
        <f>BI382</f>
        <v>48.68230268780534</v>
      </c>
      <c r="BB163" s="3">
        <f>BJ382</f>
        <v>49.948773211506833</v>
      </c>
      <c r="BC163" s="3">
        <f>BK382</f>
        <v>51.457264333906132</v>
      </c>
      <c r="BD163" s="3">
        <f>BL382</f>
        <v>53.246238094531229</v>
      </c>
      <c r="BE163" s="3">
        <f>BM382</f>
        <v>55.340243062384893</v>
      </c>
      <c r="BF163" s="3">
        <f>BN382</f>
        <v>57.725334364694483</v>
      </c>
      <c r="BG163" s="3">
        <f>BO382</f>
        <v>60.812014731517131</v>
      </c>
      <c r="BH163" s="3">
        <f>BP382</f>
        <v>64.825433737586565</v>
      </c>
      <c r="BI163" s="3">
        <f>BQ382</f>
        <v>69.089064808001041</v>
      </c>
      <c r="BJ163" s="3">
        <f>BR382</f>
        <v>73.596384053650411</v>
      </c>
      <c r="BK163" s="3">
        <f>BS382</f>
        <v>78.334972203766171</v>
      </c>
      <c r="BL163" s="3">
        <f>BT382</f>
        <v>83.288981203174231</v>
      </c>
      <c r="BM163" s="3">
        <f>BU382</f>
        <v>88.440518831385475</v>
      </c>
      <c r="BN163" s="3">
        <f>BV382</f>
        <v>93.768760903735725</v>
      </c>
      <c r="BO163" s="3">
        <f>BW382</f>
        <v>99.251533317824567</v>
      </c>
      <c r="BP163" s="3">
        <f>BX382</f>
        <v>104.8671795170731</v>
      </c>
      <c r="BQ163" s="3">
        <f>BY382</f>
        <v>110.61260705176031</v>
      </c>
      <c r="BR163" s="3">
        <f>BZ382</f>
        <v>116.486795524652</v>
      </c>
      <c r="BS163" s="3">
        <f>CA382</f>
        <v>122.4899659922054</v>
      </c>
      <c r="BT163" s="3">
        <f>CB382</f>
        <v>128.62156135284701</v>
      </c>
      <c r="BU163" s="3">
        <f>CC382</f>
        <v>134.89474977509931</v>
      </c>
      <c r="BV163" s="3">
        <f>CD382</f>
        <v>141.34216227337731</v>
      </c>
      <c r="BW163" s="3">
        <f>CE382</f>
        <v>147.93942162189981</v>
      </c>
      <c r="BX163" s="3">
        <f>CF382</f>
        <v>154.6959230760701</v>
      </c>
      <c r="BY163" s="3">
        <f>CG382</f>
        <v>161.6217302770761</v>
      </c>
      <c r="BZ163" s="3">
        <f>CH382</f>
        <v>168.7284856360325</v>
      </c>
      <c r="CA163" s="3">
        <f>CI382</f>
        <v>176.1018444906434</v>
      </c>
      <c r="CB163" s="3">
        <f>CJ382</f>
        <v>183.97879767686271</v>
      </c>
      <c r="CC163" s="3">
        <f>CK382</f>
        <v>192.4802691060554</v>
      </c>
      <c r="CD163" s="3">
        <f>CL382</f>
        <v>201.7250232406256</v>
      </c>
    </row>
    <row r="164" spans="3:82" s="3" customFormat="1" x14ac:dyDescent="0.2">
      <c r="D164" s="3" t="s">
        <v>97</v>
      </c>
    </row>
    <row r="165" spans="3:82" s="3" customFormat="1" x14ac:dyDescent="0.2">
      <c r="E165" s="3" t="s">
        <v>98</v>
      </c>
      <c r="F165" s="3" t="s">
        <v>7</v>
      </c>
      <c r="G165" s="3">
        <f>O383</f>
        <v>12953.932000000001</v>
      </c>
      <c r="H165" s="3">
        <f>P383</f>
        <v>13194.951999999999</v>
      </c>
      <c r="I165" s="3">
        <f>Q383</f>
        <v>19136.535</v>
      </c>
      <c r="J165" s="3">
        <f>R383</f>
        <v>14014.99</v>
      </c>
      <c r="K165" s="3">
        <f>S383</f>
        <v>19148.171999999999</v>
      </c>
      <c r="L165" s="3">
        <f>T383</f>
        <v>13299.499</v>
      </c>
      <c r="M165" s="3">
        <f>U383</f>
        <v>15928.290999999999</v>
      </c>
      <c r="N165" s="3">
        <f>V383</f>
        <v>12321.385</v>
      </c>
      <c r="O165" s="3">
        <f>W383</f>
        <v>11881.502</v>
      </c>
      <c r="P165" s="3">
        <f>X383</f>
        <v>13500.647000000001</v>
      </c>
      <c r="Q165" s="3">
        <f>Y383</f>
        <v>2623.8510000000001</v>
      </c>
      <c r="R165" s="3">
        <f>Z383</f>
        <v>4537.7309999999998</v>
      </c>
      <c r="S165" s="3">
        <f>AA383</f>
        <v>2920.7640000000001</v>
      </c>
      <c r="T165" s="3">
        <f>AB383</f>
        <v>3220.5709999999999</v>
      </c>
      <c r="U165" s="3">
        <f>AC383</f>
        <v>2830.2460000000001</v>
      </c>
      <c r="V165" s="3">
        <f>AD383</f>
        <v>2906.971</v>
      </c>
      <c r="W165" s="3">
        <f>AE383</f>
        <v>2941.8429999999998</v>
      </c>
      <c r="X165" s="3">
        <f>AF383</f>
        <v>3097.0369999999998</v>
      </c>
      <c r="Y165" s="3">
        <f>AG383</f>
        <v>2976.232</v>
      </c>
      <c r="Z165" s="3">
        <f>AH383</f>
        <v>2799.462</v>
      </c>
      <c r="AA165" s="3">
        <f>AI383</f>
        <v>-759.32299999999998</v>
      </c>
      <c r="AB165" s="3">
        <f>AJ383</f>
        <v>2197.69</v>
      </c>
      <c r="AC165" s="3">
        <f>AK383</f>
        <v>1826.1010000000001</v>
      </c>
      <c r="AD165" s="3">
        <f>AL383</f>
        <v>1882.3050000000001</v>
      </c>
      <c r="AE165" s="3">
        <f>AM383</f>
        <v>1491.104</v>
      </c>
      <c r="AF165" s="3">
        <f>AN383</f>
        <v>4579.833903890416</v>
      </c>
      <c r="AG165" s="3">
        <f>AO383</f>
        <v>4548.071972169324</v>
      </c>
      <c r="AH165" s="3">
        <f>AP383</f>
        <v>4516.1931459631714</v>
      </c>
      <c r="AI165" s="3">
        <f>AQ383</f>
        <v>4613.7140696066881</v>
      </c>
      <c r="AJ165" s="3">
        <f>AR383</f>
        <v>4890.0822543949271</v>
      </c>
      <c r="AK165" s="3">
        <f>AS383</f>
        <v>5161.0695785664993</v>
      </c>
      <c r="AL165" s="3">
        <f>AT383</f>
        <v>5589.9388532403973</v>
      </c>
      <c r="AM165" s="3">
        <f>AU383</f>
        <v>5679.0280046795851</v>
      </c>
      <c r="AN165" s="3">
        <f>AV383</f>
        <v>5510.1910932011106</v>
      </c>
      <c r="AO165" s="3">
        <f>AW383</f>
        <v>5237.119971674977</v>
      </c>
      <c r="AP165" s="3">
        <f>AX383</f>
        <v>4831.1024308395499</v>
      </c>
      <c r="AQ165" s="3">
        <f>AY383</f>
        <v>4345.9734411814588</v>
      </c>
      <c r="AR165" s="3">
        <f>AZ383</f>
        <v>3817.32403681713</v>
      </c>
      <c r="AS165" s="3">
        <f>BA383</f>
        <v>3290.4225114689871</v>
      </c>
      <c r="AT165" s="3">
        <f>BB383</f>
        <v>2811.860788518662</v>
      </c>
      <c r="AU165" s="3">
        <f>BC383</f>
        <v>2427.1620040957168</v>
      </c>
      <c r="AV165" s="3">
        <f>BD383</f>
        <v>2178.6067776994928</v>
      </c>
      <c r="AW165" s="3">
        <f>BE383</f>
        <v>2103.160977678448</v>
      </c>
      <c r="AX165" s="3">
        <f>BF383</f>
        <v>2230.3294644467951</v>
      </c>
      <c r="AY165" s="3">
        <f>BG383</f>
        <v>2533.8424389083889</v>
      </c>
      <c r="AZ165" s="3">
        <f>BH383</f>
        <v>3011.041603384565</v>
      </c>
      <c r="BA165" s="3">
        <f>BI383</f>
        <v>3578.8887481472548</v>
      </c>
      <c r="BB165" s="3">
        <f>BJ383</f>
        <v>4276.0576179514092</v>
      </c>
      <c r="BC165" s="3">
        <f>BK383</f>
        <v>5073.5854624257527</v>
      </c>
      <c r="BD165" s="3">
        <f>BL383</f>
        <v>5931.3514016169693</v>
      </c>
      <c r="BE165" s="3">
        <f>BM383</f>
        <v>6745.0898210574587</v>
      </c>
      <c r="BF165" s="3">
        <f>BN383</f>
        <v>8422.392806975884</v>
      </c>
      <c r="BG165" s="3">
        <f>BO383</f>
        <v>8979.5699464263325</v>
      </c>
      <c r="BH165" s="3">
        <f>BP383</f>
        <v>9735.9874548717853</v>
      </c>
      <c r="BI165" s="3">
        <f>BQ383</f>
        <v>10502.26226409923</v>
      </c>
      <c r="BJ165" s="3">
        <f>BR383</f>
        <v>11192.365979830311</v>
      </c>
      <c r="BK165" s="3">
        <f>BS383</f>
        <v>11789.60298247912</v>
      </c>
      <c r="BL165" s="3">
        <f>BT383</f>
        <v>12286.063245611431</v>
      </c>
      <c r="BM165" s="3">
        <f>BU383</f>
        <v>12669.4842084474</v>
      </c>
      <c r="BN165" s="3">
        <f>BV383</f>
        <v>12921.851308177889</v>
      </c>
      <c r="BO165" s="3">
        <f>BW383</f>
        <v>13047.077033235621</v>
      </c>
      <c r="BP165" s="3">
        <f>BX383</f>
        <v>13117.144548400151</v>
      </c>
      <c r="BQ165" s="3">
        <f>BY383</f>
        <v>13114.77122006985</v>
      </c>
      <c r="BR165" s="3">
        <f>BZ383</f>
        <v>13002.870792573511</v>
      </c>
      <c r="BS165" s="3">
        <f>CA383</f>
        <v>12838.55724448854</v>
      </c>
      <c r="BT165" s="3">
        <f t="shared" ref="BT165:CD168" si="118">CB383</f>
        <v>12295.701639440829</v>
      </c>
      <c r="BU165" s="3">
        <f t="shared" si="118"/>
        <v>10700.4572540228</v>
      </c>
      <c r="BV165" s="3">
        <f t="shared" si="118"/>
        <v>10425.3395591563</v>
      </c>
      <c r="BW165" s="3">
        <f t="shared" si="118"/>
        <v>10118.927200059001</v>
      </c>
      <c r="BX165" s="3">
        <f t="shared" si="118"/>
        <v>9784.6499229072397</v>
      </c>
      <c r="BY165" s="3">
        <f t="shared" si="118"/>
        <v>9427.5394187167294</v>
      </c>
      <c r="BZ165" s="3">
        <f t="shared" si="118"/>
        <v>9606.6122877759499</v>
      </c>
      <c r="CA165" s="3">
        <f t="shared" si="118"/>
        <v>11159.997810066299</v>
      </c>
      <c r="CB165" s="3">
        <f t="shared" si="118"/>
        <v>12800.2686504912</v>
      </c>
      <c r="CC165" s="3">
        <f t="shared" si="118"/>
        <v>14474.8209502056</v>
      </c>
      <c r="CD165" s="3">
        <f t="shared" si="118"/>
        <v>13316.5012078087</v>
      </c>
    </row>
    <row r="166" spans="3:82" s="3" customFormat="1" x14ac:dyDescent="0.2">
      <c r="E166" s="3" t="s">
        <v>100</v>
      </c>
      <c r="F166" s="3" t="s">
        <v>7</v>
      </c>
      <c r="AF166" s="3">
        <f t="shared" ref="AF166:BS169" si="119">AN384</f>
        <v>163.6299815992144</v>
      </c>
      <c r="AG166" s="3">
        <f t="shared" si="119"/>
        <v>161.65000633474739</v>
      </c>
      <c r="AH166" s="3">
        <f t="shared" si="119"/>
        <v>159.86013063992479</v>
      </c>
      <c r="AI166" s="3">
        <f t="shared" si="119"/>
        <v>159.6446617282771</v>
      </c>
      <c r="AJ166" s="3">
        <f t="shared" si="119"/>
        <v>162.1402928719699</v>
      </c>
      <c r="AK166" s="3">
        <f t="shared" si="119"/>
        <v>164.5815674897101</v>
      </c>
      <c r="AL166" s="3">
        <f t="shared" si="119"/>
        <v>164.97428550068079</v>
      </c>
      <c r="AM166" s="3">
        <f t="shared" si="119"/>
        <v>161.6235367349374</v>
      </c>
      <c r="AN166" s="3">
        <f t="shared" si="119"/>
        <v>158.25550725137401</v>
      </c>
      <c r="AO166" s="3">
        <f t="shared" si="119"/>
        <v>153.47187233988581</v>
      </c>
      <c r="AP166" s="3">
        <f t="shared" si="119"/>
        <v>146.6158838022242</v>
      </c>
      <c r="AQ166" s="3">
        <f t="shared" si="119"/>
        <v>138.5344392559233</v>
      </c>
      <c r="AR166" s="3">
        <f t="shared" si="119"/>
        <v>129.95058148402231</v>
      </c>
      <c r="AS166" s="3">
        <f t="shared" si="119"/>
        <v>121.5680210570458</v>
      </c>
      <c r="AT166" s="3">
        <f t="shared" si="119"/>
        <v>114.1153008230945</v>
      </c>
      <c r="AU166" s="3">
        <f t="shared" si="119"/>
        <v>108.26602748014621</v>
      </c>
      <c r="AV166" s="3">
        <f t="shared" si="119"/>
        <v>104.5944672531938</v>
      </c>
      <c r="AW166" s="3">
        <f t="shared" si="119"/>
        <v>103.5472922651992</v>
      </c>
      <c r="AX166" s="3">
        <f t="shared" si="119"/>
        <v>105.43113311786909</v>
      </c>
      <c r="AY166" s="3">
        <f t="shared" si="119"/>
        <v>109.7690340700714</v>
      </c>
      <c r="AZ166" s="3">
        <f t="shared" si="119"/>
        <v>116.4615528595716</v>
      </c>
      <c r="BA166" s="3">
        <f t="shared" si="119"/>
        <v>124.35699272579041</v>
      </c>
      <c r="BB166" s="3">
        <f t="shared" si="119"/>
        <v>134.03974344302731</v>
      </c>
      <c r="BC166" s="3">
        <f t="shared" si="119"/>
        <v>144.9735009210718</v>
      </c>
      <c r="BD166" s="3">
        <f t="shared" si="119"/>
        <v>156.36685882998449</v>
      </c>
      <c r="BE166" s="3">
        <f t="shared" si="119"/>
        <v>165.90836730390151</v>
      </c>
      <c r="BF166" s="3">
        <f t="shared" si="119"/>
        <v>176.1628669408567</v>
      </c>
      <c r="BG166" s="3">
        <f t="shared" si="119"/>
        <v>196.58315631436969</v>
      </c>
      <c r="BH166" s="3">
        <f t="shared" si="119"/>
        <v>223.1517436738938</v>
      </c>
      <c r="BI166" s="3">
        <f t="shared" si="119"/>
        <v>249.34116051292301</v>
      </c>
      <c r="BJ166" s="3">
        <f t="shared" si="119"/>
        <v>275.82810100510301</v>
      </c>
      <c r="BK166" s="3">
        <f t="shared" si="119"/>
        <v>302.19577860276098</v>
      </c>
      <c r="BL166" s="3">
        <f t="shared" si="119"/>
        <v>328.20681510248897</v>
      </c>
      <c r="BM166" s="3">
        <f t="shared" si="119"/>
        <v>353.561648629248</v>
      </c>
      <c r="BN166" s="3">
        <f t="shared" si="119"/>
        <v>378.09455751317103</v>
      </c>
      <c r="BO166" s="3">
        <f t="shared" si="119"/>
        <v>401.815692162875</v>
      </c>
      <c r="BP166" s="3">
        <f t="shared" si="119"/>
        <v>426.33388565580702</v>
      </c>
      <c r="BQ166" s="3">
        <f t="shared" si="119"/>
        <v>451.86179681504598</v>
      </c>
      <c r="BR166" s="3">
        <f t="shared" si="119"/>
        <v>478.54164781890597</v>
      </c>
      <c r="BS166" s="3">
        <f t="shared" si="119"/>
        <v>506.33406622307689</v>
      </c>
      <c r="BT166" s="3">
        <f t="shared" si="118"/>
        <v>536.39825466836999</v>
      </c>
      <c r="BU166" s="3">
        <f t="shared" si="118"/>
        <v>570.32111996084302</v>
      </c>
      <c r="BV166" s="3">
        <f t="shared" si="118"/>
        <v>603.53383714817005</v>
      </c>
      <c r="BW166" s="3">
        <f t="shared" si="118"/>
        <v>638.75127259040198</v>
      </c>
      <c r="BX166" s="3">
        <f t="shared" si="118"/>
        <v>675.97225808040503</v>
      </c>
      <c r="BY166" s="3">
        <f t="shared" si="118"/>
        <v>715.22899437229262</v>
      </c>
      <c r="BZ166" s="3">
        <f t="shared" si="118"/>
        <v>745.86063314150692</v>
      </c>
      <c r="CA166" s="3">
        <f t="shared" si="118"/>
        <v>752.58343179800772</v>
      </c>
      <c r="CB166" s="3">
        <f t="shared" si="118"/>
        <v>758.65921441749595</v>
      </c>
      <c r="CC166" s="3">
        <f t="shared" si="118"/>
        <v>764.52006674233326</v>
      </c>
      <c r="CD166" s="3">
        <f t="shared" si="118"/>
        <v>762.40135374492615</v>
      </c>
    </row>
    <row r="167" spans="3:82" s="3" customFormat="1" x14ac:dyDescent="0.2">
      <c r="E167" s="3" t="s">
        <v>103</v>
      </c>
      <c r="F167" s="3" t="s">
        <v>7</v>
      </c>
      <c r="AF167" s="3">
        <f t="shared" si="119"/>
        <v>7.3819092235432997</v>
      </c>
      <c r="AG167" s="3">
        <f t="shared" si="119"/>
        <v>7.9143419024171999</v>
      </c>
      <c r="AH167" s="3">
        <f t="shared" si="119"/>
        <v>8.4309091802580998</v>
      </c>
      <c r="AI167" s="3">
        <f t="shared" si="119"/>
        <v>9.065706781571901</v>
      </c>
      <c r="AJ167" s="3">
        <f t="shared" si="119"/>
        <v>9.9254674783399999</v>
      </c>
      <c r="AK167" s="3">
        <f t="shared" si="119"/>
        <v>10.793144885452801</v>
      </c>
      <c r="AL167" s="3">
        <f t="shared" si="119"/>
        <v>11.8216621506467</v>
      </c>
      <c r="AM167" s="3">
        <f t="shared" si="119"/>
        <v>13.180303124020099</v>
      </c>
      <c r="AN167" s="3">
        <f t="shared" si="119"/>
        <v>13.248163313660701</v>
      </c>
      <c r="AO167" s="3">
        <f t="shared" si="119"/>
        <v>13.000707657227499</v>
      </c>
      <c r="AP167" s="3">
        <f t="shared" si="119"/>
        <v>12.4979434775667</v>
      </c>
      <c r="AQ167" s="3">
        <f t="shared" si="119"/>
        <v>11.819482812087699</v>
      </c>
      <c r="AR167" s="3">
        <f t="shared" si="119"/>
        <v>11.016525908809699</v>
      </c>
      <c r="AS167" s="3">
        <f t="shared" si="119"/>
        <v>10.1639323551645</v>
      </c>
      <c r="AT167" s="3">
        <f t="shared" si="119"/>
        <v>9.3484451416171996</v>
      </c>
      <c r="AU167" s="3">
        <f t="shared" si="119"/>
        <v>8.6671617857391006</v>
      </c>
      <c r="AV167" s="3">
        <f t="shared" si="119"/>
        <v>8.2247622942869985</v>
      </c>
      <c r="AW167" s="3">
        <f t="shared" si="119"/>
        <v>8.1283694295170008</v>
      </c>
      <c r="AX167" s="3">
        <f t="shared" si="119"/>
        <v>8.4793328353348993</v>
      </c>
      <c r="AY167" s="3">
        <f t="shared" si="119"/>
        <v>9.2538302998224005</v>
      </c>
      <c r="AZ167" s="3">
        <f t="shared" si="119"/>
        <v>10.4740844516961</v>
      </c>
      <c r="BA167" s="3">
        <f t="shared" si="119"/>
        <v>11.9572854968249</v>
      </c>
      <c r="BB167" s="3">
        <f t="shared" si="119"/>
        <v>13.8041813052194</v>
      </c>
      <c r="BC167" s="3">
        <f t="shared" si="119"/>
        <v>15.9443980363822</v>
      </c>
      <c r="BD167" s="3">
        <f t="shared" si="119"/>
        <v>18.267431318850001</v>
      </c>
      <c r="BE167" s="3">
        <f t="shared" si="119"/>
        <v>20.4838540250325</v>
      </c>
      <c r="BF167" s="3">
        <f t="shared" si="119"/>
        <v>26.175933102498401</v>
      </c>
      <c r="BG167" s="3">
        <f t="shared" si="119"/>
        <v>33.442596350499798</v>
      </c>
      <c r="BH167" s="3">
        <f t="shared" si="119"/>
        <v>34.622456248369403</v>
      </c>
      <c r="BI167" s="3">
        <f t="shared" si="119"/>
        <v>35.704836369618299</v>
      </c>
      <c r="BJ167" s="3">
        <f t="shared" si="119"/>
        <v>36.585326574897799</v>
      </c>
      <c r="BK167" s="3">
        <f t="shared" si="119"/>
        <v>37.248407278816302</v>
      </c>
      <c r="BL167" s="3">
        <f t="shared" si="119"/>
        <v>37.688111921493601</v>
      </c>
      <c r="BM167" s="3">
        <f t="shared" si="119"/>
        <v>37.897109383895597</v>
      </c>
      <c r="BN167" s="3">
        <f t="shared" si="119"/>
        <v>37.880629087337098</v>
      </c>
      <c r="BO167" s="3">
        <f t="shared" si="119"/>
        <v>37.655727468010497</v>
      </c>
      <c r="BP167" s="3">
        <f t="shared" si="119"/>
        <v>37.320338854630499</v>
      </c>
      <c r="BQ167" s="3">
        <f t="shared" si="119"/>
        <v>36.882956153742597</v>
      </c>
      <c r="BR167" s="3">
        <f t="shared" si="119"/>
        <v>36.349274216282588</v>
      </c>
      <c r="BS167" s="3">
        <f t="shared" si="119"/>
        <v>35.719307962218807</v>
      </c>
      <c r="BT167" s="3">
        <f t="shared" si="118"/>
        <v>35.046103488883112</v>
      </c>
      <c r="BU167" s="3">
        <f t="shared" si="118"/>
        <v>34.3890957597769</v>
      </c>
      <c r="BV167" s="3">
        <f t="shared" si="118"/>
        <v>33.547318273452298</v>
      </c>
      <c r="BW167" s="3">
        <f t="shared" si="118"/>
        <v>32.6491883880594</v>
      </c>
      <c r="BX167" s="3">
        <f t="shared" si="118"/>
        <v>31.6987123224072</v>
      </c>
      <c r="BY167" s="3">
        <f t="shared" si="118"/>
        <v>30.7035667480271</v>
      </c>
      <c r="BZ167" s="3">
        <f t="shared" si="118"/>
        <v>31.0491110650755</v>
      </c>
      <c r="CA167" s="3">
        <f t="shared" si="118"/>
        <v>34.916021904841998</v>
      </c>
      <c r="CB167" s="3">
        <f t="shared" si="118"/>
        <v>39.278919074739797</v>
      </c>
      <c r="CC167" s="3">
        <f t="shared" si="118"/>
        <v>44.148255010498403</v>
      </c>
      <c r="CD167" s="3">
        <f t="shared" si="118"/>
        <v>41.3592962294655</v>
      </c>
    </row>
    <row r="168" spans="3:82" s="3" customFormat="1" x14ac:dyDescent="0.2">
      <c r="E168" s="3" t="s">
        <v>104</v>
      </c>
      <c r="F168" s="3" t="s">
        <v>7</v>
      </c>
      <c r="AF168" s="3">
        <f t="shared" si="119"/>
        <v>0</v>
      </c>
      <c r="AG168" s="3">
        <f t="shared" si="119"/>
        <v>0</v>
      </c>
      <c r="AH168" s="3">
        <f t="shared" si="119"/>
        <v>0</v>
      </c>
      <c r="AI168" s="3">
        <f t="shared" si="119"/>
        <v>0</v>
      </c>
      <c r="AJ168" s="3">
        <f t="shared" si="119"/>
        <v>0</v>
      </c>
      <c r="AK168" s="3">
        <f t="shared" si="119"/>
        <v>0</v>
      </c>
      <c r="AL168" s="3">
        <f t="shared" si="119"/>
        <v>0</v>
      </c>
      <c r="AM168" s="3">
        <f t="shared" si="119"/>
        <v>0</v>
      </c>
      <c r="AN168" s="3">
        <f t="shared" si="119"/>
        <v>0</v>
      </c>
      <c r="AO168" s="3">
        <f t="shared" si="119"/>
        <v>0</v>
      </c>
      <c r="AP168" s="3">
        <f t="shared" si="119"/>
        <v>0</v>
      </c>
      <c r="AQ168" s="3">
        <f t="shared" si="119"/>
        <v>0</v>
      </c>
      <c r="AR168" s="3">
        <f t="shared" si="119"/>
        <v>0</v>
      </c>
      <c r="AS168" s="3">
        <f t="shared" si="119"/>
        <v>0</v>
      </c>
      <c r="AT168" s="3">
        <f t="shared" si="119"/>
        <v>0</v>
      </c>
      <c r="AU168" s="3">
        <f t="shared" si="119"/>
        <v>0</v>
      </c>
      <c r="AV168" s="3">
        <f t="shared" si="119"/>
        <v>0</v>
      </c>
      <c r="AW168" s="3">
        <f t="shared" si="119"/>
        <v>0</v>
      </c>
      <c r="AX168" s="3">
        <f t="shared" si="119"/>
        <v>0</v>
      </c>
      <c r="AY168" s="3">
        <f t="shared" si="119"/>
        <v>0</v>
      </c>
      <c r="AZ168" s="3">
        <f t="shared" si="119"/>
        <v>0</v>
      </c>
      <c r="BA168" s="3">
        <f t="shared" si="119"/>
        <v>0</v>
      </c>
      <c r="BB168" s="3">
        <f t="shared" si="119"/>
        <v>0</v>
      </c>
      <c r="BC168" s="3">
        <f t="shared" si="119"/>
        <v>0</v>
      </c>
      <c r="BD168" s="3">
        <f t="shared" si="119"/>
        <v>0</v>
      </c>
      <c r="BE168" s="3">
        <f t="shared" si="119"/>
        <v>0</v>
      </c>
      <c r="BF168" s="3">
        <f t="shared" si="119"/>
        <v>0</v>
      </c>
      <c r="BG168" s="3">
        <f t="shared" si="119"/>
        <v>0</v>
      </c>
      <c r="BH168" s="3">
        <f t="shared" si="119"/>
        <v>0</v>
      </c>
      <c r="BI168" s="3">
        <f t="shared" si="119"/>
        <v>0</v>
      </c>
      <c r="BJ168" s="3">
        <f t="shared" si="119"/>
        <v>0</v>
      </c>
      <c r="BK168" s="3">
        <f t="shared" si="119"/>
        <v>0</v>
      </c>
      <c r="BL168" s="3">
        <f t="shared" si="119"/>
        <v>0</v>
      </c>
      <c r="BM168" s="3">
        <f t="shared" si="119"/>
        <v>0</v>
      </c>
      <c r="BN168" s="3">
        <f t="shared" si="119"/>
        <v>0</v>
      </c>
      <c r="BO168" s="3">
        <f t="shared" si="119"/>
        <v>0</v>
      </c>
      <c r="BP168" s="3">
        <f t="shared" si="119"/>
        <v>0</v>
      </c>
      <c r="BQ168" s="3">
        <f t="shared" si="119"/>
        <v>0</v>
      </c>
      <c r="BR168" s="3">
        <f t="shared" si="119"/>
        <v>0</v>
      </c>
      <c r="BS168" s="3">
        <f t="shared" si="119"/>
        <v>0</v>
      </c>
      <c r="BT168" s="3">
        <f t="shared" si="118"/>
        <v>0</v>
      </c>
      <c r="BU168" s="3">
        <f t="shared" si="118"/>
        <v>0</v>
      </c>
      <c r="BV168" s="3">
        <f t="shared" si="118"/>
        <v>0</v>
      </c>
      <c r="BW168" s="3">
        <f t="shared" si="118"/>
        <v>0</v>
      </c>
      <c r="BX168" s="3">
        <f t="shared" si="118"/>
        <v>0</v>
      </c>
      <c r="BY168" s="3">
        <f t="shared" si="118"/>
        <v>0</v>
      </c>
      <c r="BZ168" s="3">
        <f t="shared" si="118"/>
        <v>0</v>
      </c>
      <c r="CA168" s="3">
        <f t="shared" si="118"/>
        <v>0</v>
      </c>
      <c r="CB168" s="3">
        <f t="shared" si="118"/>
        <v>0</v>
      </c>
      <c r="CC168" s="3">
        <f t="shared" si="118"/>
        <v>0</v>
      </c>
      <c r="CD168" s="3">
        <f t="shared" si="118"/>
        <v>0</v>
      </c>
    </row>
    <row r="169" spans="3:82" s="3" customFormat="1" x14ac:dyDescent="0.2">
      <c r="E169" s="3" t="s">
        <v>105</v>
      </c>
      <c r="F169" s="3" t="s">
        <v>7</v>
      </c>
      <c r="AF169" s="3">
        <f t="shared" si="119"/>
        <v>150.215100237196</v>
      </c>
      <c r="AG169" s="3">
        <f t="shared" si="119"/>
        <v>142.85496267020901</v>
      </c>
      <c r="AH169" s="3">
        <f t="shared" si="119"/>
        <v>135.85983117207101</v>
      </c>
      <c r="AI169" s="3">
        <f t="shared" si="119"/>
        <v>129.48410088129</v>
      </c>
      <c r="AJ169" s="3">
        <f t="shared" si="119"/>
        <v>124.440183997698</v>
      </c>
      <c r="AK169" s="3">
        <f t="shared" si="119"/>
        <v>120.587802702666</v>
      </c>
      <c r="AL169" s="3">
        <f t="shared" si="119"/>
        <v>118.145025339745</v>
      </c>
      <c r="AM169" s="3">
        <f t="shared" si="119"/>
        <v>129.331308776794</v>
      </c>
      <c r="AN169" s="3">
        <f t="shared" si="119"/>
        <v>127.520736037603</v>
      </c>
      <c r="AO169" s="3">
        <f t="shared" si="119"/>
        <v>125.678611924913</v>
      </c>
      <c r="AP169" s="3">
        <f t="shared" si="119"/>
        <v>123.945685629465</v>
      </c>
      <c r="AQ169" s="3">
        <f t="shared" si="119"/>
        <v>122.832286538419</v>
      </c>
      <c r="AR169" s="3">
        <f t="shared" si="119"/>
        <v>122.62841247418299</v>
      </c>
      <c r="AS169" s="3">
        <f t="shared" si="119"/>
        <v>123.437587109605</v>
      </c>
      <c r="AT169" s="3">
        <f t="shared" si="119"/>
        <v>125.251255286084</v>
      </c>
      <c r="AU169" s="3">
        <f t="shared" si="119"/>
        <v>127.958928137659</v>
      </c>
      <c r="AV169" s="3">
        <f t="shared" si="119"/>
        <v>131.37141034870501</v>
      </c>
      <c r="AW169" s="3">
        <f t="shared" si="119"/>
        <v>135.241880162321</v>
      </c>
      <c r="AX169" s="3">
        <f t="shared" si="119"/>
        <v>139.27664717156799</v>
      </c>
      <c r="AY169" s="3">
        <f t="shared" si="119"/>
        <v>143.026922200885</v>
      </c>
      <c r="AZ169" s="3">
        <f t="shared" si="119"/>
        <v>146.17385054764401</v>
      </c>
      <c r="BA169" s="3">
        <f t="shared" si="119"/>
        <v>148.19529527434801</v>
      </c>
      <c r="BB169" s="3">
        <f t="shared" si="119"/>
        <v>149.00943443706399</v>
      </c>
      <c r="BC169" s="3">
        <f t="shared" si="119"/>
        <v>148.24376513181801</v>
      </c>
      <c r="BD169" s="3">
        <f t="shared" si="119"/>
        <v>145.68347385259099</v>
      </c>
      <c r="BE169" s="3">
        <f t="shared" si="119"/>
        <v>141.09827532540601</v>
      </c>
      <c r="BF169" s="3">
        <f t="shared" si="119"/>
        <v>138.50135473084001</v>
      </c>
      <c r="BG169" s="3">
        <f t="shared" si="119"/>
        <v>141.48591371743001</v>
      </c>
      <c r="BH169" s="3">
        <f t="shared" si="119"/>
        <v>147.63219614025201</v>
      </c>
      <c r="BI169" s="3">
        <f t="shared" si="119"/>
        <v>152.79395477586999</v>
      </c>
      <c r="BJ169" s="3">
        <f t="shared" si="119"/>
        <v>154.590887137236</v>
      </c>
      <c r="BK169" s="3">
        <f t="shared" si="119"/>
        <v>154.99297181479</v>
      </c>
      <c r="BL169" s="3">
        <f t="shared" si="119"/>
        <v>154.25899027147</v>
      </c>
      <c r="BM169" s="3">
        <f t="shared" si="119"/>
        <v>152.50761994008499</v>
      </c>
      <c r="BN169" s="3">
        <f t="shared" si="119"/>
        <v>149.89419799728799</v>
      </c>
      <c r="BO169" s="3">
        <f t="shared" si="119"/>
        <v>146.59282443775501</v>
      </c>
      <c r="BP169" s="3">
        <f t="shared" si="119"/>
        <v>143.07553627768999</v>
      </c>
      <c r="BQ169" s="3">
        <f t="shared" si="119"/>
        <v>139.38457992119501</v>
      </c>
      <c r="BR169" s="3">
        <f t="shared" si="119"/>
        <v>135.54015619174501</v>
      </c>
      <c r="BS169" s="3">
        <f>CA387</f>
        <v>131.529542956982</v>
      </c>
      <c r="BT169" s="3">
        <f>CB387</f>
        <v>127.18625260536</v>
      </c>
      <c r="BU169" s="3">
        <f>CC387</f>
        <v>122.510406265565</v>
      </c>
      <c r="BV169" s="3">
        <f>CD387</f>
        <v>117.625947952308</v>
      </c>
      <c r="BW169" s="3">
        <f>CE387</f>
        <v>112.788145324833</v>
      </c>
      <c r="BX169" s="3">
        <f>CF387</f>
        <v>107.99151495175001</v>
      </c>
      <c r="BY169" s="3">
        <f>CG387</f>
        <v>103.238974864</v>
      </c>
      <c r="BZ169" s="3">
        <f>CH387</f>
        <v>101.441678889876</v>
      </c>
      <c r="CA169" s="3">
        <f>CI387</f>
        <v>99.578124789881301</v>
      </c>
      <c r="CB169" s="3">
        <f>CJ387</f>
        <v>96.1133777737504</v>
      </c>
      <c r="CC169" s="3">
        <f>CK387</f>
        <v>93.063930635126894</v>
      </c>
      <c r="CD169" s="3">
        <f>CL387</f>
        <v>87.998491871264704</v>
      </c>
    </row>
    <row r="170" spans="3:82" s="4" customFormat="1" x14ac:dyDescent="0.2">
      <c r="C170" s="4" t="s">
        <v>106</v>
      </c>
      <c r="G170" s="4">
        <f>SUM(G171:G177)</f>
        <v>376.87200000000001</v>
      </c>
      <c r="H170" s="4">
        <f t="shared" ref="H170:BS170" si="120">SUM(H171:H177)</f>
        <v>439.61099999999999</v>
      </c>
      <c r="I170" s="4">
        <f t="shared" si="120"/>
        <v>439.61099999999999</v>
      </c>
      <c r="J170" s="4">
        <f t="shared" si="120"/>
        <v>439.61099999999999</v>
      </c>
      <c r="K170" s="4">
        <f t="shared" si="120"/>
        <v>439.61099999999999</v>
      </c>
      <c r="L170" s="4">
        <f t="shared" si="120"/>
        <v>441.24099999999999</v>
      </c>
      <c r="M170" s="4">
        <f t="shared" si="120"/>
        <v>441.12799999999999</v>
      </c>
      <c r="N170" s="4">
        <f t="shared" si="120"/>
        <v>440.41800000000001</v>
      </c>
      <c r="O170" s="4">
        <f t="shared" si="120"/>
        <v>439.61099999999999</v>
      </c>
      <c r="P170" s="4">
        <f t="shared" si="120"/>
        <v>439.61099999999999</v>
      </c>
      <c r="Q170" s="4">
        <f t="shared" si="120"/>
        <v>439.61099999999999</v>
      </c>
      <c r="R170" s="4">
        <f t="shared" si="120"/>
        <v>439.61099999999999</v>
      </c>
      <c r="S170" s="4">
        <f t="shared" si="120"/>
        <v>439.61099999999999</v>
      </c>
      <c r="T170" s="4">
        <f t="shared" si="120"/>
        <v>125.762</v>
      </c>
      <c r="U170" s="4">
        <f t="shared" si="120"/>
        <v>125.762</v>
      </c>
      <c r="V170" s="4">
        <f t="shared" si="120"/>
        <v>125.762</v>
      </c>
      <c r="W170" s="4">
        <f t="shared" si="120"/>
        <v>125.762</v>
      </c>
      <c r="X170" s="4">
        <f t="shared" si="120"/>
        <v>125.762</v>
      </c>
      <c r="Y170" s="4">
        <f t="shared" si="120"/>
        <v>125.762</v>
      </c>
      <c r="Z170" s="4">
        <f t="shared" si="120"/>
        <v>125.762</v>
      </c>
      <c r="AA170" s="4">
        <f t="shared" si="120"/>
        <v>34.865000000000002</v>
      </c>
      <c r="AB170" s="4">
        <f t="shared" si="120"/>
        <v>34.865000000000002</v>
      </c>
      <c r="AC170" s="4">
        <f t="shared" si="120"/>
        <v>34.865000000000002</v>
      </c>
      <c r="AD170" s="4">
        <f t="shared" si="120"/>
        <v>3.484</v>
      </c>
      <c r="AE170" s="4">
        <f t="shared" si="120"/>
        <v>3.484</v>
      </c>
      <c r="AF170" s="4">
        <f t="shared" si="120"/>
        <v>4031.2926056860188</v>
      </c>
      <c r="AG170" s="4">
        <f t="shared" si="120"/>
        <v>3998.0308614534151</v>
      </c>
      <c r="AH170" s="4">
        <f t="shared" si="120"/>
        <v>3965.0278432963696</v>
      </c>
      <c r="AI170" s="4">
        <f t="shared" si="120"/>
        <v>3967.3821358821833</v>
      </c>
      <c r="AJ170" s="4">
        <f t="shared" si="120"/>
        <v>3890.1401725435503</v>
      </c>
      <c r="AK170" s="4">
        <f t="shared" si="120"/>
        <v>3815.4186073264555</v>
      </c>
      <c r="AL170" s="4">
        <f t="shared" si="120"/>
        <v>4375.7118556870082</v>
      </c>
      <c r="AM170" s="4">
        <f t="shared" si="120"/>
        <v>4830.9480360047655</v>
      </c>
      <c r="AN170" s="4">
        <f t="shared" si="120"/>
        <v>4887.6714945853619</v>
      </c>
      <c r="AO170" s="4">
        <f t="shared" si="120"/>
        <v>4989.4751969463578</v>
      </c>
      <c r="AP170" s="4">
        <f t="shared" si="120"/>
        <v>5149.5158889229224</v>
      </c>
      <c r="AQ170" s="4">
        <f t="shared" si="120"/>
        <v>5348.871369763312</v>
      </c>
      <c r="AR170" s="4">
        <f t="shared" si="120"/>
        <v>5574.1912618754022</v>
      </c>
      <c r="AS170" s="4">
        <f t="shared" si="120"/>
        <v>5807.4777375046679</v>
      </c>
      <c r="AT170" s="4">
        <f t="shared" si="120"/>
        <v>6029.2846567247561</v>
      </c>
      <c r="AU170" s="4">
        <f t="shared" si="120"/>
        <v>6219.567197411292</v>
      </c>
      <c r="AV170" s="4">
        <f t="shared" si="120"/>
        <v>6358.6722119905126</v>
      </c>
      <c r="AW170" s="4">
        <f t="shared" si="120"/>
        <v>6428.3517856663775</v>
      </c>
      <c r="AX170" s="4">
        <f t="shared" si="120"/>
        <v>6412.838531743103</v>
      </c>
      <c r="AY170" s="4">
        <f t="shared" si="120"/>
        <v>6317.7418222982415</v>
      </c>
      <c r="AZ170" s="4">
        <f t="shared" si="120"/>
        <v>6140.6844898835952</v>
      </c>
      <c r="BA170" s="4">
        <f t="shared" si="120"/>
        <v>5913.0849119228951</v>
      </c>
      <c r="BB170" s="4">
        <f t="shared" si="120"/>
        <v>5616.8641991056284</v>
      </c>
      <c r="BC170" s="4">
        <f t="shared" si="120"/>
        <v>5265.9804357580642</v>
      </c>
      <c r="BD170" s="4">
        <f t="shared" si="120"/>
        <v>4884.0605523184558</v>
      </c>
      <c r="BE170" s="4">
        <f t="shared" si="120"/>
        <v>4550.6626110887537</v>
      </c>
      <c r="BF170" s="4">
        <f t="shared" si="120"/>
        <v>4180.8223929201631</v>
      </c>
      <c r="BG170" s="4">
        <f t="shared" si="120"/>
        <v>4444.0343091550585</v>
      </c>
      <c r="BH170" s="4">
        <f t="shared" si="120"/>
        <v>4935.5810407599365</v>
      </c>
      <c r="BI170" s="4">
        <f t="shared" si="120"/>
        <v>5447.5476715073646</v>
      </c>
      <c r="BJ170" s="4">
        <f t="shared" si="120"/>
        <v>5953.4905290356237</v>
      </c>
      <c r="BK170" s="4">
        <f t="shared" si="120"/>
        <v>6448.7820194878723</v>
      </c>
      <c r="BL170" s="4">
        <f t="shared" si="120"/>
        <v>6928.4274105447785</v>
      </c>
      <c r="BM170" s="4">
        <f t="shared" si="120"/>
        <v>7380.324075910351</v>
      </c>
      <c r="BN170" s="4">
        <f t="shared" si="120"/>
        <v>7821.4588334687578</v>
      </c>
      <c r="BO170" s="4">
        <f t="shared" si="120"/>
        <v>8241.8038437937375</v>
      </c>
      <c r="BP170" s="4">
        <f t="shared" si="120"/>
        <v>8644.7702534214604</v>
      </c>
      <c r="BQ170" s="4">
        <f t="shared" si="120"/>
        <v>9022.6521032652927</v>
      </c>
      <c r="BR170" s="4">
        <f t="shared" si="120"/>
        <v>9366.9160878894236</v>
      </c>
      <c r="BS170" s="4">
        <f t="shared" si="120"/>
        <v>9667.4107523841358</v>
      </c>
      <c r="BT170" s="4">
        <f t="shared" ref="BT170:CD170" si="121">SUM(BT171:BT177)</f>
        <v>9929.3663151542842</v>
      </c>
      <c r="BU170" s="4">
        <f t="shared" si="121"/>
        <v>10161.187258923686</v>
      </c>
      <c r="BV170" s="4">
        <f t="shared" si="121"/>
        <v>10306.057005786593</v>
      </c>
      <c r="BW170" s="4">
        <f t="shared" si="121"/>
        <v>10387.739520767796</v>
      </c>
      <c r="BX170" s="4">
        <f t="shared" si="121"/>
        <v>10402.94259179525</v>
      </c>
      <c r="BY170" s="4">
        <f t="shared" si="121"/>
        <v>10351.30548699033</v>
      </c>
      <c r="BZ170" s="4">
        <f t="shared" si="121"/>
        <v>10697.993495565179</v>
      </c>
      <c r="CA170" s="4">
        <f t="shared" si="121"/>
        <v>12182.060135319389</v>
      </c>
      <c r="CB170" s="4">
        <f t="shared" si="121"/>
        <v>13717.300373289467</v>
      </c>
      <c r="CC170" s="4">
        <f t="shared" si="121"/>
        <v>15253.214587727452</v>
      </c>
      <c r="CD170" s="4">
        <f t="shared" si="121"/>
        <v>14035.516931959377</v>
      </c>
    </row>
    <row r="171" spans="3:82" s="3" customFormat="1" x14ac:dyDescent="0.2">
      <c r="D171" s="3" t="s">
        <v>107</v>
      </c>
      <c r="F171" s="3" t="s">
        <v>7</v>
      </c>
      <c r="G171" s="3">
        <f>O388</f>
        <v>348.714</v>
      </c>
      <c r="H171" s="3">
        <f>P388</f>
        <v>348.714</v>
      </c>
      <c r="I171" s="3">
        <f>Q388</f>
        <v>348.714</v>
      </c>
      <c r="J171" s="3">
        <f>R388</f>
        <v>348.714</v>
      </c>
      <c r="K171" s="3">
        <f>S388</f>
        <v>348.714</v>
      </c>
      <c r="L171" s="3">
        <f>T388</f>
        <v>350.34399999999999</v>
      </c>
      <c r="M171" s="3">
        <f>U388</f>
        <v>350.23099999999999</v>
      </c>
      <c r="N171" s="3">
        <f>V388</f>
        <v>349.52100000000002</v>
      </c>
      <c r="O171" s="3">
        <f>W388</f>
        <v>348.714</v>
      </c>
      <c r="P171" s="3">
        <f>X388</f>
        <v>348.714</v>
      </c>
      <c r="Q171" s="3">
        <f>Y388</f>
        <v>348.714</v>
      </c>
      <c r="R171" s="3">
        <f>Z388</f>
        <v>348.714</v>
      </c>
      <c r="S171" s="3">
        <f>AA388</f>
        <v>348.714</v>
      </c>
      <c r="T171" s="3">
        <f>AB388</f>
        <v>34.865000000000002</v>
      </c>
      <c r="U171" s="3">
        <f>AC388</f>
        <v>34.865000000000002</v>
      </c>
      <c r="V171" s="3">
        <f>AD388</f>
        <v>34.865000000000002</v>
      </c>
      <c r="W171" s="3">
        <f>AE388</f>
        <v>34.865000000000002</v>
      </c>
      <c r="X171" s="3">
        <f>AF388</f>
        <v>34.865000000000002</v>
      </c>
      <c r="Y171" s="3">
        <f>AG388</f>
        <v>34.865000000000002</v>
      </c>
      <c r="Z171" s="3">
        <f>AH388</f>
        <v>34.865000000000002</v>
      </c>
      <c r="AA171" s="3">
        <f>AI388</f>
        <v>34.865000000000002</v>
      </c>
      <c r="AB171" s="3">
        <f>AJ388</f>
        <v>34.865000000000002</v>
      </c>
      <c r="AC171" s="3">
        <f>AK388</f>
        <v>34.865000000000002</v>
      </c>
      <c r="AD171" s="3">
        <f>AL388</f>
        <v>3.484</v>
      </c>
      <c r="AE171" s="3">
        <f>AM388</f>
        <v>3.484</v>
      </c>
      <c r="AF171" s="3">
        <f>AN388</f>
        <v>0.87029417373859996</v>
      </c>
      <c r="AG171" s="3">
        <f>AO388</f>
        <v>0.98790067187089992</v>
      </c>
      <c r="AH171" s="3">
        <f>AP388</f>
        <v>1.1013441090523</v>
      </c>
      <c r="AI171" s="3">
        <f>AQ388</f>
        <v>1.2109411539906001</v>
      </c>
      <c r="AJ171" s="3">
        <f>AR388</f>
        <v>1.3194114083523001</v>
      </c>
      <c r="AK171" s="3">
        <f>AS388</f>
        <v>1.4230576030385</v>
      </c>
      <c r="AL171" s="3">
        <f>AT388</f>
        <v>1.5204829473395001</v>
      </c>
      <c r="AM171" s="3">
        <f>AU388</f>
        <v>1.6211028911468</v>
      </c>
      <c r="AN171" s="3">
        <f>AV388</f>
        <v>1.7477594778921</v>
      </c>
      <c r="AO171" s="3">
        <f>AW388</f>
        <v>1.8598674013434999</v>
      </c>
      <c r="AP171" s="3">
        <f>AX388</f>
        <v>1.9571703234132001</v>
      </c>
      <c r="AQ171" s="3">
        <f>AY388</f>
        <v>2.0436014425667</v>
      </c>
      <c r="AR171" s="3">
        <f>AZ388</f>
        <v>2.1225602039505</v>
      </c>
      <c r="AS171" s="3">
        <f>BA388</f>
        <v>2.1967785000314999</v>
      </c>
      <c r="AT171" s="3">
        <f>BB388</f>
        <v>2.2684096627289998</v>
      </c>
      <c r="AU171" s="3">
        <f>BC388</f>
        <v>2.3390217851848001</v>
      </c>
      <c r="AV171" s="3">
        <f>BD388</f>
        <v>2.4095686321001999</v>
      </c>
      <c r="AW171" s="3">
        <f>BE388</f>
        <v>2.4803734004795999</v>
      </c>
      <c r="AX171" s="3">
        <f>BF388</f>
        <v>2.5511430791840999</v>
      </c>
      <c r="AY171" s="3">
        <f>BG388</f>
        <v>2.6210260809731998</v>
      </c>
      <c r="AZ171" s="3">
        <f>BH388</f>
        <v>2.6885771125894</v>
      </c>
      <c r="BA171" s="3">
        <f>BI388</f>
        <v>2.7521737961225998</v>
      </c>
      <c r="BB171" s="3">
        <f>BJ388</f>
        <v>2.8104295111001001</v>
      </c>
      <c r="BC171" s="3">
        <f>BK388</f>
        <v>2.8619315136523999</v>
      </c>
      <c r="BD171" s="3">
        <f>BL388</f>
        <v>2.9064155741573998</v>
      </c>
      <c r="BE171" s="3">
        <f>BM388</f>
        <v>2.9458682405763001</v>
      </c>
      <c r="BF171" s="3">
        <f>BN388</f>
        <v>2.9879805113994999</v>
      </c>
      <c r="BG171" s="3">
        <f>BO388</f>
        <v>3.1573856118601</v>
      </c>
      <c r="BH171" s="3">
        <f>BP388</f>
        <v>3.4923401333859001</v>
      </c>
      <c r="BI171" s="3">
        <f>BQ388</f>
        <v>3.7860607863000002</v>
      </c>
      <c r="BJ171" s="3">
        <f>BR388</f>
        <v>4.0463330056788998</v>
      </c>
      <c r="BK171" s="3">
        <f>BS388</f>
        <v>4.2799736001922</v>
      </c>
      <c r="BL171" s="3">
        <f>BT388</f>
        <v>4.4923711547423002</v>
      </c>
      <c r="BM171" s="3">
        <f>BU388</f>
        <v>4.6879097272718004</v>
      </c>
      <c r="BN171" s="3">
        <f>BV388</f>
        <v>4.8700160619356003</v>
      </c>
      <c r="BO171" s="3">
        <f>BW388</f>
        <v>5.0413713710804</v>
      </c>
      <c r="BP171" s="3">
        <f>BX388</f>
        <v>5.2041037990875001</v>
      </c>
      <c r="BQ171" s="3">
        <f>BY388</f>
        <v>5.3619673532804004</v>
      </c>
      <c r="BR171" s="3">
        <f>BZ388</f>
        <v>5.5179391787691996</v>
      </c>
      <c r="BS171" s="3">
        <f>CA388</f>
        <v>5.6743992990156</v>
      </c>
      <c r="BT171" s="3">
        <f>CB388</f>
        <v>5.8332742672792994</v>
      </c>
      <c r="BU171" s="3">
        <f>CC388</f>
        <v>5.9968508580125999</v>
      </c>
      <c r="BV171" s="3">
        <f>CD388</f>
        <v>6.1679076672184001</v>
      </c>
      <c r="BW171" s="3">
        <f>CE388</f>
        <v>6.3463427365031997</v>
      </c>
      <c r="BX171" s="3">
        <f>CF388</f>
        <v>6.5334178415221</v>
      </c>
      <c r="BY171" s="3">
        <f>CG388</f>
        <v>6.7301585511160003</v>
      </c>
      <c r="BZ171" s="3">
        <f>CH388</f>
        <v>6.9374482672182998</v>
      </c>
      <c r="CA171" s="3">
        <f>CI388</f>
        <v>7.1787126218857997</v>
      </c>
      <c r="CB171" s="3">
        <f>CJ388</f>
        <v>7.5134058980865994</v>
      </c>
      <c r="CC171" s="3">
        <f>CK388</f>
        <v>7.9380209401529997</v>
      </c>
      <c r="CD171" s="3">
        <f>CL388</f>
        <v>8.4498870622775009</v>
      </c>
    </row>
    <row r="172" spans="3:82" s="3" customFormat="1" x14ac:dyDescent="0.2">
      <c r="D172" s="3" t="s">
        <v>109</v>
      </c>
    </row>
    <row r="173" spans="3:82" s="3" customFormat="1" x14ac:dyDescent="0.2">
      <c r="E173" s="3" t="s">
        <v>110</v>
      </c>
      <c r="F173" s="3" t="s">
        <v>7</v>
      </c>
      <c r="G173" s="3">
        <f>O389</f>
        <v>28.158000000000001</v>
      </c>
      <c r="H173" s="3">
        <f t="shared" ref="H173:BS175" si="122">P389</f>
        <v>90.897000000000006</v>
      </c>
      <c r="I173" s="3">
        <f t="shared" si="122"/>
        <v>90.897000000000006</v>
      </c>
      <c r="J173" s="3">
        <f t="shared" si="122"/>
        <v>90.897000000000006</v>
      </c>
      <c r="K173" s="3">
        <f t="shared" si="122"/>
        <v>90.897000000000006</v>
      </c>
      <c r="L173" s="3">
        <f t="shared" si="122"/>
        <v>90.897000000000006</v>
      </c>
      <c r="M173" s="3">
        <f t="shared" si="122"/>
        <v>90.897000000000006</v>
      </c>
      <c r="N173" s="3">
        <f t="shared" si="122"/>
        <v>90.897000000000006</v>
      </c>
      <c r="O173" s="3">
        <f t="shared" si="122"/>
        <v>90.897000000000006</v>
      </c>
      <c r="P173" s="3">
        <f t="shared" si="122"/>
        <v>90.897000000000006</v>
      </c>
      <c r="Q173" s="3">
        <f t="shared" si="122"/>
        <v>90.897000000000006</v>
      </c>
      <c r="R173" s="3">
        <f t="shared" si="122"/>
        <v>90.897000000000006</v>
      </c>
      <c r="S173" s="3">
        <f t="shared" si="122"/>
        <v>90.897000000000006</v>
      </c>
      <c r="T173" s="3">
        <f t="shared" si="122"/>
        <v>90.897000000000006</v>
      </c>
      <c r="U173" s="3">
        <f t="shared" si="122"/>
        <v>90.897000000000006</v>
      </c>
      <c r="V173" s="3">
        <f t="shared" si="122"/>
        <v>90.897000000000006</v>
      </c>
      <c r="W173" s="3">
        <f t="shared" si="122"/>
        <v>90.897000000000006</v>
      </c>
      <c r="X173" s="3">
        <f t="shared" si="122"/>
        <v>90.897000000000006</v>
      </c>
      <c r="Y173" s="3">
        <f t="shared" si="122"/>
        <v>90.897000000000006</v>
      </c>
      <c r="Z173" s="3">
        <f t="shared" si="122"/>
        <v>90.897000000000006</v>
      </c>
      <c r="AA173" s="3">
        <f t="shared" si="122"/>
        <v>0</v>
      </c>
      <c r="AB173" s="3">
        <f t="shared" si="122"/>
        <v>0</v>
      </c>
      <c r="AC173" s="3">
        <f t="shared" si="122"/>
        <v>0</v>
      </c>
      <c r="AD173" s="3">
        <f t="shared" si="122"/>
        <v>0</v>
      </c>
      <c r="AE173" s="3">
        <f t="shared" si="122"/>
        <v>0</v>
      </c>
      <c r="AF173" s="3">
        <f t="shared" si="122"/>
        <v>3858.6847134932382</v>
      </c>
      <c r="AG173" s="3">
        <f t="shared" si="122"/>
        <v>3833.7200450654832</v>
      </c>
      <c r="AH173" s="3">
        <f t="shared" si="122"/>
        <v>3808.6009623083919</v>
      </c>
      <c r="AI173" s="3">
        <f t="shared" si="122"/>
        <v>3818.3757245756228</v>
      </c>
      <c r="AJ173" s="3">
        <f t="shared" si="122"/>
        <v>3747.5493245838252</v>
      </c>
      <c r="AK173" s="3">
        <f t="shared" si="122"/>
        <v>3677.7846603878252</v>
      </c>
      <c r="AL173" s="3">
        <f t="shared" si="122"/>
        <v>4240.6362789558598</v>
      </c>
      <c r="AM173" s="3">
        <f t="shared" si="122"/>
        <v>4672.8134739812758</v>
      </c>
      <c r="AN173" s="3">
        <f t="shared" si="122"/>
        <v>4731.1694405574181</v>
      </c>
      <c r="AO173" s="3">
        <f t="shared" si="122"/>
        <v>4834.3936486938956</v>
      </c>
      <c r="AP173" s="3">
        <f t="shared" si="122"/>
        <v>4995.4021687405611</v>
      </c>
      <c r="AQ173" s="3">
        <f t="shared" si="122"/>
        <v>5194.7697642380217</v>
      </c>
      <c r="AR173" s="3">
        <f t="shared" si="122"/>
        <v>5418.8300268167031</v>
      </c>
      <c r="AS173" s="3">
        <f t="shared" si="122"/>
        <v>5649.5088086147834</v>
      </c>
      <c r="AT173" s="3">
        <f t="shared" si="122"/>
        <v>5867.4380275930489</v>
      </c>
      <c r="AU173" s="3">
        <f t="shared" si="122"/>
        <v>6052.8163606831185</v>
      </c>
      <c r="AV173" s="3">
        <f t="shared" si="122"/>
        <v>6186.3877260012023</v>
      </c>
      <c r="AW173" s="3">
        <f t="shared" si="122"/>
        <v>6250.4289194416187</v>
      </c>
      <c r="AX173" s="3">
        <f t="shared" si="122"/>
        <v>6229.7870693187588</v>
      </c>
      <c r="AY173" s="3">
        <f t="shared" si="122"/>
        <v>6130.69140068863</v>
      </c>
      <c r="AZ173" s="3">
        <f t="shared" si="122"/>
        <v>5951.2376155955662</v>
      </c>
      <c r="BA173" s="3">
        <f t="shared" si="122"/>
        <v>5723.1816930745317</v>
      </c>
      <c r="BB173" s="3">
        <f t="shared" si="122"/>
        <v>5428.6027184092709</v>
      </c>
      <c r="BC173" s="3">
        <f t="shared" si="122"/>
        <v>5081.6491700111028</v>
      </c>
      <c r="BD173" s="3">
        <f t="shared" si="122"/>
        <v>4705.8450233396052</v>
      </c>
      <c r="BE173" s="3">
        <f t="shared" si="122"/>
        <v>4380.4251032484972</v>
      </c>
      <c r="BF173" s="3">
        <f t="shared" si="122"/>
        <v>4017.57876850099</v>
      </c>
      <c r="BG173" s="3">
        <f t="shared" si="122"/>
        <v>4285.3477782378568</v>
      </c>
      <c r="BH173" s="3">
        <f t="shared" si="122"/>
        <v>4779.8854053196992</v>
      </c>
      <c r="BI173" s="3">
        <f t="shared" si="122"/>
        <v>5294.9591373831172</v>
      </c>
      <c r="BJ173" s="3">
        <f t="shared" si="122"/>
        <v>5807.3915610024833</v>
      </c>
      <c r="BK173" s="3">
        <f t="shared" si="122"/>
        <v>6309.0837080194206</v>
      </c>
      <c r="BL173" s="3">
        <f t="shared" si="122"/>
        <v>6794.869415664436</v>
      </c>
      <c r="BM173" s="3">
        <f t="shared" si="122"/>
        <v>7252.6540719296136</v>
      </c>
      <c r="BN173" s="3">
        <f t="shared" si="122"/>
        <v>7699.4224871636197</v>
      </c>
      <c r="BO173" s="3">
        <f t="shared" si="122"/>
        <v>8125.1456602584094</v>
      </c>
      <c r="BP173" s="3">
        <f t="shared" si="122"/>
        <v>8533.2343021445304</v>
      </c>
      <c r="BQ173" s="3">
        <f t="shared" si="122"/>
        <v>8915.9941886297111</v>
      </c>
      <c r="BR173" s="3">
        <f t="shared" si="122"/>
        <v>9264.9037949116791</v>
      </c>
      <c r="BS173" s="3">
        <f t="shared" si="122"/>
        <v>9569.8236257217195</v>
      </c>
      <c r="BT173" s="3">
        <f t="shared" ref="BT173:CD174" si="123">CB389</f>
        <v>9835.3353286097099</v>
      </c>
      <c r="BU173" s="3">
        <f t="shared" si="123"/>
        <v>10069.506155737099</v>
      </c>
      <c r="BV173" s="3">
        <f t="shared" si="123"/>
        <v>10217.004736184599</v>
      </c>
      <c r="BW173" s="3">
        <f t="shared" si="123"/>
        <v>10301.3751103172</v>
      </c>
      <c r="BX173" s="3">
        <f t="shared" si="123"/>
        <v>10319.3263836244</v>
      </c>
      <c r="BY173" s="3">
        <f t="shared" si="123"/>
        <v>10270.491181965001</v>
      </c>
      <c r="BZ173" s="3">
        <f t="shared" si="123"/>
        <v>10617.376887770501</v>
      </c>
      <c r="CA173" s="3">
        <f t="shared" si="123"/>
        <v>12101.8735599799</v>
      </c>
      <c r="CB173" s="3">
        <f t="shared" si="123"/>
        <v>13638.9863206474</v>
      </c>
      <c r="CC173" s="3">
        <f t="shared" si="123"/>
        <v>15176.3349468941</v>
      </c>
      <c r="CD173" s="3">
        <f t="shared" si="123"/>
        <v>13961.8778944243</v>
      </c>
    </row>
    <row r="174" spans="3:82" s="3" customFormat="1" x14ac:dyDescent="0.2">
      <c r="E174" s="3" t="s">
        <v>111</v>
      </c>
      <c r="F174" s="3" t="s">
        <v>7</v>
      </c>
      <c r="AF174" s="3">
        <f t="shared" si="122"/>
        <v>0</v>
      </c>
      <c r="AG174" s="3">
        <f t="shared" si="122"/>
        <v>0</v>
      </c>
      <c r="AH174" s="3">
        <f t="shared" si="122"/>
        <v>0</v>
      </c>
      <c r="AI174" s="3">
        <f t="shared" si="122"/>
        <v>0</v>
      </c>
      <c r="AJ174" s="3">
        <f t="shared" si="122"/>
        <v>0</v>
      </c>
      <c r="AK174" s="3">
        <f t="shared" si="122"/>
        <v>0</v>
      </c>
      <c r="AL174" s="3">
        <f t="shared" si="122"/>
        <v>0</v>
      </c>
      <c r="AM174" s="3">
        <f t="shared" si="122"/>
        <v>0</v>
      </c>
      <c r="AN174" s="3">
        <f t="shared" si="122"/>
        <v>0</v>
      </c>
      <c r="AO174" s="3">
        <f t="shared" si="122"/>
        <v>0</v>
      </c>
      <c r="AP174" s="3">
        <f t="shared" si="122"/>
        <v>0</v>
      </c>
      <c r="AQ174" s="3">
        <f t="shared" si="122"/>
        <v>0</v>
      </c>
      <c r="AR174" s="3">
        <f t="shared" si="122"/>
        <v>0</v>
      </c>
      <c r="AS174" s="3">
        <f t="shared" si="122"/>
        <v>0</v>
      </c>
      <c r="AT174" s="3">
        <f t="shared" si="122"/>
        <v>0</v>
      </c>
      <c r="AU174" s="3">
        <f t="shared" si="122"/>
        <v>0</v>
      </c>
      <c r="AV174" s="3">
        <f t="shared" si="122"/>
        <v>0</v>
      </c>
      <c r="AW174" s="3">
        <f t="shared" si="122"/>
        <v>0</v>
      </c>
      <c r="AX174" s="3">
        <f t="shared" si="122"/>
        <v>0</v>
      </c>
      <c r="AY174" s="3">
        <f t="shared" si="122"/>
        <v>0</v>
      </c>
      <c r="AZ174" s="3">
        <f t="shared" si="122"/>
        <v>0</v>
      </c>
      <c r="BA174" s="3">
        <f t="shared" si="122"/>
        <v>0</v>
      </c>
      <c r="BB174" s="3">
        <f t="shared" si="122"/>
        <v>0</v>
      </c>
      <c r="BC174" s="3">
        <f t="shared" si="122"/>
        <v>0</v>
      </c>
      <c r="BD174" s="3">
        <f t="shared" si="122"/>
        <v>0</v>
      </c>
      <c r="BE174" s="3">
        <f t="shared" si="122"/>
        <v>0</v>
      </c>
      <c r="BF174" s="3">
        <f t="shared" si="122"/>
        <v>0</v>
      </c>
      <c r="BG174" s="3">
        <f t="shared" si="122"/>
        <v>0</v>
      </c>
      <c r="BH174" s="3">
        <f t="shared" si="122"/>
        <v>0</v>
      </c>
      <c r="BI174" s="3">
        <f t="shared" si="122"/>
        <v>0</v>
      </c>
      <c r="BJ174" s="3">
        <f t="shared" si="122"/>
        <v>0</v>
      </c>
      <c r="BK174" s="3">
        <f t="shared" si="122"/>
        <v>0</v>
      </c>
      <c r="BL174" s="3">
        <f t="shared" si="122"/>
        <v>0</v>
      </c>
      <c r="BM174" s="3">
        <f t="shared" si="122"/>
        <v>0</v>
      </c>
      <c r="BN174" s="3">
        <f t="shared" si="122"/>
        <v>0</v>
      </c>
      <c r="BO174" s="3">
        <f t="shared" si="122"/>
        <v>0</v>
      </c>
      <c r="BP174" s="3">
        <f t="shared" si="122"/>
        <v>0</v>
      </c>
      <c r="BQ174" s="3">
        <f t="shared" si="122"/>
        <v>0</v>
      </c>
      <c r="BR174" s="3">
        <f t="shared" si="122"/>
        <v>0</v>
      </c>
      <c r="BS174" s="3">
        <f t="shared" si="122"/>
        <v>0</v>
      </c>
      <c r="BT174" s="3">
        <f t="shared" si="123"/>
        <v>0</v>
      </c>
      <c r="BU174" s="3">
        <f t="shared" si="123"/>
        <v>0</v>
      </c>
      <c r="BV174" s="3">
        <f t="shared" si="123"/>
        <v>0</v>
      </c>
      <c r="BW174" s="3">
        <f t="shared" si="123"/>
        <v>0</v>
      </c>
      <c r="BX174" s="3">
        <f t="shared" si="123"/>
        <v>0</v>
      </c>
      <c r="BY174" s="3">
        <f t="shared" si="123"/>
        <v>0</v>
      </c>
      <c r="BZ174" s="3">
        <f t="shared" si="123"/>
        <v>0</v>
      </c>
      <c r="CA174" s="3">
        <f t="shared" si="123"/>
        <v>0</v>
      </c>
      <c r="CB174" s="3">
        <f t="shared" si="123"/>
        <v>0</v>
      </c>
      <c r="CC174" s="3">
        <f t="shared" si="123"/>
        <v>0</v>
      </c>
      <c r="CD174" s="3">
        <f t="shared" si="123"/>
        <v>0</v>
      </c>
    </row>
    <row r="175" spans="3:82" s="3" customFormat="1" x14ac:dyDescent="0.2">
      <c r="E175" s="3" t="s">
        <v>112</v>
      </c>
      <c r="F175" s="3" t="s">
        <v>7</v>
      </c>
      <c r="AF175" s="3">
        <f t="shared" si="122"/>
        <v>0</v>
      </c>
      <c r="AG175" s="3">
        <f t="shared" si="122"/>
        <v>0</v>
      </c>
      <c r="AH175" s="3">
        <f t="shared" si="122"/>
        <v>0</v>
      </c>
      <c r="AI175" s="3">
        <f t="shared" si="122"/>
        <v>0</v>
      </c>
      <c r="AJ175" s="3">
        <f t="shared" si="122"/>
        <v>0</v>
      </c>
      <c r="AK175" s="3">
        <f t="shared" si="122"/>
        <v>0</v>
      </c>
      <c r="AL175" s="3">
        <f t="shared" si="122"/>
        <v>0</v>
      </c>
      <c r="AM175" s="3">
        <f t="shared" si="122"/>
        <v>0</v>
      </c>
      <c r="AN175" s="3">
        <f t="shared" si="122"/>
        <v>0</v>
      </c>
      <c r="AO175" s="3">
        <f t="shared" si="122"/>
        <v>0</v>
      </c>
      <c r="AP175" s="3">
        <f t="shared" si="122"/>
        <v>0</v>
      </c>
      <c r="AQ175" s="3">
        <f t="shared" si="122"/>
        <v>0</v>
      </c>
      <c r="AR175" s="3">
        <f t="shared" si="122"/>
        <v>0</v>
      </c>
      <c r="AS175" s="3">
        <f t="shared" si="122"/>
        <v>0</v>
      </c>
      <c r="AT175" s="3">
        <f t="shared" si="122"/>
        <v>0</v>
      </c>
      <c r="AU175" s="3">
        <f t="shared" si="122"/>
        <v>0</v>
      </c>
      <c r="AV175" s="3">
        <f t="shared" si="122"/>
        <v>0</v>
      </c>
      <c r="AW175" s="3">
        <f t="shared" si="122"/>
        <v>0</v>
      </c>
      <c r="AX175" s="3">
        <f t="shared" si="122"/>
        <v>0</v>
      </c>
      <c r="AY175" s="3">
        <f t="shared" si="122"/>
        <v>0</v>
      </c>
      <c r="AZ175" s="3">
        <f t="shared" si="122"/>
        <v>0</v>
      </c>
      <c r="BA175" s="3">
        <f t="shared" si="122"/>
        <v>0</v>
      </c>
      <c r="BB175" s="3">
        <f t="shared" si="122"/>
        <v>0</v>
      </c>
      <c r="BC175" s="3">
        <f t="shared" si="122"/>
        <v>0</v>
      </c>
      <c r="BD175" s="3">
        <f t="shared" si="122"/>
        <v>0</v>
      </c>
      <c r="BE175" s="3">
        <f t="shared" si="122"/>
        <v>0</v>
      </c>
      <c r="BF175" s="3">
        <f t="shared" si="122"/>
        <v>0</v>
      </c>
      <c r="BG175" s="3">
        <f t="shared" si="122"/>
        <v>0</v>
      </c>
      <c r="BH175" s="3">
        <f t="shared" si="122"/>
        <v>0</v>
      </c>
      <c r="BI175" s="3">
        <f t="shared" si="122"/>
        <v>0</v>
      </c>
      <c r="BJ175" s="3">
        <f t="shared" si="122"/>
        <v>0</v>
      </c>
      <c r="BK175" s="3">
        <f t="shared" si="122"/>
        <v>0</v>
      </c>
      <c r="BL175" s="3">
        <f t="shared" si="122"/>
        <v>0</v>
      </c>
      <c r="BM175" s="3">
        <f t="shared" si="122"/>
        <v>0</v>
      </c>
      <c r="BN175" s="3">
        <f t="shared" si="122"/>
        <v>0</v>
      </c>
      <c r="BO175" s="3">
        <f t="shared" si="122"/>
        <v>0</v>
      </c>
      <c r="BP175" s="3">
        <f t="shared" si="122"/>
        <v>0</v>
      </c>
      <c r="BQ175" s="3">
        <f t="shared" si="122"/>
        <v>0</v>
      </c>
      <c r="BR175" s="3">
        <f t="shared" si="122"/>
        <v>0</v>
      </c>
      <c r="BS175" s="3">
        <f>CA391</f>
        <v>0</v>
      </c>
      <c r="BT175" s="3">
        <f>CB391</f>
        <v>0</v>
      </c>
      <c r="BU175" s="3">
        <f>CC391</f>
        <v>0</v>
      </c>
      <c r="BV175" s="3">
        <f>CD391</f>
        <v>0</v>
      </c>
      <c r="BW175" s="3">
        <f>CE391</f>
        <v>0</v>
      </c>
      <c r="BX175" s="3">
        <f>CF391</f>
        <v>0</v>
      </c>
      <c r="BY175" s="3">
        <f>CG391</f>
        <v>0</v>
      </c>
      <c r="BZ175" s="3">
        <f>CH391</f>
        <v>0</v>
      </c>
      <c r="CA175" s="3">
        <f>CI391</f>
        <v>0</v>
      </c>
      <c r="CB175" s="3">
        <f>CJ391</f>
        <v>0</v>
      </c>
      <c r="CC175" s="3">
        <f>CK391</f>
        <v>0</v>
      </c>
      <c r="CD175" s="3">
        <f>CL391</f>
        <v>0</v>
      </c>
    </row>
    <row r="176" spans="3:82" s="3" customFormat="1" x14ac:dyDescent="0.2">
      <c r="E176" s="3" t="s">
        <v>113</v>
      </c>
      <c r="F176" s="3" t="s">
        <v>7</v>
      </c>
      <c r="AF176" s="3">
        <f>AN392</f>
        <v>0</v>
      </c>
      <c r="AG176" s="3">
        <f>AO392</f>
        <v>0</v>
      </c>
      <c r="AH176" s="3">
        <f>AP392</f>
        <v>0</v>
      </c>
      <c r="AI176" s="3">
        <f>AQ392</f>
        <v>0</v>
      </c>
      <c r="AJ176" s="3">
        <f>AR392</f>
        <v>0</v>
      </c>
      <c r="AK176" s="3">
        <f>AS392</f>
        <v>0</v>
      </c>
      <c r="AL176" s="3">
        <f>AT392</f>
        <v>0</v>
      </c>
      <c r="AM176" s="3">
        <f>AU392</f>
        <v>0</v>
      </c>
      <c r="AN176" s="3">
        <f>AV392</f>
        <v>0</v>
      </c>
      <c r="AO176" s="3">
        <f>AW392</f>
        <v>0</v>
      </c>
      <c r="AP176" s="3">
        <f>AX392</f>
        <v>0</v>
      </c>
      <c r="AQ176" s="3">
        <f>AY392</f>
        <v>0</v>
      </c>
      <c r="AR176" s="3">
        <f>AZ392</f>
        <v>0</v>
      </c>
      <c r="AS176" s="3">
        <f>BA392</f>
        <v>0</v>
      </c>
      <c r="AT176" s="3">
        <f>BB392</f>
        <v>0</v>
      </c>
      <c r="AU176" s="3">
        <f>BC392</f>
        <v>0</v>
      </c>
      <c r="AV176" s="3">
        <f>BD392</f>
        <v>0</v>
      </c>
      <c r="AW176" s="3">
        <f>BE392</f>
        <v>0</v>
      </c>
      <c r="AX176" s="3">
        <f>BF392</f>
        <v>0</v>
      </c>
      <c r="AY176" s="3">
        <f>BG392</f>
        <v>0</v>
      </c>
      <c r="AZ176" s="3">
        <f>BH392</f>
        <v>0</v>
      </c>
      <c r="BA176" s="3">
        <f>BI392</f>
        <v>0</v>
      </c>
      <c r="BB176" s="3">
        <f>BJ392</f>
        <v>0</v>
      </c>
      <c r="BC176" s="3">
        <f>BK392</f>
        <v>0</v>
      </c>
      <c r="BD176" s="3">
        <f>BL392</f>
        <v>0</v>
      </c>
      <c r="BE176" s="3">
        <f>BM392</f>
        <v>0</v>
      </c>
      <c r="BF176" s="3">
        <f>BN392</f>
        <v>0</v>
      </c>
      <c r="BG176" s="3">
        <f>BO392</f>
        <v>0</v>
      </c>
      <c r="BH176" s="3">
        <f>BP392</f>
        <v>0</v>
      </c>
      <c r="BI176" s="3">
        <f>BQ392</f>
        <v>0</v>
      </c>
      <c r="BJ176" s="3">
        <f>BR392</f>
        <v>0</v>
      </c>
      <c r="BK176" s="3">
        <f>BS392</f>
        <v>0</v>
      </c>
      <c r="BL176" s="3">
        <f>BT392</f>
        <v>0</v>
      </c>
      <c r="BM176" s="3">
        <f>BU392</f>
        <v>0</v>
      </c>
      <c r="BN176" s="3">
        <f>BV392</f>
        <v>0</v>
      </c>
      <c r="BO176" s="3">
        <f>BW392</f>
        <v>0</v>
      </c>
      <c r="BP176" s="3">
        <f>BX392</f>
        <v>0</v>
      </c>
      <c r="BQ176" s="3">
        <f>BY392</f>
        <v>0</v>
      </c>
      <c r="BR176" s="3">
        <f>BZ392</f>
        <v>0</v>
      </c>
      <c r="BS176" s="3">
        <f>CA392</f>
        <v>0</v>
      </c>
      <c r="BT176" s="3">
        <f>CB392</f>
        <v>0</v>
      </c>
      <c r="BU176" s="3">
        <f>CC392</f>
        <v>0</v>
      </c>
      <c r="BV176" s="3">
        <f>CD392</f>
        <v>0</v>
      </c>
      <c r="BW176" s="3">
        <f>CE392</f>
        <v>0</v>
      </c>
      <c r="BX176" s="3">
        <f>CF392</f>
        <v>0</v>
      </c>
      <c r="BY176" s="3">
        <f>CG392</f>
        <v>0</v>
      </c>
      <c r="BZ176" s="3">
        <f>CH392</f>
        <v>0</v>
      </c>
      <c r="CA176" s="3">
        <f>CI392</f>
        <v>0</v>
      </c>
      <c r="CB176" s="3">
        <f>CJ392</f>
        <v>0</v>
      </c>
      <c r="CC176" s="3">
        <f>CK392</f>
        <v>0</v>
      </c>
      <c r="CD176" s="3">
        <f>CL392</f>
        <v>0</v>
      </c>
    </row>
    <row r="177" spans="3:82" s="3" customFormat="1" x14ac:dyDescent="0.2">
      <c r="E177" s="3" t="s">
        <v>114</v>
      </c>
      <c r="F177" s="3" t="s">
        <v>7</v>
      </c>
      <c r="AF177" s="3">
        <f>AN393</f>
        <v>171.73759801904191</v>
      </c>
      <c r="AG177" s="3">
        <f>AO393</f>
        <v>163.32291571606081</v>
      </c>
      <c r="AH177" s="3">
        <f>AP393</f>
        <v>155.32553687892539</v>
      </c>
      <c r="AI177" s="3">
        <f>AQ393</f>
        <v>147.79547015256989</v>
      </c>
      <c r="AJ177" s="3">
        <f>AR393</f>
        <v>141.27143655137311</v>
      </c>
      <c r="AK177" s="3">
        <f>AS393</f>
        <v>136.2108893355917</v>
      </c>
      <c r="AL177" s="3">
        <f>AT393</f>
        <v>133.55509378380839</v>
      </c>
      <c r="AM177" s="3">
        <f>AU393</f>
        <v>156.51345913234289</v>
      </c>
      <c r="AN177" s="3">
        <f>AV393</f>
        <v>154.75429455005161</v>
      </c>
      <c r="AO177" s="3">
        <f>AW393</f>
        <v>153.22168085111821</v>
      </c>
      <c r="AP177" s="3">
        <f>AX393</f>
        <v>152.1565498589481</v>
      </c>
      <c r="AQ177" s="3">
        <f>AY393</f>
        <v>152.0580040827233</v>
      </c>
      <c r="AR177" s="3">
        <f>AZ393</f>
        <v>153.23867485474901</v>
      </c>
      <c r="AS177" s="3">
        <f>BA393</f>
        <v>155.77215038985301</v>
      </c>
      <c r="AT177" s="3">
        <f>BB393</f>
        <v>159.57821946897849</v>
      </c>
      <c r="AU177" s="3">
        <f>BC393</f>
        <v>164.4118149429888</v>
      </c>
      <c r="AV177" s="3">
        <f>BD393</f>
        <v>169.87491735721011</v>
      </c>
      <c r="AW177" s="3">
        <f>BE393</f>
        <v>175.44249282427879</v>
      </c>
      <c r="AX177" s="3">
        <f>BF393</f>
        <v>180.50031934515999</v>
      </c>
      <c r="AY177" s="3">
        <f>BG393</f>
        <v>184.42939552863811</v>
      </c>
      <c r="AZ177" s="3">
        <f>BH393</f>
        <v>186.75829717544011</v>
      </c>
      <c r="BA177" s="3">
        <f>BI393</f>
        <v>187.15104505224099</v>
      </c>
      <c r="BB177" s="3">
        <f>BJ393</f>
        <v>185.45105118525771</v>
      </c>
      <c r="BC177" s="3">
        <f>BK393</f>
        <v>181.46933423330981</v>
      </c>
      <c r="BD177" s="3">
        <f>BL393</f>
        <v>175.30911340469319</v>
      </c>
      <c r="BE177" s="3">
        <f>BM393</f>
        <v>167.29163959967991</v>
      </c>
      <c r="BF177" s="3">
        <f>BN393</f>
        <v>160.25564390777299</v>
      </c>
      <c r="BG177" s="3">
        <f>BO393</f>
        <v>155.5291453053415</v>
      </c>
      <c r="BH177" s="3">
        <f>BP393</f>
        <v>152.20329530685129</v>
      </c>
      <c r="BI177" s="3">
        <f>BQ393</f>
        <v>148.80247333794699</v>
      </c>
      <c r="BJ177" s="3">
        <f>BR393</f>
        <v>142.05263502746169</v>
      </c>
      <c r="BK177" s="3">
        <f>BS393</f>
        <v>135.4183378682593</v>
      </c>
      <c r="BL177" s="3">
        <f>BT393</f>
        <v>129.06562372559981</v>
      </c>
      <c r="BM177" s="3">
        <f>BU393</f>
        <v>122.98209425346489</v>
      </c>
      <c r="BN177" s="3">
        <f>BV393</f>
        <v>117.1663302432021</v>
      </c>
      <c r="BO177" s="3">
        <f>BW393</f>
        <v>111.61681216424761</v>
      </c>
      <c r="BP177" s="3">
        <f>BX393</f>
        <v>106.3318474778427</v>
      </c>
      <c r="BQ177" s="3">
        <f>BY393</f>
        <v>101.29594728229981</v>
      </c>
      <c r="BR177" s="3">
        <f>BZ393</f>
        <v>96.494353798974885</v>
      </c>
      <c r="BS177" s="3">
        <f>CA393</f>
        <v>91.912727363400393</v>
      </c>
      <c r="BT177" s="3">
        <f>CB393</f>
        <v>88.197712277295793</v>
      </c>
      <c r="BU177" s="3">
        <f>CC393</f>
        <v>85.684252328574104</v>
      </c>
      <c r="BV177" s="3">
        <f>CD393</f>
        <v>82.884361934776095</v>
      </c>
      <c r="BW177" s="3">
        <f>CE393</f>
        <v>80.018067714092297</v>
      </c>
      <c r="BX177" s="3">
        <f>CF393</f>
        <v>77.082790329327892</v>
      </c>
      <c r="BY177" s="3">
        <f>CG393</f>
        <v>74.084146474212602</v>
      </c>
      <c r="BZ177" s="3">
        <f>CH393</f>
        <v>73.679159527460698</v>
      </c>
      <c r="CA177" s="3">
        <f>CI393</f>
        <v>73.007862717603004</v>
      </c>
      <c r="CB177" s="3">
        <f>CJ393</f>
        <v>70.800646743981702</v>
      </c>
      <c r="CC177" s="3">
        <f>CK393</f>
        <v>68.941619893198805</v>
      </c>
      <c r="CD177" s="3">
        <f>CL393</f>
        <v>65.189150472799611</v>
      </c>
    </row>
    <row r="178" spans="3:82" s="4" customFormat="1" x14ac:dyDescent="0.2">
      <c r="C178" s="4" t="s">
        <v>115</v>
      </c>
      <c r="G178" s="4">
        <f>SUM(G179:G184)</f>
        <v>0</v>
      </c>
      <c r="H178" s="4">
        <f t="shared" ref="H178:BS178" si="124">SUM(H179:H184)</f>
        <v>0</v>
      </c>
      <c r="I178" s="4">
        <f t="shared" si="124"/>
        <v>0</v>
      </c>
      <c r="J178" s="4">
        <f t="shared" si="124"/>
        <v>0</v>
      </c>
      <c r="K178" s="4">
        <f t="shared" si="124"/>
        <v>0</v>
      </c>
      <c r="L178" s="4">
        <f t="shared" si="124"/>
        <v>0</v>
      </c>
      <c r="M178" s="4">
        <f t="shared" si="124"/>
        <v>0</v>
      </c>
      <c r="N178" s="4">
        <f t="shared" si="124"/>
        <v>0</v>
      </c>
      <c r="O178" s="4">
        <f t="shared" si="124"/>
        <v>0</v>
      </c>
      <c r="P178" s="4">
        <f t="shared" si="124"/>
        <v>0</v>
      </c>
      <c r="Q178" s="4">
        <f t="shared" si="124"/>
        <v>0</v>
      </c>
      <c r="R178" s="4">
        <f t="shared" si="124"/>
        <v>0</v>
      </c>
      <c r="S178" s="4">
        <f t="shared" si="124"/>
        <v>0</v>
      </c>
      <c r="T178" s="4">
        <f t="shared" si="124"/>
        <v>0</v>
      </c>
      <c r="U178" s="4">
        <f t="shared" si="124"/>
        <v>0</v>
      </c>
      <c r="V178" s="4">
        <f t="shared" si="124"/>
        <v>0</v>
      </c>
      <c r="W178" s="4">
        <f t="shared" si="124"/>
        <v>0</v>
      </c>
      <c r="X178" s="4">
        <f t="shared" si="124"/>
        <v>0</v>
      </c>
      <c r="Y178" s="4">
        <f t="shared" si="124"/>
        <v>0</v>
      </c>
      <c r="Z178" s="4">
        <f t="shared" si="124"/>
        <v>0</v>
      </c>
      <c r="AA178" s="4">
        <f t="shared" si="124"/>
        <v>0</v>
      </c>
      <c r="AB178" s="4">
        <f t="shared" si="124"/>
        <v>0</v>
      </c>
      <c r="AC178" s="4">
        <f t="shared" si="124"/>
        <v>0</v>
      </c>
      <c r="AD178" s="4">
        <f t="shared" si="124"/>
        <v>0</v>
      </c>
      <c r="AE178" s="4">
        <f t="shared" si="124"/>
        <v>0</v>
      </c>
      <c r="AF178" s="4">
        <f t="shared" si="124"/>
        <v>121.372310362807</v>
      </c>
      <c r="AG178" s="4">
        <f t="shared" si="124"/>
        <v>116.33477265727541</v>
      </c>
      <c r="AH178" s="4">
        <f t="shared" si="124"/>
        <v>111.5577770650648</v>
      </c>
      <c r="AI178" s="4">
        <f t="shared" si="124"/>
        <v>106.45258590602911</v>
      </c>
      <c r="AJ178" s="4">
        <f t="shared" si="124"/>
        <v>101.87491551297931</v>
      </c>
      <c r="AK178" s="4">
        <f t="shared" si="124"/>
        <v>98.241354284452299</v>
      </c>
      <c r="AL178" s="4">
        <f t="shared" si="124"/>
        <v>91.194596604933096</v>
      </c>
      <c r="AM178" s="4">
        <f t="shared" si="124"/>
        <v>26.411479713490198</v>
      </c>
      <c r="AN178" s="4">
        <f t="shared" si="124"/>
        <v>26.1427687893122</v>
      </c>
      <c r="AO178" s="4">
        <f t="shared" si="124"/>
        <v>25.943848328760701</v>
      </c>
      <c r="AP178" s="4">
        <f t="shared" si="124"/>
        <v>25.8645737532845</v>
      </c>
      <c r="AQ178" s="4">
        <f t="shared" si="124"/>
        <v>25.9739879578662</v>
      </c>
      <c r="AR178" s="4">
        <f t="shared" si="124"/>
        <v>26.319757411106099</v>
      </c>
      <c r="AS178" s="4">
        <f t="shared" si="124"/>
        <v>26.9074604952878</v>
      </c>
      <c r="AT178" s="4">
        <f t="shared" si="124"/>
        <v>27.714585120974402</v>
      </c>
      <c r="AU178" s="4">
        <f t="shared" si="124"/>
        <v>28.686201559911801</v>
      </c>
      <c r="AV178" s="4">
        <f t="shared" si="124"/>
        <v>29.735174961658</v>
      </c>
      <c r="AW178" s="4">
        <f t="shared" si="124"/>
        <v>30.7466741457038</v>
      </c>
      <c r="AX178" s="4">
        <f t="shared" si="124"/>
        <v>31.587535421341499</v>
      </c>
      <c r="AY178" s="4">
        <f t="shared" si="124"/>
        <v>32.148225405130503</v>
      </c>
      <c r="AZ178" s="4">
        <f t="shared" si="124"/>
        <v>32.341648956993197</v>
      </c>
      <c r="BA178" s="4">
        <f t="shared" si="124"/>
        <v>32.148265434966298</v>
      </c>
      <c r="BB178" s="4">
        <f t="shared" si="124"/>
        <v>31.537109711669899</v>
      </c>
      <c r="BC178" s="4">
        <f t="shared" si="124"/>
        <v>30.5015666825933</v>
      </c>
      <c r="BD178" s="4">
        <f t="shared" si="124"/>
        <v>29.0880848408341</v>
      </c>
      <c r="BE178" s="4">
        <f t="shared" si="124"/>
        <v>27.3693203585878</v>
      </c>
      <c r="BF178" s="4">
        <f t="shared" si="124"/>
        <v>23.839509369719199</v>
      </c>
      <c r="BG178" s="4">
        <f t="shared" si="124"/>
        <v>16.881376090928399</v>
      </c>
      <c r="BH178" s="4">
        <f t="shared" si="124"/>
        <v>8.2168141938002996</v>
      </c>
      <c r="BI178" s="4">
        <f t="shared" si="124"/>
        <v>0.36134748031570002</v>
      </c>
      <c r="BJ178" s="4">
        <f t="shared" si="124"/>
        <v>0</v>
      </c>
      <c r="BK178" s="4">
        <f t="shared" si="124"/>
        <v>0</v>
      </c>
      <c r="BL178" s="4">
        <f t="shared" si="124"/>
        <v>0</v>
      </c>
      <c r="BM178" s="4">
        <f t="shared" si="124"/>
        <v>0</v>
      </c>
      <c r="BN178" s="4">
        <f t="shared" si="124"/>
        <v>0</v>
      </c>
      <c r="BO178" s="4">
        <f t="shared" si="124"/>
        <v>0</v>
      </c>
      <c r="BP178" s="4">
        <f t="shared" si="124"/>
        <v>0</v>
      </c>
      <c r="BQ178" s="4">
        <f t="shared" si="124"/>
        <v>0</v>
      </c>
      <c r="BR178" s="4">
        <f t="shared" si="124"/>
        <v>0</v>
      </c>
      <c r="BS178" s="4">
        <f t="shared" si="124"/>
        <v>0</v>
      </c>
      <c r="BT178" s="4">
        <f t="shared" ref="BT178:CD178" si="125">SUM(BT179:BT184)</f>
        <v>0</v>
      </c>
      <c r="BU178" s="4">
        <f t="shared" si="125"/>
        <v>0</v>
      </c>
      <c r="BV178" s="4">
        <f t="shared" si="125"/>
        <v>0</v>
      </c>
      <c r="BW178" s="4">
        <f t="shared" si="125"/>
        <v>0</v>
      </c>
      <c r="BX178" s="4">
        <f t="shared" si="125"/>
        <v>0</v>
      </c>
      <c r="BY178" s="4">
        <f t="shared" si="125"/>
        <v>0</v>
      </c>
      <c r="BZ178" s="4">
        <f t="shared" si="125"/>
        <v>0</v>
      </c>
      <c r="CA178" s="4">
        <f t="shared" si="125"/>
        <v>0</v>
      </c>
      <c r="CB178" s="4">
        <f t="shared" si="125"/>
        <v>0</v>
      </c>
      <c r="CC178" s="4">
        <f t="shared" si="125"/>
        <v>0</v>
      </c>
      <c r="CD178" s="4">
        <f t="shared" si="125"/>
        <v>0</v>
      </c>
    </row>
    <row r="179" spans="3:82" s="3" customFormat="1" x14ac:dyDescent="0.2">
      <c r="D179" s="3" t="s">
        <v>116</v>
      </c>
    </row>
    <row r="180" spans="3:82" s="3" customFormat="1" x14ac:dyDescent="0.2">
      <c r="E180" s="3" t="s">
        <v>117</v>
      </c>
      <c r="F180" s="3" t="s">
        <v>7</v>
      </c>
      <c r="AF180" s="3">
        <f t="shared" ref="AF180:BS181" si="126">AN394</f>
        <v>0</v>
      </c>
      <c r="AG180" s="3">
        <f t="shared" si="126"/>
        <v>0</v>
      </c>
      <c r="AH180" s="3">
        <f t="shared" si="126"/>
        <v>0</v>
      </c>
      <c r="AI180" s="3">
        <f t="shared" si="126"/>
        <v>0</v>
      </c>
      <c r="AJ180" s="3">
        <f t="shared" si="126"/>
        <v>0</v>
      </c>
      <c r="AK180" s="3">
        <f t="shared" si="126"/>
        <v>0</v>
      </c>
      <c r="AL180" s="3">
        <f t="shared" si="126"/>
        <v>0</v>
      </c>
      <c r="AM180" s="3">
        <f t="shared" si="126"/>
        <v>0</v>
      </c>
      <c r="AN180" s="3">
        <f t="shared" si="126"/>
        <v>0</v>
      </c>
      <c r="AO180" s="3">
        <f t="shared" si="126"/>
        <v>0</v>
      </c>
      <c r="AP180" s="3">
        <f t="shared" si="126"/>
        <v>0</v>
      </c>
      <c r="AQ180" s="3">
        <f t="shared" si="126"/>
        <v>0</v>
      </c>
      <c r="AR180" s="3">
        <f t="shared" si="126"/>
        <v>0</v>
      </c>
      <c r="AS180" s="3">
        <f t="shared" si="126"/>
        <v>0</v>
      </c>
      <c r="AT180" s="3">
        <f t="shared" si="126"/>
        <v>0</v>
      </c>
      <c r="AU180" s="3">
        <f t="shared" si="126"/>
        <v>0</v>
      </c>
      <c r="AV180" s="3">
        <f t="shared" si="126"/>
        <v>0</v>
      </c>
      <c r="AW180" s="3">
        <f t="shared" si="126"/>
        <v>0</v>
      </c>
      <c r="AX180" s="3">
        <f t="shared" si="126"/>
        <v>0</v>
      </c>
      <c r="AY180" s="3">
        <f t="shared" si="126"/>
        <v>0</v>
      </c>
      <c r="AZ180" s="3">
        <f t="shared" si="126"/>
        <v>0</v>
      </c>
      <c r="BA180" s="3">
        <f t="shared" si="126"/>
        <v>0</v>
      </c>
      <c r="BB180" s="3">
        <f t="shared" si="126"/>
        <v>0</v>
      </c>
      <c r="BC180" s="3">
        <f t="shared" si="126"/>
        <v>0</v>
      </c>
      <c r="BD180" s="3">
        <f t="shared" si="126"/>
        <v>0</v>
      </c>
      <c r="BE180" s="3">
        <f t="shared" si="126"/>
        <v>0</v>
      </c>
      <c r="BF180" s="3">
        <f t="shared" si="126"/>
        <v>0</v>
      </c>
      <c r="BG180" s="3">
        <f t="shared" si="126"/>
        <v>0</v>
      </c>
      <c r="BH180" s="3">
        <f t="shared" si="126"/>
        <v>0</v>
      </c>
      <c r="BI180" s="3">
        <f t="shared" si="126"/>
        <v>0</v>
      </c>
      <c r="BJ180" s="3">
        <f t="shared" si="126"/>
        <v>0</v>
      </c>
      <c r="BK180" s="3">
        <f t="shared" si="126"/>
        <v>0</v>
      </c>
      <c r="BL180" s="3">
        <f t="shared" si="126"/>
        <v>0</v>
      </c>
      <c r="BM180" s="3">
        <f t="shared" si="126"/>
        <v>0</v>
      </c>
      <c r="BN180" s="3">
        <f t="shared" si="126"/>
        <v>0</v>
      </c>
      <c r="BO180" s="3">
        <f t="shared" si="126"/>
        <v>0</v>
      </c>
      <c r="BP180" s="3">
        <f t="shared" si="126"/>
        <v>0</v>
      </c>
      <c r="BQ180" s="3">
        <f t="shared" si="126"/>
        <v>0</v>
      </c>
      <c r="BR180" s="3">
        <f t="shared" si="126"/>
        <v>0</v>
      </c>
      <c r="BS180" s="3">
        <f t="shared" si="126"/>
        <v>0</v>
      </c>
      <c r="BT180" s="3">
        <f t="shared" ref="BT180:CD180" si="127">CB394</f>
        <v>0</v>
      </c>
      <c r="BU180" s="3">
        <f t="shared" si="127"/>
        <v>0</v>
      </c>
      <c r="BV180" s="3">
        <f t="shared" si="127"/>
        <v>0</v>
      </c>
      <c r="BW180" s="3">
        <f t="shared" si="127"/>
        <v>0</v>
      </c>
      <c r="BX180" s="3">
        <f t="shared" si="127"/>
        <v>0</v>
      </c>
      <c r="BY180" s="3">
        <f t="shared" si="127"/>
        <v>0</v>
      </c>
      <c r="BZ180" s="3">
        <f t="shared" si="127"/>
        <v>0</v>
      </c>
      <c r="CA180" s="3">
        <f t="shared" si="127"/>
        <v>0</v>
      </c>
      <c r="CB180" s="3">
        <f t="shared" si="127"/>
        <v>0</v>
      </c>
      <c r="CC180" s="3">
        <f t="shared" si="127"/>
        <v>0</v>
      </c>
      <c r="CD180" s="3">
        <f t="shared" si="127"/>
        <v>0</v>
      </c>
    </row>
    <row r="181" spans="3:82" s="3" customFormat="1" x14ac:dyDescent="0.2">
      <c r="E181" s="3" t="s">
        <v>119</v>
      </c>
      <c r="F181" s="3" t="s">
        <v>7</v>
      </c>
      <c r="AF181" s="3">
        <f t="shared" si="126"/>
        <v>0</v>
      </c>
      <c r="AG181" s="3">
        <f t="shared" si="126"/>
        <v>0</v>
      </c>
      <c r="AH181" s="3">
        <f t="shared" si="126"/>
        <v>0</v>
      </c>
      <c r="AI181" s="3">
        <f t="shared" si="126"/>
        <v>0</v>
      </c>
      <c r="AJ181" s="3">
        <f t="shared" si="126"/>
        <v>0</v>
      </c>
      <c r="AK181" s="3">
        <f t="shared" si="126"/>
        <v>0</v>
      </c>
      <c r="AL181" s="3">
        <f t="shared" si="126"/>
        <v>0</v>
      </c>
      <c r="AM181" s="3">
        <f t="shared" si="126"/>
        <v>0</v>
      </c>
      <c r="AN181" s="3">
        <f t="shared" si="126"/>
        <v>0</v>
      </c>
      <c r="AO181" s="3">
        <f t="shared" si="126"/>
        <v>0</v>
      </c>
      <c r="AP181" s="3">
        <f t="shared" si="126"/>
        <v>0</v>
      </c>
      <c r="AQ181" s="3">
        <f t="shared" si="126"/>
        <v>0</v>
      </c>
      <c r="AR181" s="3">
        <f t="shared" si="126"/>
        <v>0</v>
      </c>
      <c r="AS181" s="3">
        <f t="shared" si="126"/>
        <v>0</v>
      </c>
      <c r="AT181" s="3">
        <f t="shared" si="126"/>
        <v>0</v>
      </c>
      <c r="AU181" s="3">
        <f t="shared" si="126"/>
        <v>0</v>
      </c>
      <c r="AV181" s="3">
        <f t="shared" si="126"/>
        <v>0</v>
      </c>
      <c r="AW181" s="3">
        <f t="shared" si="126"/>
        <v>0</v>
      </c>
      <c r="AX181" s="3">
        <f t="shared" si="126"/>
        <v>0</v>
      </c>
      <c r="AY181" s="3">
        <f t="shared" si="126"/>
        <v>0</v>
      </c>
      <c r="AZ181" s="3">
        <f t="shared" si="126"/>
        <v>0</v>
      </c>
      <c r="BA181" s="3">
        <f t="shared" si="126"/>
        <v>0</v>
      </c>
      <c r="BB181" s="3">
        <f t="shared" si="126"/>
        <v>0</v>
      </c>
      <c r="BC181" s="3">
        <f t="shared" si="126"/>
        <v>0</v>
      </c>
      <c r="BD181" s="3">
        <f t="shared" si="126"/>
        <v>0</v>
      </c>
      <c r="BE181" s="3">
        <f t="shared" si="126"/>
        <v>0</v>
      </c>
      <c r="BF181" s="3">
        <f t="shared" si="126"/>
        <v>0</v>
      </c>
      <c r="BG181" s="3">
        <f t="shared" si="126"/>
        <v>0</v>
      </c>
      <c r="BH181" s="3">
        <f t="shared" si="126"/>
        <v>0</v>
      </c>
      <c r="BI181" s="3">
        <f t="shared" si="126"/>
        <v>0</v>
      </c>
      <c r="BJ181" s="3">
        <f t="shared" si="126"/>
        <v>0</v>
      </c>
      <c r="BK181" s="3">
        <f t="shared" si="126"/>
        <v>0</v>
      </c>
      <c r="BL181" s="3">
        <f t="shared" si="126"/>
        <v>0</v>
      </c>
      <c r="BM181" s="3">
        <f t="shared" si="126"/>
        <v>0</v>
      </c>
      <c r="BN181" s="3">
        <f t="shared" si="126"/>
        <v>0</v>
      </c>
      <c r="BO181" s="3">
        <f t="shared" si="126"/>
        <v>0</v>
      </c>
      <c r="BP181" s="3">
        <f t="shared" si="126"/>
        <v>0</v>
      </c>
      <c r="BQ181" s="3">
        <f t="shared" si="126"/>
        <v>0</v>
      </c>
      <c r="BR181" s="3">
        <f t="shared" si="126"/>
        <v>0</v>
      </c>
      <c r="BS181" s="3">
        <f>CA395</f>
        <v>0</v>
      </c>
      <c r="BT181" s="3">
        <f>CB395</f>
        <v>0</v>
      </c>
      <c r="BU181" s="3">
        <f>CC395</f>
        <v>0</v>
      </c>
      <c r="BV181" s="3">
        <f>CD395</f>
        <v>0</v>
      </c>
      <c r="BW181" s="3">
        <f>CE395</f>
        <v>0</v>
      </c>
      <c r="BX181" s="3">
        <f>CF395</f>
        <v>0</v>
      </c>
      <c r="BY181" s="3">
        <f>CG395</f>
        <v>0</v>
      </c>
      <c r="BZ181" s="3">
        <f>CH395</f>
        <v>0</v>
      </c>
      <c r="CA181" s="3">
        <f>CI395</f>
        <v>0</v>
      </c>
      <c r="CB181" s="3">
        <f>CJ395</f>
        <v>0</v>
      </c>
      <c r="CC181" s="3">
        <f>CK395</f>
        <v>0</v>
      </c>
      <c r="CD181" s="3">
        <f>CL395</f>
        <v>0</v>
      </c>
    </row>
    <row r="182" spans="3:82" s="3" customFormat="1" x14ac:dyDescent="0.2">
      <c r="D182" s="3" t="s">
        <v>120</v>
      </c>
    </row>
    <row r="183" spans="3:82" s="3" customFormat="1" x14ac:dyDescent="0.2">
      <c r="E183" s="3" t="s">
        <v>121</v>
      </c>
      <c r="F183" s="3" t="s">
        <v>7</v>
      </c>
      <c r="AF183" s="3">
        <f>AN396</f>
        <v>17.434938696936101</v>
      </c>
      <c r="AG183" s="3">
        <f>AO396</f>
        <v>16.580673406990599</v>
      </c>
      <c r="AH183" s="3">
        <f>AP396</f>
        <v>15.768773101314</v>
      </c>
      <c r="AI183" s="3">
        <f>AQ396</f>
        <v>15.019620365454699</v>
      </c>
      <c r="AJ183" s="3">
        <f>AR396</f>
        <v>14.3546004457669</v>
      </c>
      <c r="AK183" s="3">
        <f>AS396</f>
        <v>13.8354080549218</v>
      </c>
      <c r="AL183" s="3">
        <f>AT396</f>
        <v>13.9856337662816</v>
      </c>
      <c r="AM183" s="3">
        <f>AU396</f>
        <v>26.411479713490198</v>
      </c>
      <c r="AN183" s="3">
        <f>AV396</f>
        <v>26.1427687893122</v>
      </c>
      <c r="AO183" s="3">
        <f>AW396</f>
        <v>25.943848328760701</v>
      </c>
      <c r="AP183" s="3">
        <f>AX396</f>
        <v>25.8645737532845</v>
      </c>
      <c r="AQ183" s="3">
        <f>AY396</f>
        <v>25.9739879578662</v>
      </c>
      <c r="AR183" s="3">
        <f>AZ396</f>
        <v>26.319757411106099</v>
      </c>
      <c r="AS183" s="3">
        <f>BA396</f>
        <v>26.9074604952878</v>
      </c>
      <c r="AT183" s="3">
        <f>BB396</f>
        <v>27.714585120974402</v>
      </c>
      <c r="AU183" s="3">
        <f>BC396</f>
        <v>28.686201559911801</v>
      </c>
      <c r="AV183" s="3">
        <f>BD396</f>
        <v>29.735174961658</v>
      </c>
      <c r="AW183" s="3">
        <f>BE396</f>
        <v>30.7466741457038</v>
      </c>
      <c r="AX183" s="3">
        <f>BF396</f>
        <v>31.587535421341499</v>
      </c>
      <c r="AY183" s="3">
        <f>BG396</f>
        <v>32.148225405130503</v>
      </c>
      <c r="AZ183" s="3">
        <f>BH396</f>
        <v>32.341648956993197</v>
      </c>
      <c r="BA183" s="3">
        <f>BI396</f>
        <v>32.148265434966298</v>
      </c>
      <c r="BB183" s="3">
        <f>BJ396</f>
        <v>31.537109711669899</v>
      </c>
      <c r="BC183" s="3">
        <f>BK396</f>
        <v>30.5015666825933</v>
      </c>
      <c r="BD183" s="3">
        <f>BL396</f>
        <v>29.0880848408341</v>
      </c>
      <c r="BE183" s="3">
        <f>BM396</f>
        <v>27.3693203585878</v>
      </c>
      <c r="BF183" s="3">
        <f>BN396</f>
        <v>23.839509369719199</v>
      </c>
      <c r="BG183" s="3">
        <f>BO396</f>
        <v>16.881376090928399</v>
      </c>
      <c r="BH183" s="3">
        <f>BP396</f>
        <v>8.2168141938002996</v>
      </c>
      <c r="BI183" s="3">
        <f>BQ396</f>
        <v>0.36134748031570002</v>
      </c>
      <c r="BJ183" s="3">
        <f>BR396</f>
        <v>0</v>
      </c>
      <c r="BK183" s="3">
        <f>BS396</f>
        <v>0</v>
      </c>
      <c r="BL183" s="3">
        <f>BT396</f>
        <v>0</v>
      </c>
      <c r="BM183" s="3">
        <f>BU396</f>
        <v>0</v>
      </c>
      <c r="BN183" s="3">
        <f>BV396</f>
        <v>0</v>
      </c>
      <c r="BO183" s="3">
        <f>BW396</f>
        <v>0</v>
      </c>
      <c r="BP183" s="3">
        <f>BX396</f>
        <v>0</v>
      </c>
      <c r="BQ183" s="3">
        <f>BY396</f>
        <v>0</v>
      </c>
      <c r="BR183" s="3">
        <f>BZ396</f>
        <v>0</v>
      </c>
      <c r="BS183" s="3">
        <f>CA396</f>
        <v>0</v>
      </c>
      <c r="BT183" s="3">
        <f>CB396</f>
        <v>0</v>
      </c>
      <c r="BU183" s="3">
        <f>CC396</f>
        <v>0</v>
      </c>
      <c r="BV183" s="3">
        <f>CD396</f>
        <v>0</v>
      </c>
      <c r="BW183" s="3">
        <f>CE396</f>
        <v>0</v>
      </c>
      <c r="BX183" s="3">
        <f>CF396</f>
        <v>0</v>
      </c>
      <c r="BY183" s="3">
        <f>CG396</f>
        <v>0</v>
      </c>
      <c r="BZ183" s="3">
        <f>CH396</f>
        <v>0</v>
      </c>
      <c r="CA183" s="3">
        <f>CI396</f>
        <v>0</v>
      </c>
      <c r="CB183" s="3">
        <f>CJ396</f>
        <v>0</v>
      </c>
      <c r="CC183" s="3">
        <f>CK396</f>
        <v>0</v>
      </c>
      <c r="CD183" s="3">
        <f>CL396</f>
        <v>0</v>
      </c>
    </row>
    <row r="184" spans="3:82" s="3" customFormat="1" x14ac:dyDescent="0.2">
      <c r="E184" s="3" t="s">
        <v>122</v>
      </c>
      <c r="F184" s="3" t="s">
        <v>7</v>
      </c>
      <c r="AF184" s="3">
        <f>AN397</f>
        <v>103.9373716658709</v>
      </c>
      <c r="AG184" s="3">
        <f>AO397</f>
        <v>99.75409925028481</v>
      </c>
      <c r="AH184" s="3">
        <f>AP397</f>
        <v>95.789003963750801</v>
      </c>
      <c r="AI184" s="3">
        <f>AQ397</f>
        <v>91.432965540574415</v>
      </c>
      <c r="AJ184" s="3">
        <f>AR397</f>
        <v>87.520315067212408</v>
      </c>
      <c r="AK184" s="3">
        <f>AS397</f>
        <v>84.4059462295305</v>
      </c>
      <c r="AL184" s="3">
        <f>AT397</f>
        <v>77.208962838651502</v>
      </c>
      <c r="AM184" s="3">
        <f>AU397</f>
        <v>0</v>
      </c>
      <c r="AN184" s="3">
        <f>AV397</f>
        <v>0</v>
      </c>
      <c r="AO184" s="3">
        <f>AW397</f>
        <v>0</v>
      </c>
      <c r="AP184" s="3">
        <f>AX397</f>
        <v>0</v>
      </c>
      <c r="AQ184" s="3">
        <f>AY397</f>
        <v>0</v>
      </c>
      <c r="AR184" s="3">
        <f>AZ397</f>
        <v>0</v>
      </c>
      <c r="AS184" s="3">
        <f>BA397</f>
        <v>0</v>
      </c>
      <c r="AT184" s="3">
        <f>BB397</f>
        <v>0</v>
      </c>
      <c r="AU184" s="3">
        <f>BC397</f>
        <v>0</v>
      </c>
      <c r="AV184" s="3">
        <f>BD397</f>
        <v>0</v>
      </c>
      <c r="AW184" s="3">
        <f>BE397</f>
        <v>0</v>
      </c>
      <c r="AX184" s="3">
        <f>BF397</f>
        <v>0</v>
      </c>
      <c r="AY184" s="3">
        <f>BG397</f>
        <v>0</v>
      </c>
      <c r="AZ184" s="3">
        <f>BH397</f>
        <v>0</v>
      </c>
      <c r="BA184" s="3">
        <f>BI397</f>
        <v>0</v>
      </c>
      <c r="BB184" s="3">
        <f>BJ397</f>
        <v>0</v>
      </c>
      <c r="BC184" s="3">
        <f>BK397</f>
        <v>0</v>
      </c>
      <c r="BD184" s="3">
        <f>BL397</f>
        <v>0</v>
      </c>
      <c r="BE184" s="3">
        <f>BM397</f>
        <v>0</v>
      </c>
      <c r="BF184" s="3">
        <f>BN397</f>
        <v>0</v>
      </c>
      <c r="BG184" s="3">
        <f>BO397</f>
        <v>0</v>
      </c>
      <c r="BH184" s="3">
        <f>BP397</f>
        <v>0</v>
      </c>
      <c r="BI184" s="3">
        <f>BQ397</f>
        <v>0</v>
      </c>
      <c r="BJ184" s="3">
        <f>BR397</f>
        <v>0</v>
      </c>
      <c r="BK184" s="3">
        <f>BS397</f>
        <v>0</v>
      </c>
      <c r="BL184" s="3">
        <f>BT397</f>
        <v>0</v>
      </c>
      <c r="BM184" s="3">
        <f>BU397</f>
        <v>0</v>
      </c>
      <c r="BN184" s="3">
        <f>BV397</f>
        <v>0</v>
      </c>
      <c r="BO184" s="3">
        <f>BW397</f>
        <v>0</v>
      </c>
      <c r="BP184" s="3">
        <f>BX397</f>
        <v>0</v>
      </c>
      <c r="BQ184" s="3">
        <f>BY397</f>
        <v>0</v>
      </c>
      <c r="BR184" s="3">
        <f>BZ397</f>
        <v>0</v>
      </c>
      <c r="BS184" s="3">
        <f>CA397</f>
        <v>0</v>
      </c>
      <c r="BT184" s="3">
        <f>CB397</f>
        <v>0</v>
      </c>
      <c r="BU184" s="3">
        <f>CC397</f>
        <v>0</v>
      </c>
      <c r="BV184" s="3">
        <f>CD397</f>
        <v>0</v>
      </c>
      <c r="BW184" s="3">
        <f>CE397</f>
        <v>0</v>
      </c>
      <c r="BX184" s="3">
        <f>CF397</f>
        <v>0</v>
      </c>
      <c r="BY184" s="3">
        <f>CG397</f>
        <v>0</v>
      </c>
      <c r="BZ184" s="3">
        <f>CH397</f>
        <v>0</v>
      </c>
      <c r="CA184" s="3">
        <f>CI397</f>
        <v>0</v>
      </c>
      <c r="CB184" s="3">
        <f>CJ397</f>
        <v>0</v>
      </c>
      <c r="CC184" s="3">
        <f>CK397</f>
        <v>0</v>
      </c>
      <c r="CD184" s="3">
        <f>CL397</f>
        <v>0</v>
      </c>
    </row>
    <row r="185" spans="3:82" s="4" customFormat="1" x14ac:dyDescent="0.2">
      <c r="C185" s="4" t="s">
        <v>123</v>
      </c>
      <c r="G185" s="4">
        <f>SUM(G186:G192)</f>
        <v>0</v>
      </c>
      <c r="H185" s="4">
        <f t="shared" ref="H185:BS185" si="128">SUM(H186:H192)</f>
        <v>0</v>
      </c>
      <c r="I185" s="4">
        <f t="shared" si="128"/>
        <v>0</v>
      </c>
      <c r="J185" s="4">
        <f t="shared" si="128"/>
        <v>0</v>
      </c>
      <c r="K185" s="4">
        <f t="shared" si="128"/>
        <v>0</v>
      </c>
      <c r="L185" s="4">
        <f t="shared" si="128"/>
        <v>0</v>
      </c>
      <c r="M185" s="4">
        <f t="shared" si="128"/>
        <v>0</v>
      </c>
      <c r="N185" s="4">
        <f t="shared" si="128"/>
        <v>0</v>
      </c>
      <c r="O185" s="4">
        <f t="shared" si="128"/>
        <v>0</v>
      </c>
      <c r="P185" s="4">
        <f t="shared" si="128"/>
        <v>0</v>
      </c>
      <c r="Q185" s="4">
        <f t="shared" si="128"/>
        <v>0</v>
      </c>
      <c r="R185" s="4">
        <f t="shared" si="128"/>
        <v>0</v>
      </c>
      <c r="S185" s="4">
        <f t="shared" si="128"/>
        <v>0</v>
      </c>
      <c r="T185" s="4">
        <f t="shared" si="128"/>
        <v>0</v>
      </c>
      <c r="U185" s="4">
        <f t="shared" si="128"/>
        <v>0</v>
      </c>
      <c r="V185" s="4">
        <f t="shared" si="128"/>
        <v>0</v>
      </c>
      <c r="W185" s="4">
        <f t="shared" si="128"/>
        <v>0</v>
      </c>
      <c r="X185" s="4">
        <f t="shared" si="128"/>
        <v>0</v>
      </c>
      <c r="Y185" s="4">
        <f t="shared" si="128"/>
        <v>0</v>
      </c>
      <c r="Z185" s="4">
        <f t="shared" si="128"/>
        <v>0</v>
      </c>
      <c r="AA185" s="4">
        <f t="shared" si="128"/>
        <v>0</v>
      </c>
      <c r="AB185" s="4">
        <f t="shared" si="128"/>
        <v>0</v>
      </c>
      <c r="AC185" s="4">
        <f t="shared" si="128"/>
        <v>0</v>
      </c>
      <c r="AD185" s="4">
        <f t="shared" si="128"/>
        <v>0</v>
      </c>
      <c r="AE185" s="4">
        <f t="shared" si="128"/>
        <v>0</v>
      </c>
      <c r="AF185" s="4">
        <f t="shared" si="128"/>
        <v>0.2305547418176</v>
      </c>
      <c r="AG185" s="4">
        <f t="shared" si="128"/>
        <v>0.2222266958853</v>
      </c>
      <c r="AH185" s="4">
        <f t="shared" si="128"/>
        <v>0.2158396472579</v>
      </c>
      <c r="AI185" s="4">
        <f t="shared" si="128"/>
        <v>0.1108735301049</v>
      </c>
      <c r="AJ185" s="4">
        <f t="shared" si="128"/>
        <v>0</v>
      </c>
      <c r="AK185" s="4">
        <f t="shared" si="128"/>
        <v>0</v>
      </c>
      <c r="AL185" s="4">
        <f t="shared" si="128"/>
        <v>0</v>
      </c>
      <c r="AM185" s="4">
        <f t="shared" si="128"/>
        <v>0</v>
      </c>
      <c r="AN185" s="4">
        <f t="shared" si="128"/>
        <v>0</v>
      </c>
      <c r="AO185" s="4">
        <f t="shared" si="128"/>
        <v>0</v>
      </c>
      <c r="AP185" s="4">
        <f t="shared" si="128"/>
        <v>0</v>
      </c>
      <c r="AQ185" s="4">
        <f t="shared" si="128"/>
        <v>0</v>
      </c>
      <c r="AR185" s="4">
        <f t="shared" si="128"/>
        <v>0</v>
      </c>
      <c r="AS185" s="4">
        <f t="shared" si="128"/>
        <v>0</v>
      </c>
      <c r="AT185" s="4">
        <f t="shared" si="128"/>
        <v>0</v>
      </c>
      <c r="AU185" s="4">
        <f t="shared" si="128"/>
        <v>0</v>
      </c>
      <c r="AV185" s="4">
        <f t="shared" si="128"/>
        <v>0</v>
      </c>
      <c r="AW185" s="4">
        <f t="shared" si="128"/>
        <v>0</v>
      </c>
      <c r="AX185" s="4">
        <f t="shared" si="128"/>
        <v>0</v>
      </c>
      <c r="AY185" s="4">
        <f t="shared" si="128"/>
        <v>0</v>
      </c>
      <c r="AZ185" s="4">
        <f t="shared" si="128"/>
        <v>0</v>
      </c>
      <c r="BA185" s="4">
        <f t="shared" si="128"/>
        <v>0</v>
      </c>
      <c r="BB185" s="4">
        <f t="shared" si="128"/>
        <v>0</v>
      </c>
      <c r="BC185" s="4">
        <f t="shared" si="128"/>
        <v>0</v>
      </c>
      <c r="BD185" s="4">
        <f t="shared" si="128"/>
        <v>0</v>
      </c>
      <c r="BE185" s="4">
        <f t="shared" si="128"/>
        <v>0</v>
      </c>
      <c r="BF185" s="4">
        <f t="shared" si="128"/>
        <v>0</v>
      </c>
      <c r="BG185" s="4">
        <f t="shared" si="128"/>
        <v>0</v>
      </c>
      <c r="BH185" s="4">
        <f t="shared" si="128"/>
        <v>0</v>
      </c>
      <c r="BI185" s="4">
        <f t="shared" si="128"/>
        <v>0</v>
      </c>
      <c r="BJ185" s="4">
        <f t="shared" si="128"/>
        <v>0</v>
      </c>
      <c r="BK185" s="4">
        <f t="shared" si="128"/>
        <v>0</v>
      </c>
      <c r="BL185" s="4">
        <f t="shared" si="128"/>
        <v>0</v>
      </c>
      <c r="BM185" s="4">
        <f t="shared" si="128"/>
        <v>0</v>
      </c>
      <c r="BN185" s="4">
        <f t="shared" si="128"/>
        <v>0</v>
      </c>
      <c r="BO185" s="4">
        <f t="shared" si="128"/>
        <v>0</v>
      </c>
      <c r="BP185" s="4">
        <f t="shared" si="128"/>
        <v>0</v>
      </c>
      <c r="BQ185" s="4">
        <f t="shared" si="128"/>
        <v>0</v>
      </c>
      <c r="BR185" s="4">
        <f t="shared" si="128"/>
        <v>0</v>
      </c>
      <c r="BS185" s="4">
        <f t="shared" si="128"/>
        <v>0</v>
      </c>
      <c r="BT185" s="4">
        <f t="shared" ref="BT185:CD185" si="129">SUM(BT186:BT192)</f>
        <v>0</v>
      </c>
      <c r="BU185" s="4">
        <f t="shared" si="129"/>
        <v>0</v>
      </c>
      <c r="BV185" s="4">
        <f t="shared" si="129"/>
        <v>0</v>
      </c>
      <c r="BW185" s="4">
        <f t="shared" si="129"/>
        <v>0</v>
      </c>
      <c r="BX185" s="4">
        <f t="shared" si="129"/>
        <v>0</v>
      </c>
      <c r="BY185" s="4">
        <f t="shared" si="129"/>
        <v>0</v>
      </c>
      <c r="BZ185" s="4">
        <f t="shared" si="129"/>
        <v>0</v>
      </c>
      <c r="CA185" s="4">
        <f t="shared" si="129"/>
        <v>0</v>
      </c>
      <c r="CB185" s="4">
        <f t="shared" si="129"/>
        <v>0</v>
      </c>
      <c r="CC185" s="4">
        <f t="shared" si="129"/>
        <v>0</v>
      </c>
      <c r="CD185" s="4">
        <f t="shared" si="129"/>
        <v>0</v>
      </c>
    </row>
    <row r="186" spans="3:82" s="3" customFormat="1" x14ac:dyDescent="0.2">
      <c r="D186" s="3" t="s">
        <v>124</v>
      </c>
      <c r="F186" s="3" t="s">
        <v>7</v>
      </c>
      <c r="AF186" s="3">
        <f>AN398</f>
        <v>0</v>
      </c>
      <c r="AG186" s="3">
        <f>AO398</f>
        <v>0</v>
      </c>
      <c r="AH186" s="3">
        <f>AP398</f>
        <v>0</v>
      </c>
      <c r="AI186" s="3">
        <f>AQ398</f>
        <v>0</v>
      </c>
      <c r="AJ186" s="3">
        <f>AR398</f>
        <v>0</v>
      </c>
      <c r="AK186" s="3">
        <f>AS398</f>
        <v>0</v>
      </c>
      <c r="AL186" s="3">
        <f>AT398</f>
        <v>0</v>
      </c>
      <c r="AM186" s="3">
        <f>AU398</f>
        <v>0</v>
      </c>
      <c r="AN186" s="3">
        <f>AV398</f>
        <v>0</v>
      </c>
      <c r="AO186" s="3">
        <f>AW398</f>
        <v>0</v>
      </c>
      <c r="AP186" s="3">
        <f>AX398</f>
        <v>0</v>
      </c>
      <c r="AQ186" s="3">
        <f>AY398</f>
        <v>0</v>
      </c>
      <c r="AR186" s="3">
        <f>AZ398</f>
        <v>0</v>
      </c>
      <c r="AS186" s="3">
        <f>BA398</f>
        <v>0</v>
      </c>
      <c r="AT186" s="3">
        <f>BB398</f>
        <v>0</v>
      </c>
      <c r="AU186" s="3">
        <f>BC398</f>
        <v>0</v>
      </c>
      <c r="AV186" s="3">
        <f>BD398</f>
        <v>0</v>
      </c>
      <c r="AW186" s="3">
        <f>BE398</f>
        <v>0</v>
      </c>
      <c r="AX186" s="3">
        <f>BF398</f>
        <v>0</v>
      </c>
      <c r="AY186" s="3">
        <f>BG398</f>
        <v>0</v>
      </c>
      <c r="AZ186" s="3">
        <f>BH398</f>
        <v>0</v>
      </c>
      <c r="BA186" s="3">
        <f>BI398</f>
        <v>0</v>
      </c>
      <c r="BB186" s="3">
        <f>BJ398</f>
        <v>0</v>
      </c>
      <c r="BC186" s="3">
        <f>BK398</f>
        <v>0</v>
      </c>
      <c r="BD186" s="3">
        <f>BL398</f>
        <v>0</v>
      </c>
      <c r="BE186" s="3">
        <f>BM398</f>
        <v>0</v>
      </c>
      <c r="BF186" s="3">
        <f>BN398</f>
        <v>0</v>
      </c>
      <c r="BG186" s="3">
        <f>BO398</f>
        <v>0</v>
      </c>
      <c r="BH186" s="3">
        <f>BP398</f>
        <v>0</v>
      </c>
      <c r="BI186" s="3">
        <f>BQ398</f>
        <v>0</v>
      </c>
      <c r="BJ186" s="3">
        <f>BR398</f>
        <v>0</v>
      </c>
      <c r="BK186" s="3">
        <f>BS398</f>
        <v>0</v>
      </c>
      <c r="BL186" s="3">
        <f>BT398</f>
        <v>0</v>
      </c>
      <c r="BM186" s="3">
        <f>BU398</f>
        <v>0</v>
      </c>
      <c r="BN186" s="3">
        <f>BV398</f>
        <v>0</v>
      </c>
      <c r="BO186" s="3">
        <f>BW398</f>
        <v>0</v>
      </c>
      <c r="BP186" s="3">
        <f>BX398</f>
        <v>0</v>
      </c>
      <c r="BQ186" s="3">
        <f>BY398</f>
        <v>0</v>
      </c>
      <c r="BR186" s="3">
        <f>BZ398</f>
        <v>0</v>
      </c>
      <c r="BS186" s="3">
        <f>CA398</f>
        <v>0</v>
      </c>
      <c r="BT186" s="3">
        <f>CB398</f>
        <v>0</v>
      </c>
      <c r="BU186" s="3">
        <f>CC398</f>
        <v>0</v>
      </c>
      <c r="BV186" s="3">
        <f>CD398</f>
        <v>0</v>
      </c>
      <c r="BW186" s="3">
        <f>CE398</f>
        <v>0</v>
      </c>
      <c r="BX186" s="3">
        <f>CF398</f>
        <v>0</v>
      </c>
      <c r="BY186" s="3">
        <f>CG398</f>
        <v>0</v>
      </c>
      <c r="BZ186" s="3">
        <f>CH398</f>
        <v>0</v>
      </c>
      <c r="CA186" s="3">
        <f>CI398</f>
        <v>0</v>
      </c>
      <c r="CB186" s="3">
        <f>CJ398</f>
        <v>0</v>
      </c>
      <c r="CC186" s="3">
        <f>CK398</f>
        <v>0</v>
      </c>
      <c r="CD186" s="3">
        <f>CL398</f>
        <v>0</v>
      </c>
    </row>
    <row r="187" spans="3:82" s="3" customFormat="1" x14ac:dyDescent="0.2">
      <c r="D187" s="3" t="s">
        <v>126</v>
      </c>
    </row>
    <row r="188" spans="3:82" s="3" customFormat="1" x14ac:dyDescent="0.2">
      <c r="E188" s="3" t="s">
        <v>127</v>
      </c>
      <c r="F188" s="3" t="s">
        <v>7</v>
      </c>
      <c r="G188" s="3">
        <f>O399</f>
        <v>0</v>
      </c>
      <c r="H188" s="3">
        <f t="shared" ref="H188:BR188" si="130">P399</f>
        <v>0</v>
      </c>
      <c r="I188" s="3">
        <f t="shared" si="130"/>
        <v>0</v>
      </c>
      <c r="J188" s="3">
        <f t="shared" si="130"/>
        <v>0</v>
      </c>
      <c r="K188" s="3">
        <f t="shared" si="130"/>
        <v>0</v>
      </c>
      <c r="L188" s="3">
        <f t="shared" si="130"/>
        <v>0</v>
      </c>
      <c r="M188" s="3">
        <f t="shared" si="130"/>
        <v>0</v>
      </c>
      <c r="N188" s="3">
        <f t="shared" si="130"/>
        <v>0</v>
      </c>
      <c r="O188" s="3">
        <f t="shared" si="130"/>
        <v>0</v>
      </c>
      <c r="P188" s="3">
        <f t="shared" si="130"/>
        <v>0</v>
      </c>
      <c r="Q188" s="3">
        <f t="shared" si="130"/>
        <v>0</v>
      </c>
      <c r="R188" s="3">
        <f t="shared" si="130"/>
        <v>0</v>
      </c>
      <c r="S188" s="3">
        <f t="shared" si="130"/>
        <v>0</v>
      </c>
      <c r="T188" s="3">
        <f t="shared" si="130"/>
        <v>0</v>
      </c>
      <c r="U188" s="3">
        <f t="shared" si="130"/>
        <v>0</v>
      </c>
      <c r="V188" s="3">
        <f t="shared" si="130"/>
        <v>0</v>
      </c>
      <c r="W188" s="3">
        <f t="shared" si="130"/>
        <v>0</v>
      </c>
      <c r="X188" s="3">
        <f t="shared" si="130"/>
        <v>0</v>
      </c>
      <c r="Y188" s="3">
        <f t="shared" si="130"/>
        <v>0</v>
      </c>
      <c r="Z188" s="3">
        <f t="shared" si="130"/>
        <v>0</v>
      </c>
      <c r="AA188" s="3">
        <f t="shared" si="130"/>
        <v>0</v>
      </c>
      <c r="AB188" s="3">
        <f t="shared" si="130"/>
        <v>0</v>
      </c>
      <c r="AC188" s="3">
        <f t="shared" si="130"/>
        <v>0</v>
      </c>
      <c r="AD188" s="3">
        <f t="shared" si="130"/>
        <v>0</v>
      </c>
      <c r="AE188" s="3">
        <f t="shared" si="130"/>
        <v>0</v>
      </c>
      <c r="AF188" s="3">
        <f t="shared" si="130"/>
        <v>0</v>
      </c>
      <c r="AG188" s="3">
        <f t="shared" si="130"/>
        <v>0</v>
      </c>
      <c r="AH188" s="3">
        <f t="shared" si="130"/>
        <v>0</v>
      </c>
      <c r="AI188" s="3">
        <f t="shared" si="130"/>
        <v>0</v>
      </c>
      <c r="AJ188" s="3">
        <f t="shared" si="130"/>
        <v>0</v>
      </c>
      <c r="AK188" s="3">
        <f t="shared" si="130"/>
        <v>0</v>
      </c>
      <c r="AL188" s="3">
        <f t="shared" si="130"/>
        <v>0</v>
      </c>
      <c r="AM188" s="3">
        <f t="shared" si="130"/>
        <v>0</v>
      </c>
      <c r="AN188" s="3">
        <f t="shared" si="130"/>
        <v>0</v>
      </c>
      <c r="AO188" s="3">
        <f t="shared" si="130"/>
        <v>0</v>
      </c>
      <c r="AP188" s="3">
        <f t="shared" si="130"/>
        <v>0</v>
      </c>
      <c r="AQ188" s="3">
        <f t="shared" si="130"/>
        <v>0</v>
      </c>
      <c r="AR188" s="3">
        <f t="shared" si="130"/>
        <v>0</v>
      </c>
      <c r="AS188" s="3">
        <f t="shared" si="130"/>
        <v>0</v>
      </c>
      <c r="AT188" s="3">
        <f t="shared" si="130"/>
        <v>0</v>
      </c>
      <c r="AU188" s="3">
        <f t="shared" si="130"/>
        <v>0</v>
      </c>
      <c r="AV188" s="3">
        <f t="shared" si="130"/>
        <v>0</v>
      </c>
      <c r="AW188" s="3">
        <f t="shared" si="130"/>
        <v>0</v>
      </c>
      <c r="AX188" s="3">
        <f t="shared" si="130"/>
        <v>0</v>
      </c>
      <c r="AY188" s="3">
        <f t="shared" si="130"/>
        <v>0</v>
      </c>
      <c r="AZ188" s="3">
        <f t="shared" si="130"/>
        <v>0</v>
      </c>
      <c r="BA188" s="3">
        <f t="shared" si="130"/>
        <v>0</v>
      </c>
      <c r="BB188" s="3">
        <f t="shared" si="130"/>
        <v>0</v>
      </c>
      <c r="BC188" s="3">
        <f t="shared" si="130"/>
        <v>0</v>
      </c>
      <c r="BD188" s="3">
        <f t="shared" si="130"/>
        <v>0</v>
      </c>
      <c r="BE188" s="3">
        <f t="shared" si="130"/>
        <v>0</v>
      </c>
      <c r="BF188" s="3">
        <f t="shared" si="130"/>
        <v>0</v>
      </c>
      <c r="BG188" s="3">
        <f t="shared" si="130"/>
        <v>0</v>
      </c>
      <c r="BH188" s="3">
        <f t="shared" si="130"/>
        <v>0</v>
      </c>
      <c r="BI188" s="3">
        <f t="shared" si="130"/>
        <v>0</v>
      </c>
      <c r="BJ188" s="3">
        <f t="shared" si="130"/>
        <v>0</v>
      </c>
      <c r="BK188" s="3">
        <f t="shared" si="130"/>
        <v>0</v>
      </c>
      <c r="BL188" s="3">
        <f t="shared" si="130"/>
        <v>0</v>
      </c>
      <c r="BM188" s="3">
        <f t="shared" si="130"/>
        <v>0</v>
      </c>
      <c r="BN188" s="3">
        <f t="shared" si="130"/>
        <v>0</v>
      </c>
      <c r="BO188" s="3">
        <f t="shared" si="130"/>
        <v>0</v>
      </c>
      <c r="BP188" s="3">
        <f t="shared" si="130"/>
        <v>0</v>
      </c>
      <c r="BQ188" s="3">
        <f t="shared" si="130"/>
        <v>0</v>
      </c>
      <c r="BR188" s="3">
        <f t="shared" si="130"/>
        <v>0</v>
      </c>
      <c r="BS188" s="3">
        <f t="shared" ref="BS188:CD191" si="131">CA399</f>
        <v>0</v>
      </c>
      <c r="BT188" s="3">
        <f t="shared" si="131"/>
        <v>0</v>
      </c>
      <c r="BU188" s="3">
        <f t="shared" si="131"/>
        <v>0</v>
      </c>
      <c r="BV188" s="3">
        <f t="shared" si="131"/>
        <v>0</v>
      </c>
      <c r="BW188" s="3">
        <f t="shared" si="131"/>
        <v>0</v>
      </c>
      <c r="BX188" s="3">
        <f t="shared" si="131"/>
        <v>0</v>
      </c>
      <c r="BY188" s="3">
        <f t="shared" si="131"/>
        <v>0</v>
      </c>
      <c r="BZ188" s="3">
        <f t="shared" si="131"/>
        <v>0</v>
      </c>
      <c r="CA188" s="3">
        <f t="shared" si="131"/>
        <v>0</v>
      </c>
      <c r="CB188" s="3">
        <f t="shared" si="131"/>
        <v>0</v>
      </c>
      <c r="CC188" s="3">
        <f t="shared" si="131"/>
        <v>0</v>
      </c>
      <c r="CD188" s="3">
        <f t="shared" si="131"/>
        <v>0</v>
      </c>
    </row>
    <row r="189" spans="3:82" s="3" customFormat="1" x14ac:dyDescent="0.2">
      <c r="E189" s="3" t="s">
        <v>128</v>
      </c>
      <c r="F189" s="3" t="s">
        <v>7</v>
      </c>
      <c r="AF189" s="3">
        <f t="shared" ref="H189:BS192" si="132">AN400</f>
        <v>0</v>
      </c>
      <c r="AG189" s="3">
        <f t="shared" si="132"/>
        <v>0</v>
      </c>
      <c r="AH189" s="3">
        <f t="shared" si="132"/>
        <v>0</v>
      </c>
      <c r="AI189" s="3">
        <f t="shared" si="132"/>
        <v>0</v>
      </c>
      <c r="AJ189" s="3">
        <f t="shared" si="132"/>
        <v>0</v>
      </c>
      <c r="AK189" s="3">
        <f t="shared" si="132"/>
        <v>0</v>
      </c>
      <c r="AL189" s="3">
        <f t="shared" si="132"/>
        <v>0</v>
      </c>
      <c r="AM189" s="3">
        <f t="shared" si="132"/>
        <v>0</v>
      </c>
      <c r="AN189" s="3">
        <f t="shared" si="132"/>
        <v>0</v>
      </c>
      <c r="AO189" s="3">
        <f t="shared" si="132"/>
        <v>0</v>
      </c>
      <c r="AP189" s="3">
        <f t="shared" si="132"/>
        <v>0</v>
      </c>
      <c r="AQ189" s="3">
        <f t="shared" si="132"/>
        <v>0</v>
      </c>
      <c r="AR189" s="3">
        <f t="shared" si="132"/>
        <v>0</v>
      </c>
      <c r="AS189" s="3">
        <f t="shared" si="132"/>
        <v>0</v>
      </c>
      <c r="AT189" s="3">
        <f t="shared" si="132"/>
        <v>0</v>
      </c>
      <c r="AU189" s="3">
        <f t="shared" si="132"/>
        <v>0</v>
      </c>
      <c r="AV189" s="3">
        <f t="shared" si="132"/>
        <v>0</v>
      </c>
      <c r="AW189" s="3">
        <f t="shared" si="132"/>
        <v>0</v>
      </c>
      <c r="AX189" s="3">
        <f t="shared" si="132"/>
        <v>0</v>
      </c>
      <c r="AY189" s="3">
        <f t="shared" si="132"/>
        <v>0</v>
      </c>
      <c r="AZ189" s="3">
        <f t="shared" si="132"/>
        <v>0</v>
      </c>
      <c r="BA189" s="3">
        <f t="shared" si="132"/>
        <v>0</v>
      </c>
      <c r="BB189" s="3">
        <f t="shared" si="132"/>
        <v>0</v>
      </c>
      <c r="BC189" s="3">
        <f t="shared" si="132"/>
        <v>0</v>
      </c>
      <c r="BD189" s="3">
        <f t="shared" si="132"/>
        <v>0</v>
      </c>
      <c r="BE189" s="3">
        <f t="shared" si="132"/>
        <v>0</v>
      </c>
      <c r="BF189" s="3">
        <f t="shared" si="132"/>
        <v>0</v>
      </c>
      <c r="BG189" s="3">
        <f t="shared" si="132"/>
        <v>0</v>
      </c>
      <c r="BH189" s="3">
        <f t="shared" si="132"/>
        <v>0</v>
      </c>
      <c r="BI189" s="3">
        <f t="shared" si="132"/>
        <v>0</v>
      </c>
      <c r="BJ189" s="3">
        <f t="shared" si="132"/>
        <v>0</v>
      </c>
      <c r="BK189" s="3">
        <f t="shared" si="132"/>
        <v>0</v>
      </c>
      <c r="BL189" s="3">
        <f t="shared" si="132"/>
        <v>0</v>
      </c>
      <c r="BM189" s="3">
        <f t="shared" si="132"/>
        <v>0</v>
      </c>
      <c r="BN189" s="3">
        <f t="shared" si="132"/>
        <v>0</v>
      </c>
      <c r="BO189" s="3">
        <f t="shared" si="132"/>
        <v>0</v>
      </c>
      <c r="BP189" s="3">
        <f t="shared" si="132"/>
        <v>0</v>
      </c>
      <c r="BQ189" s="3">
        <f t="shared" si="132"/>
        <v>0</v>
      </c>
      <c r="BR189" s="3">
        <f t="shared" si="132"/>
        <v>0</v>
      </c>
      <c r="BS189" s="3">
        <f t="shared" si="132"/>
        <v>0</v>
      </c>
      <c r="BT189" s="3">
        <f t="shared" si="131"/>
        <v>0</v>
      </c>
      <c r="BU189" s="3">
        <f t="shared" si="131"/>
        <v>0</v>
      </c>
      <c r="BV189" s="3">
        <f t="shared" si="131"/>
        <v>0</v>
      </c>
      <c r="BW189" s="3">
        <f t="shared" si="131"/>
        <v>0</v>
      </c>
      <c r="BX189" s="3">
        <f t="shared" si="131"/>
        <v>0</v>
      </c>
      <c r="BY189" s="3">
        <f t="shared" si="131"/>
        <v>0</v>
      </c>
      <c r="BZ189" s="3">
        <f t="shared" si="131"/>
        <v>0</v>
      </c>
      <c r="CA189" s="3">
        <f t="shared" si="131"/>
        <v>0</v>
      </c>
      <c r="CB189" s="3">
        <f t="shared" si="131"/>
        <v>0</v>
      </c>
      <c r="CC189" s="3">
        <f t="shared" si="131"/>
        <v>0</v>
      </c>
      <c r="CD189" s="3">
        <f t="shared" si="131"/>
        <v>0</v>
      </c>
    </row>
    <row r="190" spans="3:82" s="3" customFormat="1" x14ac:dyDescent="0.2">
      <c r="E190" s="3" t="s">
        <v>129</v>
      </c>
      <c r="F190" s="3" t="s">
        <v>7</v>
      </c>
      <c r="AF190" s="3">
        <f t="shared" si="132"/>
        <v>0.2305547418176</v>
      </c>
      <c r="AG190" s="3">
        <f t="shared" si="132"/>
        <v>0.2222266958853</v>
      </c>
      <c r="AH190" s="3">
        <f t="shared" si="132"/>
        <v>0.2158396472579</v>
      </c>
      <c r="AI190" s="3">
        <f t="shared" si="132"/>
        <v>0.1108735301049</v>
      </c>
      <c r="AJ190" s="3">
        <f t="shared" si="132"/>
        <v>0</v>
      </c>
      <c r="AK190" s="3">
        <f t="shared" si="132"/>
        <v>0</v>
      </c>
      <c r="AL190" s="3">
        <f t="shared" si="132"/>
        <v>0</v>
      </c>
      <c r="AM190" s="3">
        <f t="shared" si="132"/>
        <v>0</v>
      </c>
      <c r="AN190" s="3">
        <f t="shared" si="132"/>
        <v>0</v>
      </c>
      <c r="AO190" s="3">
        <f t="shared" si="132"/>
        <v>0</v>
      </c>
      <c r="AP190" s="3">
        <f t="shared" si="132"/>
        <v>0</v>
      </c>
      <c r="AQ190" s="3">
        <f t="shared" si="132"/>
        <v>0</v>
      </c>
      <c r="AR190" s="3">
        <f t="shared" si="132"/>
        <v>0</v>
      </c>
      <c r="AS190" s="3">
        <f t="shared" si="132"/>
        <v>0</v>
      </c>
      <c r="AT190" s="3">
        <f t="shared" si="132"/>
        <v>0</v>
      </c>
      <c r="AU190" s="3">
        <f t="shared" si="132"/>
        <v>0</v>
      </c>
      <c r="AV190" s="3">
        <f t="shared" si="132"/>
        <v>0</v>
      </c>
      <c r="AW190" s="3">
        <f t="shared" si="132"/>
        <v>0</v>
      </c>
      <c r="AX190" s="3">
        <f t="shared" si="132"/>
        <v>0</v>
      </c>
      <c r="AY190" s="3">
        <f t="shared" si="132"/>
        <v>0</v>
      </c>
      <c r="AZ190" s="3">
        <f t="shared" si="132"/>
        <v>0</v>
      </c>
      <c r="BA190" s="3">
        <f t="shared" si="132"/>
        <v>0</v>
      </c>
      <c r="BB190" s="3">
        <f t="shared" si="132"/>
        <v>0</v>
      </c>
      <c r="BC190" s="3">
        <f t="shared" si="132"/>
        <v>0</v>
      </c>
      <c r="BD190" s="3">
        <f t="shared" si="132"/>
        <v>0</v>
      </c>
      <c r="BE190" s="3">
        <f t="shared" si="132"/>
        <v>0</v>
      </c>
      <c r="BF190" s="3">
        <f t="shared" si="132"/>
        <v>0</v>
      </c>
      <c r="BG190" s="3">
        <f t="shared" si="132"/>
        <v>0</v>
      </c>
      <c r="BH190" s="3">
        <f t="shared" si="132"/>
        <v>0</v>
      </c>
      <c r="BI190" s="3">
        <f t="shared" si="132"/>
        <v>0</v>
      </c>
      <c r="BJ190" s="3">
        <f t="shared" si="132"/>
        <v>0</v>
      </c>
      <c r="BK190" s="3">
        <f t="shared" si="132"/>
        <v>0</v>
      </c>
      <c r="BL190" s="3">
        <f t="shared" si="132"/>
        <v>0</v>
      </c>
      <c r="BM190" s="3">
        <f t="shared" si="132"/>
        <v>0</v>
      </c>
      <c r="BN190" s="3">
        <f t="shared" si="132"/>
        <v>0</v>
      </c>
      <c r="BO190" s="3">
        <f t="shared" si="132"/>
        <v>0</v>
      </c>
      <c r="BP190" s="3">
        <f t="shared" si="132"/>
        <v>0</v>
      </c>
      <c r="BQ190" s="3">
        <f t="shared" si="132"/>
        <v>0</v>
      </c>
      <c r="BR190" s="3">
        <f t="shared" si="132"/>
        <v>0</v>
      </c>
      <c r="BS190" s="3">
        <f t="shared" si="132"/>
        <v>0</v>
      </c>
      <c r="BT190" s="3">
        <f t="shared" si="131"/>
        <v>0</v>
      </c>
      <c r="BU190" s="3">
        <f t="shared" si="131"/>
        <v>0</v>
      </c>
      <c r="BV190" s="3">
        <f t="shared" si="131"/>
        <v>0</v>
      </c>
      <c r="BW190" s="3">
        <f t="shared" si="131"/>
        <v>0</v>
      </c>
      <c r="BX190" s="3">
        <f t="shared" si="131"/>
        <v>0</v>
      </c>
      <c r="BY190" s="3">
        <f t="shared" si="131"/>
        <v>0</v>
      </c>
      <c r="BZ190" s="3">
        <f t="shared" si="131"/>
        <v>0</v>
      </c>
      <c r="CA190" s="3">
        <f t="shared" si="131"/>
        <v>0</v>
      </c>
      <c r="CB190" s="3">
        <f t="shared" si="131"/>
        <v>0</v>
      </c>
      <c r="CC190" s="3">
        <f t="shared" si="131"/>
        <v>0</v>
      </c>
      <c r="CD190" s="3">
        <f t="shared" si="131"/>
        <v>0</v>
      </c>
    </row>
    <row r="191" spans="3:82" s="3" customFormat="1" x14ac:dyDescent="0.2">
      <c r="E191" s="3" t="s">
        <v>130</v>
      </c>
      <c r="F191" s="3" t="s">
        <v>7</v>
      </c>
      <c r="AF191" s="3">
        <f t="shared" si="132"/>
        <v>0</v>
      </c>
      <c r="AG191" s="3">
        <f t="shared" si="132"/>
        <v>0</v>
      </c>
      <c r="AH191" s="3">
        <f t="shared" si="132"/>
        <v>0</v>
      </c>
      <c r="AI191" s="3">
        <f t="shared" si="132"/>
        <v>0</v>
      </c>
      <c r="AJ191" s="3">
        <f t="shared" si="132"/>
        <v>0</v>
      </c>
      <c r="AK191" s="3">
        <f t="shared" si="132"/>
        <v>0</v>
      </c>
      <c r="AL191" s="3">
        <f t="shared" si="132"/>
        <v>0</v>
      </c>
      <c r="AM191" s="3">
        <f t="shared" si="132"/>
        <v>0</v>
      </c>
      <c r="AN191" s="3">
        <f t="shared" si="132"/>
        <v>0</v>
      </c>
      <c r="AO191" s="3">
        <f t="shared" si="132"/>
        <v>0</v>
      </c>
      <c r="AP191" s="3">
        <f t="shared" si="132"/>
        <v>0</v>
      </c>
      <c r="AQ191" s="3">
        <f t="shared" si="132"/>
        <v>0</v>
      </c>
      <c r="AR191" s="3">
        <f t="shared" si="132"/>
        <v>0</v>
      </c>
      <c r="AS191" s="3">
        <f t="shared" si="132"/>
        <v>0</v>
      </c>
      <c r="AT191" s="3">
        <f t="shared" si="132"/>
        <v>0</v>
      </c>
      <c r="AU191" s="3">
        <f t="shared" si="132"/>
        <v>0</v>
      </c>
      <c r="AV191" s="3">
        <f t="shared" si="132"/>
        <v>0</v>
      </c>
      <c r="AW191" s="3">
        <f t="shared" si="132"/>
        <v>0</v>
      </c>
      <c r="AX191" s="3">
        <f t="shared" si="132"/>
        <v>0</v>
      </c>
      <c r="AY191" s="3">
        <f t="shared" si="132"/>
        <v>0</v>
      </c>
      <c r="AZ191" s="3">
        <f t="shared" si="132"/>
        <v>0</v>
      </c>
      <c r="BA191" s="3">
        <f t="shared" si="132"/>
        <v>0</v>
      </c>
      <c r="BB191" s="3">
        <f t="shared" si="132"/>
        <v>0</v>
      </c>
      <c r="BC191" s="3">
        <f t="shared" si="132"/>
        <v>0</v>
      </c>
      <c r="BD191" s="3">
        <f t="shared" si="132"/>
        <v>0</v>
      </c>
      <c r="BE191" s="3">
        <f t="shared" si="132"/>
        <v>0</v>
      </c>
      <c r="BF191" s="3">
        <f t="shared" si="132"/>
        <v>0</v>
      </c>
      <c r="BG191" s="3">
        <f t="shared" si="132"/>
        <v>0</v>
      </c>
      <c r="BH191" s="3">
        <f t="shared" si="132"/>
        <v>0</v>
      </c>
      <c r="BI191" s="3">
        <f t="shared" si="132"/>
        <v>0</v>
      </c>
      <c r="BJ191" s="3">
        <f t="shared" si="132"/>
        <v>0</v>
      </c>
      <c r="BK191" s="3">
        <f t="shared" si="132"/>
        <v>0</v>
      </c>
      <c r="BL191" s="3">
        <f t="shared" si="132"/>
        <v>0</v>
      </c>
      <c r="BM191" s="3">
        <f t="shared" si="132"/>
        <v>0</v>
      </c>
      <c r="BN191" s="3">
        <f t="shared" si="132"/>
        <v>0</v>
      </c>
      <c r="BO191" s="3">
        <f t="shared" si="132"/>
        <v>0</v>
      </c>
      <c r="BP191" s="3">
        <f t="shared" si="132"/>
        <v>0</v>
      </c>
      <c r="BQ191" s="3">
        <f t="shared" si="132"/>
        <v>0</v>
      </c>
      <c r="BR191" s="3">
        <f t="shared" si="132"/>
        <v>0</v>
      </c>
      <c r="BS191" s="3">
        <f t="shared" si="132"/>
        <v>0</v>
      </c>
      <c r="BT191" s="3">
        <f t="shared" si="131"/>
        <v>0</v>
      </c>
      <c r="BU191" s="3">
        <f t="shared" si="131"/>
        <v>0</v>
      </c>
      <c r="BV191" s="3">
        <f t="shared" si="131"/>
        <v>0</v>
      </c>
      <c r="BW191" s="3">
        <f t="shared" si="131"/>
        <v>0</v>
      </c>
      <c r="BX191" s="3">
        <f t="shared" si="131"/>
        <v>0</v>
      </c>
      <c r="BY191" s="3">
        <f t="shared" si="131"/>
        <v>0</v>
      </c>
      <c r="BZ191" s="3">
        <f t="shared" si="131"/>
        <v>0</v>
      </c>
      <c r="CA191" s="3">
        <f t="shared" si="131"/>
        <v>0</v>
      </c>
      <c r="CB191" s="3">
        <f t="shared" si="131"/>
        <v>0</v>
      </c>
      <c r="CC191" s="3">
        <f t="shared" si="131"/>
        <v>0</v>
      </c>
      <c r="CD191" s="3">
        <f t="shared" si="131"/>
        <v>0</v>
      </c>
    </row>
    <row r="192" spans="3:82" s="3" customFormat="1" x14ac:dyDescent="0.2">
      <c r="E192" s="3" t="s">
        <v>131</v>
      </c>
      <c r="F192" s="3" t="s">
        <v>7</v>
      </c>
      <c r="AF192" s="3">
        <f t="shared" si="132"/>
        <v>0</v>
      </c>
      <c r="AG192" s="3">
        <f t="shared" si="132"/>
        <v>0</v>
      </c>
      <c r="AH192" s="3">
        <f t="shared" si="132"/>
        <v>0</v>
      </c>
      <c r="AI192" s="3">
        <f t="shared" si="132"/>
        <v>0</v>
      </c>
      <c r="AJ192" s="3">
        <f t="shared" si="132"/>
        <v>0</v>
      </c>
      <c r="AK192" s="3">
        <f t="shared" si="132"/>
        <v>0</v>
      </c>
      <c r="AL192" s="3">
        <f t="shared" si="132"/>
        <v>0</v>
      </c>
      <c r="AM192" s="3">
        <f t="shared" si="132"/>
        <v>0</v>
      </c>
      <c r="AN192" s="3">
        <f t="shared" si="132"/>
        <v>0</v>
      </c>
      <c r="AO192" s="3">
        <f t="shared" si="132"/>
        <v>0</v>
      </c>
      <c r="AP192" s="3">
        <f t="shared" si="132"/>
        <v>0</v>
      </c>
      <c r="AQ192" s="3">
        <f t="shared" si="132"/>
        <v>0</v>
      </c>
      <c r="AR192" s="3">
        <f t="shared" si="132"/>
        <v>0</v>
      </c>
      <c r="AS192" s="3">
        <f t="shared" si="132"/>
        <v>0</v>
      </c>
      <c r="AT192" s="3">
        <f t="shared" si="132"/>
        <v>0</v>
      </c>
      <c r="AU192" s="3">
        <f t="shared" si="132"/>
        <v>0</v>
      </c>
      <c r="AV192" s="3">
        <f t="shared" si="132"/>
        <v>0</v>
      </c>
      <c r="AW192" s="3">
        <f t="shared" si="132"/>
        <v>0</v>
      </c>
      <c r="AX192" s="3">
        <f t="shared" si="132"/>
        <v>0</v>
      </c>
      <c r="AY192" s="3">
        <f t="shared" si="132"/>
        <v>0</v>
      </c>
      <c r="AZ192" s="3">
        <f t="shared" si="132"/>
        <v>0</v>
      </c>
      <c r="BA192" s="3">
        <f t="shared" si="132"/>
        <v>0</v>
      </c>
      <c r="BB192" s="3">
        <f t="shared" si="132"/>
        <v>0</v>
      </c>
      <c r="BC192" s="3">
        <f t="shared" si="132"/>
        <v>0</v>
      </c>
      <c r="BD192" s="3">
        <f t="shared" si="132"/>
        <v>0</v>
      </c>
      <c r="BE192" s="3">
        <f t="shared" si="132"/>
        <v>0</v>
      </c>
      <c r="BF192" s="3">
        <f t="shared" si="132"/>
        <v>0</v>
      </c>
      <c r="BG192" s="3">
        <f t="shared" si="132"/>
        <v>0</v>
      </c>
      <c r="BH192" s="3">
        <f t="shared" si="132"/>
        <v>0</v>
      </c>
      <c r="BI192" s="3">
        <f t="shared" si="132"/>
        <v>0</v>
      </c>
      <c r="BJ192" s="3">
        <f t="shared" si="132"/>
        <v>0</v>
      </c>
      <c r="BK192" s="3">
        <f t="shared" si="132"/>
        <v>0</v>
      </c>
      <c r="BL192" s="3">
        <f t="shared" si="132"/>
        <v>0</v>
      </c>
      <c r="BM192" s="3">
        <f t="shared" si="132"/>
        <v>0</v>
      </c>
      <c r="BN192" s="3">
        <f t="shared" si="132"/>
        <v>0</v>
      </c>
      <c r="BO192" s="3">
        <f t="shared" si="132"/>
        <v>0</v>
      </c>
      <c r="BP192" s="3">
        <f t="shared" si="132"/>
        <v>0</v>
      </c>
      <c r="BQ192" s="3">
        <f t="shared" si="132"/>
        <v>0</v>
      </c>
      <c r="BR192" s="3">
        <f t="shared" si="132"/>
        <v>0</v>
      </c>
      <c r="BS192" s="3">
        <f>CA403</f>
        <v>0</v>
      </c>
      <c r="BT192" s="3">
        <f>CB403</f>
        <v>0</v>
      </c>
      <c r="BU192" s="3">
        <f>CC403</f>
        <v>0</v>
      </c>
      <c r="BV192" s="3">
        <f>CD403</f>
        <v>0</v>
      </c>
      <c r="BW192" s="3">
        <f>CE403</f>
        <v>0</v>
      </c>
      <c r="BX192" s="3">
        <f>CF403</f>
        <v>0</v>
      </c>
      <c r="BY192" s="3">
        <f>CG403</f>
        <v>0</v>
      </c>
      <c r="BZ192" s="3">
        <f>CH403</f>
        <v>0</v>
      </c>
      <c r="CA192" s="3">
        <f>CI403</f>
        <v>0</v>
      </c>
      <c r="CB192" s="3">
        <f>CJ403</f>
        <v>0</v>
      </c>
      <c r="CC192" s="3">
        <f>CK403</f>
        <v>0</v>
      </c>
      <c r="CD192" s="3">
        <f>CL403</f>
        <v>0</v>
      </c>
    </row>
    <row r="193" spans="2:82" s="4" customFormat="1" x14ac:dyDescent="0.2">
      <c r="C193" s="4" t="s">
        <v>132</v>
      </c>
      <c r="G193" s="4">
        <f>SUM(G197)</f>
        <v>0</v>
      </c>
      <c r="H193" s="4">
        <f t="shared" ref="H193:BS193" si="133">SUM(H197)</f>
        <v>0</v>
      </c>
      <c r="I193" s="4">
        <f t="shared" si="133"/>
        <v>0</v>
      </c>
      <c r="J193" s="4">
        <f t="shared" si="133"/>
        <v>0</v>
      </c>
      <c r="K193" s="4">
        <f t="shared" si="133"/>
        <v>0</v>
      </c>
      <c r="L193" s="4">
        <f t="shared" si="133"/>
        <v>0</v>
      </c>
      <c r="M193" s="4">
        <f t="shared" si="133"/>
        <v>0</v>
      </c>
      <c r="N193" s="4">
        <f t="shared" si="133"/>
        <v>0</v>
      </c>
      <c r="O193" s="4">
        <f t="shared" si="133"/>
        <v>0</v>
      </c>
      <c r="P193" s="4">
        <f t="shared" si="133"/>
        <v>0</v>
      </c>
      <c r="Q193" s="4">
        <f t="shared" si="133"/>
        <v>0</v>
      </c>
      <c r="R193" s="4">
        <f t="shared" si="133"/>
        <v>0</v>
      </c>
      <c r="S193" s="4">
        <f t="shared" si="133"/>
        <v>0</v>
      </c>
      <c r="T193" s="4">
        <f t="shared" si="133"/>
        <v>0</v>
      </c>
      <c r="U193" s="4">
        <f t="shared" si="133"/>
        <v>0</v>
      </c>
      <c r="V193" s="4">
        <f t="shared" si="133"/>
        <v>0</v>
      </c>
      <c r="W193" s="4">
        <f t="shared" si="133"/>
        <v>0</v>
      </c>
      <c r="X193" s="4">
        <f t="shared" si="133"/>
        <v>0</v>
      </c>
      <c r="Y193" s="4">
        <f t="shared" si="133"/>
        <v>0</v>
      </c>
      <c r="Z193" s="4">
        <f t="shared" si="133"/>
        <v>0</v>
      </c>
      <c r="AA193" s="4">
        <f t="shared" si="133"/>
        <v>0</v>
      </c>
      <c r="AB193" s="4">
        <f t="shared" si="133"/>
        <v>0</v>
      </c>
      <c r="AC193" s="4">
        <f t="shared" si="133"/>
        <v>0</v>
      </c>
      <c r="AD193" s="4">
        <f t="shared" si="133"/>
        <v>0</v>
      </c>
      <c r="AE193" s="4">
        <f t="shared" si="133"/>
        <v>0</v>
      </c>
      <c r="AF193" s="4">
        <f t="shared" si="133"/>
        <v>6105.6366807624863</v>
      </c>
      <c r="AG193" s="4">
        <f t="shared" si="133"/>
        <v>6056.400450319612</v>
      </c>
      <c r="AH193" s="4">
        <f t="shared" si="133"/>
        <v>6007.2235740536717</v>
      </c>
      <c r="AI193" s="4">
        <f t="shared" si="133"/>
        <v>5789.2622311320092</v>
      </c>
      <c r="AJ193" s="4">
        <f t="shared" si="133"/>
        <v>5475.2177451225252</v>
      </c>
      <c r="AK193" s="4">
        <f t="shared" si="133"/>
        <v>5176.8996043877705</v>
      </c>
      <c r="AL193" s="4">
        <f t="shared" si="133"/>
        <v>3735.1768401103241</v>
      </c>
      <c r="AM193" s="4">
        <f t="shared" si="133"/>
        <v>2811.2317622544929</v>
      </c>
      <c r="AN193" s="4">
        <f t="shared" si="133"/>
        <v>2821.037322464289</v>
      </c>
      <c r="AO193" s="4">
        <f t="shared" si="133"/>
        <v>2860.1371205200917</v>
      </c>
      <c r="AP193" s="4">
        <f t="shared" si="133"/>
        <v>2937.7255500784363</v>
      </c>
      <c r="AQ193" s="4">
        <f t="shared" si="133"/>
        <v>3039.7509397061244</v>
      </c>
      <c r="AR193" s="4">
        <f t="shared" si="133"/>
        <v>3157.1447051129467</v>
      </c>
      <c r="AS193" s="4">
        <f t="shared" si="133"/>
        <v>3277.9247312205816</v>
      </c>
      <c r="AT193" s="4">
        <f t="shared" si="133"/>
        <v>3389.3230177992241</v>
      </c>
      <c r="AU193" s="4">
        <f t="shared" si="133"/>
        <v>3478.4729149154464</v>
      </c>
      <c r="AV193" s="4">
        <f t="shared" si="133"/>
        <v>3533.015831467987</v>
      </c>
      <c r="AW193" s="4">
        <f t="shared" si="133"/>
        <v>3541.7107911789462</v>
      </c>
      <c r="AX193" s="4">
        <f t="shared" si="133"/>
        <v>3495.0901709937907</v>
      </c>
      <c r="AY193" s="4">
        <f t="shared" si="133"/>
        <v>3399.4546226587659</v>
      </c>
      <c r="AZ193" s="4">
        <f t="shared" si="133"/>
        <v>3254.4444808753087</v>
      </c>
      <c r="BA193" s="4">
        <f t="shared" si="133"/>
        <v>3081.6886590170898</v>
      </c>
      <c r="BB193" s="4">
        <f t="shared" si="133"/>
        <v>2870.2900101594582</v>
      </c>
      <c r="BC193" s="4">
        <f t="shared" si="133"/>
        <v>2625.3327522585782</v>
      </c>
      <c r="BD193" s="4">
        <f t="shared" si="133"/>
        <v>2352.2462662649873</v>
      </c>
      <c r="BE193" s="4">
        <f t="shared" si="133"/>
        <v>2060.082340782074</v>
      </c>
      <c r="BF193" s="4">
        <f t="shared" si="133"/>
        <v>829.5869473881188</v>
      </c>
      <c r="BG193" s="4">
        <f t="shared" si="133"/>
        <v>769.04378061008788</v>
      </c>
      <c r="BH193" s="4">
        <f t="shared" si="133"/>
        <v>687.31022174188001</v>
      </c>
      <c r="BI193" s="4">
        <f t="shared" si="133"/>
        <v>602.85494704092696</v>
      </c>
      <c r="BJ193" s="4">
        <f t="shared" si="133"/>
        <v>520.33114858276588</v>
      </c>
      <c r="BK193" s="4">
        <f t="shared" si="133"/>
        <v>440.28987749113179</v>
      </c>
      <c r="BL193" s="4">
        <f t="shared" si="133"/>
        <v>362.85650630691231</v>
      </c>
      <c r="BM193" s="4">
        <f t="shared" si="133"/>
        <v>300.07336366735001</v>
      </c>
      <c r="BN193" s="4">
        <f t="shared" si="133"/>
        <v>235.62758582396401</v>
      </c>
      <c r="BO193" s="4">
        <f t="shared" si="133"/>
        <v>150.19650566884499</v>
      </c>
      <c r="BP193" s="4">
        <f t="shared" si="133"/>
        <v>64.211085770689692</v>
      </c>
      <c r="BQ193" s="4">
        <f t="shared" si="133"/>
        <v>0</v>
      </c>
      <c r="BR193" s="4">
        <f t="shared" si="133"/>
        <v>0</v>
      </c>
      <c r="BS193" s="4">
        <f t="shared" si="133"/>
        <v>0</v>
      </c>
      <c r="BT193" s="4">
        <f t="shared" ref="BT193:CD193" si="134">SUM(BT197)</f>
        <v>0</v>
      </c>
      <c r="BU193" s="4">
        <f t="shared" si="134"/>
        <v>0</v>
      </c>
      <c r="BV193" s="4">
        <f t="shared" si="134"/>
        <v>0</v>
      </c>
      <c r="BW193" s="4">
        <f t="shared" si="134"/>
        <v>0</v>
      </c>
      <c r="BX193" s="4">
        <f t="shared" si="134"/>
        <v>0</v>
      </c>
      <c r="BY193" s="4">
        <f t="shared" si="134"/>
        <v>0</v>
      </c>
      <c r="BZ193" s="4">
        <f t="shared" si="134"/>
        <v>0</v>
      </c>
      <c r="CA193" s="4">
        <f t="shared" si="134"/>
        <v>0</v>
      </c>
      <c r="CB193" s="4">
        <f t="shared" si="134"/>
        <v>0</v>
      </c>
      <c r="CC193" s="4">
        <f t="shared" si="134"/>
        <v>0</v>
      </c>
      <c r="CD193" s="4">
        <f t="shared" si="134"/>
        <v>0</v>
      </c>
    </row>
    <row r="194" spans="2:82" s="5" customFormat="1" x14ac:dyDescent="0.2">
      <c r="D194" s="5" t="s">
        <v>133</v>
      </c>
    </row>
    <row r="195" spans="2:82" s="8" customFormat="1" x14ac:dyDescent="0.2">
      <c r="E195" s="8" t="s">
        <v>179</v>
      </c>
      <c r="F195" s="8" t="s">
        <v>7</v>
      </c>
      <c r="AF195" s="8">
        <f>AN404</f>
        <v>0</v>
      </c>
      <c r="AG195" s="8">
        <f>AO404</f>
        <v>0</v>
      </c>
      <c r="AH195" s="8">
        <f>AP404</f>
        <v>0</v>
      </c>
      <c r="AI195" s="8">
        <f>AQ404</f>
        <v>0</v>
      </c>
      <c r="AJ195" s="8">
        <f>AR404</f>
        <v>0</v>
      </c>
      <c r="AK195" s="8">
        <f>AS404</f>
        <v>0</v>
      </c>
      <c r="AL195" s="8">
        <f>AT404</f>
        <v>0</v>
      </c>
      <c r="AM195" s="8">
        <f>AU404</f>
        <v>0</v>
      </c>
      <c r="AN195" s="8">
        <f>AV404</f>
        <v>0</v>
      </c>
      <c r="AO195" s="8">
        <f>AW404</f>
        <v>0</v>
      </c>
      <c r="AP195" s="8">
        <f>AX404</f>
        <v>0</v>
      </c>
      <c r="AQ195" s="8">
        <f>AY404</f>
        <v>0</v>
      </c>
      <c r="AR195" s="8">
        <f>AZ404</f>
        <v>0</v>
      </c>
      <c r="AS195" s="8">
        <f>BA404</f>
        <v>0</v>
      </c>
      <c r="AT195" s="8">
        <f>BB404</f>
        <v>0</v>
      </c>
      <c r="AU195" s="8">
        <f>BC404</f>
        <v>0</v>
      </c>
      <c r="AV195" s="8">
        <f>BD404</f>
        <v>0</v>
      </c>
      <c r="AW195" s="8">
        <f>BE404</f>
        <v>0</v>
      </c>
      <c r="AX195" s="8">
        <f>BF404</f>
        <v>0</v>
      </c>
      <c r="AY195" s="8">
        <f>BG404</f>
        <v>0</v>
      </c>
      <c r="AZ195" s="8">
        <f>BH404</f>
        <v>0</v>
      </c>
      <c r="BA195" s="8">
        <f>BI404</f>
        <v>0</v>
      </c>
      <c r="BB195" s="8">
        <f>BJ404</f>
        <v>0</v>
      </c>
      <c r="BC195" s="8">
        <f>BK404</f>
        <v>0</v>
      </c>
      <c r="BD195" s="8">
        <f>BL404</f>
        <v>0</v>
      </c>
      <c r="BE195" s="8">
        <f>BM404</f>
        <v>0</v>
      </c>
      <c r="BF195" s="8">
        <f>BN404</f>
        <v>0</v>
      </c>
      <c r="BG195" s="8">
        <f>BO404</f>
        <v>0</v>
      </c>
      <c r="BH195" s="8">
        <f>BP404</f>
        <v>0</v>
      </c>
      <c r="BI195" s="8">
        <f>BQ404</f>
        <v>0</v>
      </c>
      <c r="BJ195" s="8">
        <f>BR404</f>
        <v>0</v>
      </c>
      <c r="BK195" s="8">
        <f>BS404</f>
        <v>0</v>
      </c>
      <c r="BL195" s="8">
        <f>BT404</f>
        <v>0</v>
      </c>
      <c r="BM195" s="8">
        <f>BU404</f>
        <v>0</v>
      </c>
      <c r="BN195" s="8">
        <f>BV404</f>
        <v>0</v>
      </c>
      <c r="BO195" s="8">
        <f>BW404</f>
        <v>0</v>
      </c>
      <c r="BP195" s="8">
        <f>BX404</f>
        <v>0</v>
      </c>
      <c r="BQ195" s="8">
        <f>BY404</f>
        <v>0</v>
      </c>
      <c r="BR195" s="8">
        <f>BZ404</f>
        <v>0</v>
      </c>
      <c r="BS195" s="8">
        <f>CA404</f>
        <v>0</v>
      </c>
      <c r="BT195" s="8">
        <f>CB404</f>
        <v>0</v>
      </c>
      <c r="BU195" s="8">
        <f>CC404</f>
        <v>0</v>
      </c>
      <c r="BV195" s="8">
        <f>CD404</f>
        <v>0</v>
      </c>
      <c r="BW195" s="8">
        <f>CE404</f>
        <v>0</v>
      </c>
      <c r="BX195" s="8">
        <f>CF404</f>
        <v>0</v>
      </c>
      <c r="BY195" s="8">
        <f>CG404</f>
        <v>0</v>
      </c>
      <c r="BZ195" s="8">
        <f>CH404</f>
        <v>0</v>
      </c>
      <c r="CA195" s="8">
        <f>CI404</f>
        <v>0</v>
      </c>
      <c r="CB195" s="8">
        <f>CJ404</f>
        <v>0</v>
      </c>
      <c r="CC195" s="8">
        <f>CK404</f>
        <v>0</v>
      </c>
      <c r="CD195" s="8">
        <f>CL404</f>
        <v>0</v>
      </c>
    </row>
    <row r="196" spans="2:82" s="8" customFormat="1" x14ac:dyDescent="0.2">
      <c r="E196" s="8" t="s">
        <v>178</v>
      </c>
      <c r="F196" s="8" t="s">
        <v>7</v>
      </c>
      <c r="AF196" s="8">
        <f>AN405</f>
        <v>-566.41878445543898</v>
      </c>
      <c r="AG196" s="8">
        <f>AO405</f>
        <v>-538.66578116292897</v>
      </c>
      <c r="AH196" s="8">
        <f>AP405</f>
        <v>-512.28911310887304</v>
      </c>
      <c r="AI196" s="8">
        <f>AQ405</f>
        <v>-487.22029156815199</v>
      </c>
      <c r="AJ196" s="8">
        <f>AR405</f>
        <v>-465.99327140400402</v>
      </c>
      <c r="AK196" s="8">
        <f>AS405</f>
        <v>-449.56801917631998</v>
      </c>
      <c r="AL196" s="8">
        <f>AT405</f>
        <v>-437.56110730083702</v>
      </c>
      <c r="AM196" s="8">
        <f>AU405</f>
        <v>-429.75531102174301</v>
      </c>
      <c r="AN196" s="8">
        <f>AV405</f>
        <v>-424.57131080592302</v>
      </c>
      <c r="AO196" s="8">
        <f>AW405</f>
        <v>-419.83144185572399</v>
      </c>
      <c r="AP196" s="8">
        <f>AX405</f>
        <v>-416.15192496418399</v>
      </c>
      <c r="AQ196" s="8">
        <f>AY405</f>
        <v>-414.97997160065103</v>
      </c>
      <c r="AR196" s="8">
        <f>AZ405</f>
        <v>-417.19834359248802</v>
      </c>
      <c r="AS196" s="8">
        <f>BA405</f>
        <v>-423.042007167191</v>
      </c>
      <c r="AT196" s="8">
        <f>BB405</f>
        <v>-432.33591150336002</v>
      </c>
      <c r="AU196" s="8">
        <f>BC405</f>
        <v>-444.48118229492599</v>
      </c>
      <c r="AV196" s="8">
        <f>BD405</f>
        <v>-458.49906708832799</v>
      </c>
      <c r="AW196" s="8">
        <f>BE405</f>
        <v>-473.10208775982801</v>
      </c>
      <c r="AX196" s="8">
        <f>BF405</f>
        <v>-486.78129358190199</v>
      </c>
      <c r="AY196" s="8">
        <f>BG405</f>
        <v>-497.898805897584</v>
      </c>
      <c r="AZ196" s="8">
        <f>BH405</f>
        <v>-505.22489818914988</v>
      </c>
      <c r="BA196" s="8">
        <f>BI405</f>
        <v>-507.64325996838897</v>
      </c>
      <c r="BB196" s="8">
        <f>BJ405</f>
        <v>-504.76892608038202</v>
      </c>
      <c r="BC196" s="8">
        <f>BK405</f>
        <v>-495.89091084227499</v>
      </c>
      <c r="BD196" s="8">
        <f>BL405</f>
        <v>-481.00981779146599</v>
      </c>
      <c r="BE196" s="8">
        <f>BM405</f>
        <v>-460.46047670854801</v>
      </c>
      <c r="BF196" s="8">
        <f>BN405</f>
        <v>-438.66046858359601</v>
      </c>
      <c r="BG196" s="8">
        <f>BO405</f>
        <v>-417.26653364202099</v>
      </c>
      <c r="BH196" s="8">
        <f>BP405</f>
        <v>-396.86137519033701</v>
      </c>
      <c r="BI196" s="8">
        <f>BQ405</f>
        <v>-377.36872827322901</v>
      </c>
      <c r="BJ196" s="8">
        <f>BR405</f>
        <v>-358.74434841284699</v>
      </c>
      <c r="BK196" s="8">
        <f>BS405</f>
        <v>-340.94505861243101</v>
      </c>
      <c r="BL196" s="8">
        <f>BT405</f>
        <v>-323.937929195327</v>
      </c>
      <c r="BM196" s="8">
        <f>BU405</f>
        <v>-307.691482654445</v>
      </c>
      <c r="BN196" s="8">
        <f>BV405</f>
        <v>-292.20446228727502</v>
      </c>
      <c r="BO196" s="8">
        <f>BW405</f>
        <v>-277.47538359406701</v>
      </c>
      <c r="BP196" s="8">
        <f>BX405</f>
        <v>-263.47045035862197</v>
      </c>
      <c r="BQ196" s="8">
        <f>BY405</f>
        <v>-250.15558828024601</v>
      </c>
      <c r="BR196" s="8">
        <f>BZ405</f>
        <v>-237.498212638686</v>
      </c>
      <c r="BS196" s="8">
        <f>CA405</f>
        <v>-225.46724266731599</v>
      </c>
      <c r="BT196" s="8">
        <f>CB405</f>
        <v>-214.033159510714</v>
      </c>
      <c r="BU196" s="8">
        <f>CC405</f>
        <v>-203.16574232178999</v>
      </c>
      <c r="BV196" s="8">
        <f>CD405</f>
        <v>-192.83476285706001</v>
      </c>
      <c r="BW196" s="8">
        <f>CE405</f>
        <v>-183.01721335261001</v>
      </c>
      <c r="BX196" s="8">
        <f>CF405</f>
        <v>-173.68922133169301</v>
      </c>
      <c r="BY196" s="8">
        <f>CG405</f>
        <v>-164.82806136114399</v>
      </c>
      <c r="BZ196" s="8">
        <f>CH405</f>
        <v>-156.412033650387</v>
      </c>
      <c r="CA196" s="8">
        <f>CI405</f>
        <v>-148.39771496272999</v>
      </c>
      <c r="CB196" s="8">
        <f>CJ405</f>
        <v>-140.67522017084499</v>
      </c>
      <c r="CC196" s="8">
        <f>CK405</f>
        <v>-133.20591704882901</v>
      </c>
      <c r="CD196" s="8">
        <f>CL405</f>
        <v>-125.955563327574</v>
      </c>
    </row>
    <row r="197" spans="2:82" s="4" customFormat="1" x14ac:dyDescent="0.2">
      <c r="D197" s="4" t="s">
        <v>134</v>
      </c>
      <c r="G197" s="4">
        <f>SUM(G198:G202)</f>
        <v>0</v>
      </c>
      <c r="H197" s="4">
        <f t="shared" ref="H197:BS197" si="135">SUM(H198:H202)</f>
        <v>0</v>
      </c>
      <c r="I197" s="4">
        <f t="shared" si="135"/>
        <v>0</v>
      </c>
      <c r="J197" s="4">
        <f t="shared" si="135"/>
        <v>0</v>
      </c>
      <c r="K197" s="4">
        <f t="shared" si="135"/>
        <v>0</v>
      </c>
      <c r="L197" s="4">
        <f t="shared" si="135"/>
        <v>0</v>
      </c>
      <c r="M197" s="4">
        <f t="shared" si="135"/>
        <v>0</v>
      </c>
      <c r="N197" s="4">
        <f t="shared" si="135"/>
        <v>0</v>
      </c>
      <c r="O197" s="4">
        <f t="shared" si="135"/>
        <v>0</v>
      </c>
      <c r="P197" s="4">
        <f t="shared" si="135"/>
        <v>0</v>
      </c>
      <c r="Q197" s="4">
        <f t="shared" si="135"/>
        <v>0</v>
      </c>
      <c r="R197" s="4">
        <f t="shared" si="135"/>
        <v>0</v>
      </c>
      <c r="S197" s="4">
        <f t="shared" si="135"/>
        <v>0</v>
      </c>
      <c r="T197" s="4">
        <f t="shared" si="135"/>
        <v>0</v>
      </c>
      <c r="U197" s="4">
        <f t="shared" si="135"/>
        <v>0</v>
      </c>
      <c r="V197" s="4">
        <f t="shared" si="135"/>
        <v>0</v>
      </c>
      <c r="W197" s="4">
        <f t="shared" si="135"/>
        <v>0</v>
      </c>
      <c r="X197" s="4">
        <f t="shared" si="135"/>
        <v>0</v>
      </c>
      <c r="Y197" s="4">
        <f t="shared" si="135"/>
        <v>0</v>
      </c>
      <c r="Z197" s="4">
        <f t="shared" si="135"/>
        <v>0</v>
      </c>
      <c r="AA197" s="4">
        <f t="shared" si="135"/>
        <v>0</v>
      </c>
      <c r="AB197" s="4">
        <f t="shared" si="135"/>
        <v>0</v>
      </c>
      <c r="AC197" s="4">
        <f t="shared" si="135"/>
        <v>0</v>
      </c>
      <c r="AD197" s="4">
        <f t="shared" si="135"/>
        <v>0</v>
      </c>
      <c r="AE197" s="4">
        <f t="shared" si="135"/>
        <v>0</v>
      </c>
      <c r="AF197" s="4">
        <f t="shared" si="135"/>
        <v>6105.6366807624863</v>
      </c>
      <c r="AG197" s="4">
        <f t="shared" si="135"/>
        <v>6056.400450319612</v>
      </c>
      <c r="AH197" s="4">
        <f t="shared" si="135"/>
        <v>6007.2235740536717</v>
      </c>
      <c r="AI197" s="4">
        <f t="shared" si="135"/>
        <v>5789.2622311320092</v>
      </c>
      <c r="AJ197" s="4">
        <f t="shared" si="135"/>
        <v>5475.2177451225252</v>
      </c>
      <c r="AK197" s="4">
        <f t="shared" si="135"/>
        <v>5176.8996043877705</v>
      </c>
      <c r="AL197" s="4">
        <f t="shared" si="135"/>
        <v>3735.1768401103241</v>
      </c>
      <c r="AM197" s="4">
        <f t="shared" si="135"/>
        <v>2811.2317622544929</v>
      </c>
      <c r="AN197" s="4">
        <f t="shared" si="135"/>
        <v>2821.037322464289</v>
      </c>
      <c r="AO197" s="4">
        <f t="shared" si="135"/>
        <v>2860.1371205200917</v>
      </c>
      <c r="AP197" s="4">
        <f t="shared" si="135"/>
        <v>2937.7255500784363</v>
      </c>
      <c r="AQ197" s="4">
        <f t="shared" si="135"/>
        <v>3039.7509397061244</v>
      </c>
      <c r="AR197" s="4">
        <f t="shared" si="135"/>
        <v>3157.1447051129467</v>
      </c>
      <c r="AS197" s="4">
        <f t="shared" si="135"/>
        <v>3277.9247312205816</v>
      </c>
      <c r="AT197" s="4">
        <f t="shared" si="135"/>
        <v>3389.3230177992241</v>
      </c>
      <c r="AU197" s="4">
        <f t="shared" si="135"/>
        <v>3478.4729149154464</v>
      </c>
      <c r="AV197" s="4">
        <f t="shared" si="135"/>
        <v>3533.015831467987</v>
      </c>
      <c r="AW197" s="4">
        <f t="shared" si="135"/>
        <v>3541.7107911789462</v>
      </c>
      <c r="AX197" s="4">
        <f t="shared" si="135"/>
        <v>3495.0901709937907</v>
      </c>
      <c r="AY197" s="4">
        <f t="shared" si="135"/>
        <v>3399.4546226587659</v>
      </c>
      <c r="AZ197" s="4">
        <f t="shared" si="135"/>
        <v>3254.4444808753087</v>
      </c>
      <c r="BA197" s="4">
        <f t="shared" si="135"/>
        <v>3081.6886590170898</v>
      </c>
      <c r="BB197" s="4">
        <f t="shared" si="135"/>
        <v>2870.2900101594582</v>
      </c>
      <c r="BC197" s="4">
        <f t="shared" si="135"/>
        <v>2625.3327522585782</v>
      </c>
      <c r="BD197" s="4">
        <f t="shared" si="135"/>
        <v>2352.2462662649873</v>
      </c>
      <c r="BE197" s="4">
        <f t="shared" si="135"/>
        <v>2060.082340782074</v>
      </c>
      <c r="BF197" s="4">
        <f t="shared" si="135"/>
        <v>829.5869473881188</v>
      </c>
      <c r="BG197" s="4">
        <f t="shared" si="135"/>
        <v>769.04378061008788</v>
      </c>
      <c r="BH197" s="4">
        <f t="shared" si="135"/>
        <v>687.31022174188001</v>
      </c>
      <c r="BI197" s="4">
        <f t="shared" si="135"/>
        <v>602.85494704092696</v>
      </c>
      <c r="BJ197" s="4">
        <f t="shared" si="135"/>
        <v>520.33114858276588</v>
      </c>
      <c r="BK197" s="4">
        <f t="shared" si="135"/>
        <v>440.28987749113179</v>
      </c>
      <c r="BL197" s="4">
        <f t="shared" si="135"/>
        <v>362.85650630691231</v>
      </c>
      <c r="BM197" s="4">
        <f t="shared" si="135"/>
        <v>300.07336366735001</v>
      </c>
      <c r="BN197" s="4">
        <f t="shared" si="135"/>
        <v>235.62758582396401</v>
      </c>
      <c r="BO197" s="4">
        <f t="shared" si="135"/>
        <v>150.19650566884499</v>
      </c>
      <c r="BP197" s="4">
        <f t="shared" si="135"/>
        <v>64.211085770689692</v>
      </c>
      <c r="BQ197" s="4">
        <f t="shared" si="135"/>
        <v>0</v>
      </c>
      <c r="BR197" s="4">
        <f t="shared" si="135"/>
        <v>0</v>
      </c>
      <c r="BS197" s="4">
        <f t="shared" si="135"/>
        <v>0</v>
      </c>
      <c r="BT197" s="4">
        <f t="shared" ref="BT197:CD197" si="136">SUM(BT198:BT202)</f>
        <v>0</v>
      </c>
      <c r="BU197" s="4">
        <f t="shared" si="136"/>
        <v>0</v>
      </c>
      <c r="BV197" s="4">
        <f t="shared" si="136"/>
        <v>0</v>
      </c>
      <c r="BW197" s="4">
        <f t="shared" si="136"/>
        <v>0</v>
      </c>
      <c r="BX197" s="4">
        <f t="shared" si="136"/>
        <v>0</v>
      </c>
      <c r="BY197" s="4">
        <f t="shared" si="136"/>
        <v>0</v>
      </c>
      <c r="BZ197" s="4">
        <f t="shared" si="136"/>
        <v>0</v>
      </c>
      <c r="CA197" s="4">
        <f t="shared" si="136"/>
        <v>0</v>
      </c>
      <c r="CB197" s="4">
        <f t="shared" si="136"/>
        <v>0</v>
      </c>
      <c r="CC197" s="4">
        <f t="shared" si="136"/>
        <v>0</v>
      </c>
      <c r="CD197" s="4">
        <f t="shared" si="136"/>
        <v>0</v>
      </c>
    </row>
    <row r="198" spans="2:82" s="3" customFormat="1" x14ac:dyDescent="0.2">
      <c r="E198" s="3" t="s">
        <v>135</v>
      </c>
      <c r="F198" s="3" t="s">
        <v>7</v>
      </c>
      <c r="G198" s="3">
        <f>O406</f>
        <v>0</v>
      </c>
      <c r="H198" s="3">
        <f t="shared" ref="H198:BS199" si="137">P406</f>
        <v>0</v>
      </c>
      <c r="I198" s="3">
        <f t="shared" si="137"/>
        <v>0</v>
      </c>
      <c r="J198" s="3">
        <f t="shared" si="137"/>
        <v>0</v>
      </c>
      <c r="K198" s="3">
        <f t="shared" si="137"/>
        <v>0</v>
      </c>
      <c r="L198" s="3">
        <f t="shared" si="137"/>
        <v>0</v>
      </c>
      <c r="M198" s="3">
        <f t="shared" si="137"/>
        <v>0</v>
      </c>
      <c r="N198" s="3">
        <f t="shared" si="137"/>
        <v>0</v>
      </c>
      <c r="O198" s="3">
        <f t="shared" si="137"/>
        <v>0</v>
      </c>
      <c r="P198" s="3">
        <f t="shared" si="137"/>
        <v>0</v>
      </c>
      <c r="Q198" s="3">
        <f t="shared" si="137"/>
        <v>0</v>
      </c>
      <c r="R198" s="3">
        <f t="shared" si="137"/>
        <v>0</v>
      </c>
      <c r="S198" s="3">
        <f t="shared" si="137"/>
        <v>0</v>
      </c>
      <c r="T198" s="3">
        <f t="shared" si="137"/>
        <v>0</v>
      </c>
      <c r="U198" s="3">
        <f t="shared" si="137"/>
        <v>0</v>
      </c>
      <c r="V198" s="3">
        <f t="shared" si="137"/>
        <v>0</v>
      </c>
      <c r="W198" s="3">
        <f t="shared" si="137"/>
        <v>0</v>
      </c>
      <c r="X198" s="3">
        <f t="shared" si="137"/>
        <v>0</v>
      </c>
      <c r="Y198" s="3">
        <f t="shared" si="137"/>
        <v>0</v>
      </c>
      <c r="Z198" s="3">
        <f t="shared" si="137"/>
        <v>0</v>
      </c>
      <c r="AA198" s="3">
        <f t="shared" si="137"/>
        <v>0</v>
      </c>
      <c r="AB198" s="3">
        <f t="shared" si="137"/>
        <v>0</v>
      </c>
      <c r="AC198" s="3">
        <f t="shared" si="137"/>
        <v>0</v>
      </c>
      <c r="AD198" s="3">
        <f t="shared" si="137"/>
        <v>0</v>
      </c>
      <c r="AE198" s="3">
        <f t="shared" si="137"/>
        <v>0</v>
      </c>
      <c r="AF198" s="3">
        <f t="shared" si="137"/>
        <v>6104.1536406646774</v>
      </c>
      <c r="AG198" s="3">
        <f t="shared" si="137"/>
        <v>6054.8104434472634</v>
      </c>
      <c r="AH198" s="3">
        <f t="shared" si="137"/>
        <v>6005.5297877901476</v>
      </c>
      <c r="AI198" s="3">
        <f t="shared" si="137"/>
        <v>5787.4574203209177</v>
      </c>
      <c r="AJ198" s="3">
        <f t="shared" si="137"/>
        <v>5473.3210310142604</v>
      </c>
      <c r="AK198" s="3">
        <f t="shared" si="137"/>
        <v>5174.9258200754057</v>
      </c>
      <c r="AL198" s="3">
        <f t="shared" si="137"/>
        <v>3732.7461399096428</v>
      </c>
      <c r="AM198" s="3">
        <f t="shared" si="137"/>
        <v>2807.5215097453251</v>
      </c>
      <c r="AN198" s="3">
        <f t="shared" si="137"/>
        <v>2817.211442980607</v>
      </c>
      <c r="AO198" s="3">
        <f t="shared" si="137"/>
        <v>2856.1847086839371</v>
      </c>
      <c r="AP198" s="3">
        <f t="shared" si="137"/>
        <v>2933.5867125092832</v>
      </c>
      <c r="AQ198" s="3">
        <f t="shared" si="137"/>
        <v>3035.3787378088891</v>
      </c>
      <c r="AR198" s="3">
        <f t="shared" si="137"/>
        <v>3152.5006200425719</v>
      </c>
      <c r="AS198" s="3">
        <f t="shared" si="137"/>
        <v>3272.9850452912292</v>
      </c>
      <c r="AT198" s="3">
        <f t="shared" si="137"/>
        <v>3384.083305967315</v>
      </c>
      <c r="AU198" s="3">
        <f t="shared" si="137"/>
        <v>3472.952156745157</v>
      </c>
      <c r="AV198" s="3">
        <f t="shared" si="137"/>
        <v>3527.2597790512791</v>
      </c>
      <c r="AW198" s="3">
        <f t="shared" si="137"/>
        <v>3535.79394881183</v>
      </c>
      <c r="AX198" s="3">
        <f t="shared" si="137"/>
        <v>3489.1156220417338</v>
      </c>
      <c r="AY198" s="3">
        <f t="shared" si="137"/>
        <v>3393.5260275525302</v>
      </c>
      <c r="AZ198" s="3">
        <f t="shared" si="137"/>
        <v>3248.6753911623741</v>
      </c>
      <c r="BA198" s="3">
        <f t="shared" si="137"/>
        <v>3076.157291240374</v>
      </c>
      <c r="BB198" s="3">
        <f t="shared" si="137"/>
        <v>2865.0980877398652</v>
      </c>
      <c r="BC198" s="3">
        <f t="shared" si="137"/>
        <v>2620.5738043340261</v>
      </c>
      <c r="BD198" s="3">
        <f t="shared" si="137"/>
        <v>2348.002868938579</v>
      </c>
      <c r="BE198" s="3">
        <f t="shared" si="137"/>
        <v>2056.417290120577</v>
      </c>
      <c r="BF198" s="3">
        <f t="shared" si="137"/>
        <v>829.07922964448596</v>
      </c>
      <c r="BG198" s="3">
        <f t="shared" si="137"/>
        <v>769.04378061008788</v>
      </c>
      <c r="BH198" s="3">
        <f t="shared" si="137"/>
        <v>687.31022174188001</v>
      </c>
      <c r="BI198" s="3">
        <f t="shared" si="137"/>
        <v>602.85494704092696</v>
      </c>
      <c r="BJ198" s="3">
        <f t="shared" si="137"/>
        <v>520.33114858276588</v>
      </c>
      <c r="BK198" s="3">
        <f t="shared" si="137"/>
        <v>440.28987749113179</v>
      </c>
      <c r="BL198" s="3">
        <f t="shared" si="137"/>
        <v>362.85650630691231</v>
      </c>
      <c r="BM198" s="3">
        <f t="shared" si="137"/>
        <v>300.07336366735001</v>
      </c>
      <c r="BN198" s="3">
        <f t="shared" si="137"/>
        <v>235.62758582396401</v>
      </c>
      <c r="BO198" s="3">
        <f t="shared" si="137"/>
        <v>150.19650566884499</v>
      </c>
      <c r="BP198" s="3">
        <f t="shared" si="137"/>
        <v>64.211085770689692</v>
      </c>
      <c r="BQ198" s="3">
        <f t="shared" si="137"/>
        <v>0</v>
      </c>
      <c r="BR198" s="3">
        <f t="shared" si="137"/>
        <v>0</v>
      </c>
      <c r="BS198" s="3">
        <f t="shared" si="137"/>
        <v>0</v>
      </c>
      <c r="BT198" s="3">
        <f t="shared" ref="BT198:CD198" si="138">CB406</f>
        <v>0</v>
      </c>
      <c r="BU198" s="3">
        <f t="shared" si="138"/>
        <v>0</v>
      </c>
      <c r="BV198" s="3">
        <f t="shared" si="138"/>
        <v>0</v>
      </c>
      <c r="BW198" s="3">
        <f t="shared" si="138"/>
        <v>0</v>
      </c>
      <c r="BX198" s="3">
        <f t="shared" si="138"/>
        <v>0</v>
      </c>
      <c r="BY198" s="3">
        <f t="shared" si="138"/>
        <v>0</v>
      </c>
      <c r="BZ198" s="3">
        <f t="shared" si="138"/>
        <v>0</v>
      </c>
      <c r="CA198" s="3">
        <f t="shared" si="138"/>
        <v>0</v>
      </c>
      <c r="CB198" s="3">
        <f t="shared" si="138"/>
        <v>0</v>
      </c>
      <c r="CC198" s="3">
        <f t="shared" si="138"/>
        <v>0</v>
      </c>
      <c r="CD198" s="3">
        <f t="shared" si="138"/>
        <v>0</v>
      </c>
    </row>
    <row r="199" spans="2:82" s="3" customFormat="1" x14ac:dyDescent="0.2">
      <c r="E199" s="3" t="s">
        <v>136</v>
      </c>
      <c r="F199" s="3" t="s">
        <v>7</v>
      </c>
      <c r="AF199" s="3">
        <f t="shared" si="137"/>
        <v>0</v>
      </c>
      <c r="AG199" s="3">
        <f t="shared" si="137"/>
        <v>0</v>
      </c>
      <c r="AH199" s="3">
        <f t="shared" si="137"/>
        <v>0</v>
      </c>
      <c r="AI199" s="3">
        <f t="shared" si="137"/>
        <v>0</v>
      </c>
      <c r="AJ199" s="3">
        <f t="shared" si="137"/>
        <v>0</v>
      </c>
      <c r="AK199" s="3">
        <f t="shared" si="137"/>
        <v>0</v>
      </c>
      <c r="AL199" s="3">
        <f t="shared" si="137"/>
        <v>0</v>
      </c>
      <c r="AM199" s="3">
        <f t="shared" si="137"/>
        <v>0</v>
      </c>
      <c r="AN199" s="3">
        <f t="shared" si="137"/>
        <v>0</v>
      </c>
      <c r="AO199" s="3">
        <f t="shared" si="137"/>
        <v>0</v>
      </c>
      <c r="AP199" s="3">
        <f t="shared" si="137"/>
        <v>0</v>
      </c>
      <c r="AQ199" s="3">
        <f t="shared" si="137"/>
        <v>0</v>
      </c>
      <c r="AR199" s="3">
        <f t="shared" si="137"/>
        <v>0</v>
      </c>
      <c r="AS199" s="3">
        <f t="shared" si="137"/>
        <v>0</v>
      </c>
      <c r="AT199" s="3">
        <f t="shared" si="137"/>
        <v>0</v>
      </c>
      <c r="AU199" s="3">
        <f t="shared" si="137"/>
        <v>0</v>
      </c>
      <c r="AV199" s="3">
        <f t="shared" si="137"/>
        <v>0</v>
      </c>
      <c r="AW199" s="3">
        <f t="shared" si="137"/>
        <v>0</v>
      </c>
      <c r="AX199" s="3">
        <f t="shared" si="137"/>
        <v>0</v>
      </c>
      <c r="AY199" s="3">
        <f t="shared" si="137"/>
        <v>0</v>
      </c>
      <c r="AZ199" s="3">
        <f t="shared" si="137"/>
        <v>0</v>
      </c>
      <c r="BA199" s="3">
        <f t="shared" si="137"/>
        <v>0</v>
      </c>
      <c r="BB199" s="3">
        <f t="shared" si="137"/>
        <v>0</v>
      </c>
      <c r="BC199" s="3">
        <f t="shared" si="137"/>
        <v>0</v>
      </c>
      <c r="BD199" s="3">
        <f t="shared" si="137"/>
        <v>0</v>
      </c>
      <c r="BE199" s="3">
        <f t="shared" si="137"/>
        <v>0</v>
      </c>
      <c r="BF199" s="3">
        <f t="shared" si="137"/>
        <v>0</v>
      </c>
      <c r="BG199" s="3">
        <f t="shared" si="137"/>
        <v>0</v>
      </c>
      <c r="BH199" s="3">
        <f t="shared" si="137"/>
        <v>0</v>
      </c>
      <c r="BI199" s="3">
        <f t="shared" si="137"/>
        <v>0</v>
      </c>
      <c r="BJ199" s="3">
        <f t="shared" si="137"/>
        <v>0</v>
      </c>
      <c r="BK199" s="3">
        <f t="shared" si="137"/>
        <v>0</v>
      </c>
      <c r="BL199" s="3">
        <f t="shared" si="137"/>
        <v>0</v>
      </c>
      <c r="BM199" s="3">
        <f t="shared" si="137"/>
        <v>0</v>
      </c>
      <c r="BN199" s="3">
        <f t="shared" si="137"/>
        <v>0</v>
      </c>
      <c r="BO199" s="3">
        <f t="shared" si="137"/>
        <v>0</v>
      </c>
      <c r="BP199" s="3">
        <f t="shared" si="137"/>
        <v>0</v>
      </c>
      <c r="BQ199" s="3">
        <f t="shared" si="137"/>
        <v>0</v>
      </c>
      <c r="BR199" s="3">
        <f t="shared" si="137"/>
        <v>0</v>
      </c>
      <c r="BS199" s="3">
        <f t="shared" ref="BS199:CD202" si="139">CA407</f>
        <v>0</v>
      </c>
      <c r="BT199" s="3">
        <f t="shared" si="139"/>
        <v>0</v>
      </c>
      <c r="BU199" s="3">
        <f t="shared" si="139"/>
        <v>0</v>
      </c>
      <c r="BV199" s="3">
        <f t="shared" si="139"/>
        <v>0</v>
      </c>
      <c r="BW199" s="3">
        <f t="shared" si="139"/>
        <v>0</v>
      </c>
      <c r="BX199" s="3">
        <f t="shared" si="139"/>
        <v>0</v>
      </c>
      <c r="BY199" s="3">
        <f t="shared" si="139"/>
        <v>0</v>
      </c>
      <c r="BZ199" s="3">
        <f t="shared" si="139"/>
        <v>0</v>
      </c>
      <c r="CA199" s="3">
        <f t="shared" si="139"/>
        <v>0</v>
      </c>
      <c r="CB199" s="3">
        <f t="shared" si="139"/>
        <v>0</v>
      </c>
      <c r="CC199" s="3">
        <f t="shared" si="139"/>
        <v>0</v>
      </c>
      <c r="CD199" s="3">
        <f t="shared" si="139"/>
        <v>0</v>
      </c>
    </row>
    <row r="200" spans="2:82" s="3" customFormat="1" x14ac:dyDescent="0.2">
      <c r="E200" s="3" t="s">
        <v>137</v>
      </c>
      <c r="F200" s="3" t="s">
        <v>7</v>
      </c>
      <c r="AF200" s="3">
        <f t="shared" ref="AF200:BS203" si="140">AN408</f>
        <v>0</v>
      </c>
      <c r="AG200" s="3">
        <f t="shared" si="140"/>
        <v>0</v>
      </c>
      <c r="AH200" s="3">
        <f t="shared" si="140"/>
        <v>0</v>
      </c>
      <c r="AI200" s="3">
        <f t="shared" si="140"/>
        <v>0</v>
      </c>
      <c r="AJ200" s="3">
        <f t="shared" si="140"/>
        <v>0</v>
      </c>
      <c r="AK200" s="3">
        <f t="shared" si="140"/>
        <v>0</v>
      </c>
      <c r="AL200" s="3">
        <f t="shared" si="140"/>
        <v>0</v>
      </c>
      <c r="AM200" s="3">
        <f t="shared" si="140"/>
        <v>0</v>
      </c>
      <c r="AN200" s="3">
        <f t="shared" si="140"/>
        <v>0</v>
      </c>
      <c r="AO200" s="3">
        <f t="shared" si="140"/>
        <v>0</v>
      </c>
      <c r="AP200" s="3">
        <f t="shared" si="140"/>
        <v>0</v>
      </c>
      <c r="AQ200" s="3">
        <f t="shared" si="140"/>
        <v>0</v>
      </c>
      <c r="AR200" s="3">
        <f t="shared" si="140"/>
        <v>0</v>
      </c>
      <c r="AS200" s="3">
        <f t="shared" si="140"/>
        <v>0</v>
      </c>
      <c r="AT200" s="3">
        <f t="shared" si="140"/>
        <v>0</v>
      </c>
      <c r="AU200" s="3">
        <f t="shared" si="140"/>
        <v>0</v>
      </c>
      <c r="AV200" s="3">
        <f t="shared" si="140"/>
        <v>0</v>
      </c>
      <c r="AW200" s="3">
        <f t="shared" si="140"/>
        <v>0</v>
      </c>
      <c r="AX200" s="3">
        <f t="shared" si="140"/>
        <v>0</v>
      </c>
      <c r="AY200" s="3">
        <f t="shared" si="140"/>
        <v>0</v>
      </c>
      <c r="AZ200" s="3">
        <f t="shared" si="140"/>
        <v>0</v>
      </c>
      <c r="BA200" s="3">
        <f t="shared" si="140"/>
        <v>0</v>
      </c>
      <c r="BB200" s="3">
        <f t="shared" si="140"/>
        <v>0</v>
      </c>
      <c r="BC200" s="3">
        <f t="shared" si="140"/>
        <v>0</v>
      </c>
      <c r="BD200" s="3">
        <f t="shared" si="140"/>
        <v>0</v>
      </c>
      <c r="BE200" s="3">
        <f t="shared" si="140"/>
        <v>0</v>
      </c>
      <c r="BF200" s="3">
        <f t="shared" si="140"/>
        <v>0</v>
      </c>
      <c r="BG200" s="3">
        <f t="shared" si="140"/>
        <v>0</v>
      </c>
      <c r="BH200" s="3">
        <f t="shared" si="140"/>
        <v>0</v>
      </c>
      <c r="BI200" s="3">
        <f t="shared" si="140"/>
        <v>0</v>
      </c>
      <c r="BJ200" s="3">
        <f t="shared" si="140"/>
        <v>0</v>
      </c>
      <c r="BK200" s="3">
        <f t="shared" si="140"/>
        <v>0</v>
      </c>
      <c r="BL200" s="3">
        <f t="shared" si="140"/>
        <v>0</v>
      </c>
      <c r="BM200" s="3">
        <f t="shared" si="140"/>
        <v>0</v>
      </c>
      <c r="BN200" s="3">
        <f t="shared" si="140"/>
        <v>0</v>
      </c>
      <c r="BO200" s="3">
        <f t="shared" si="140"/>
        <v>0</v>
      </c>
      <c r="BP200" s="3">
        <f t="shared" si="140"/>
        <v>0</v>
      </c>
      <c r="BQ200" s="3">
        <f t="shared" si="140"/>
        <v>0</v>
      </c>
      <c r="BR200" s="3">
        <f t="shared" si="140"/>
        <v>0</v>
      </c>
      <c r="BS200" s="3">
        <f t="shared" si="140"/>
        <v>0</v>
      </c>
      <c r="BT200" s="3">
        <f t="shared" si="139"/>
        <v>0</v>
      </c>
      <c r="BU200" s="3">
        <f t="shared" si="139"/>
        <v>0</v>
      </c>
      <c r="BV200" s="3">
        <f t="shared" si="139"/>
        <v>0</v>
      </c>
      <c r="BW200" s="3">
        <f t="shared" si="139"/>
        <v>0</v>
      </c>
      <c r="BX200" s="3">
        <f t="shared" si="139"/>
        <v>0</v>
      </c>
      <c r="BY200" s="3">
        <f t="shared" si="139"/>
        <v>0</v>
      </c>
      <c r="BZ200" s="3">
        <f t="shared" si="139"/>
        <v>0</v>
      </c>
      <c r="CA200" s="3">
        <f t="shared" si="139"/>
        <v>0</v>
      </c>
      <c r="CB200" s="3">
        <f t="shared" si="139"/>
        <v>0</v>
      </c>
      <c r="CC200" s="3">
        <f t="shared" si="139"/>
        <v>0</v>
      </c>
      <c r="CD200" s="3">
        <f t="shared" si="139"/>
        <v>0</v>
      </c>
    </row>
    <row r="201" spans="2:82" s="3" customFormat="1" x14ac:dyDescent="0.2">
      <c r="E201" s="3" t="s">
        <v>138</v>
      </c>
      <c r="F201" s="3" t="s">
        <v>7</v>
      </c>
      <c r="AF201" s="3">
        <f t="shared" si="140"/>
        <v>1.4830400978089</v>
      </c>
      <c r="AG201" s="3">
        <f t="shared" si="140"/>
        <v>1.590006872349</v>
      </c>
      <c r="AH201" s="3">
        <f t="shared" si="140"/>
        <v>1.6937862635239</v>
      </c>
      <c r="AI201" s="3">
        <f t="shared" si="140"/>
        <v>1.8048108110912999</v>
      </c>
      <c r="AJ201" s="3">
        <f t="shared" si="140"/>
        <v>1.8967141082646</v>
      </c>
      <c r="AK201" s="3">
        <f t="shared" si="140"/>
        <v>1.9737843123648999</v>
      </c>
      <c r="AL201" s="3">
        <f t="shared" si="140"/>
        <v>2.4307002006812999</v>
      </c>
      <c r="AM201" s="3">
        <f t="shared" si="140"/>
        <v>3.7102525091678999</v>
      </c>
      <c r="AN201" s="3">
        <f t="shared" si="140"/>
        <v>3.8258794836818999</v>
      </c>
      <c r="AO201" s="3">
        <f t="shared" si="140"/>
        <v>3.9524118361548002</v>
      </c>
      <c r="AP201" s="3">
        <f t="shared" si="140"/>
        <v>4.1388375691528996</v>
      </c>
      <c r="AQ201" s="3">
        <f t="shared" si="140"/>
        <v>4.3722018972352998</v>
      </c>
      <c r="AR201" s="3">
        <f t="shared" si="140"/>
        <v>4.6440850703747998</v>
      </c>
      <c r="AS201" s="3">
        <f t="shared" si="140"/>
        <v>4.9396859293526001</v>
      </c>
      <c r="AT201" s="3">
        <f t="shared" si="140"/>
        <v>5.2397118319090996</v>
      </c>
      <c r="AU201" s="3">
        <f t="shared" si="140"/>
        <v>5.5207581702892998</v>
      </c>
      <c r="AV201" s="3">
        <f t="shared" si="140"/>
        <v>5.7560524167079006</v>
      </c>
      <c r="AW201" s="3">
        <f t="shared" si="140"/>
        <v>5.9168423671161001</v>
      </c>
      <c r="AX201" s="3">
        <f t="shared" si="140"/>
        <v>5.9745489520569999</v>
      </c>
      <c r="AY201" s="3">
        <f t="shared" si="140"/>
        <v>5.9285951062355</v>
      </c>
      <c r="AZ201" s="3">
        <f t="shared" si="140"/>
        <v>5.7690897129343996</v>
      </c>
      <c r="BA201" s="3">
        <f t="shared" si="140"/>
        <v>5.5313677767156006</v>
      </c>
      <c r="BB201" s="3">
        <f t="shared" si="140"/>
        <v>5.1919224195932996</v>
      </c>
      <c r="BC201" s="3">
        <f t="shared" si="140"/>
        <v>4.7589479245520003</v>
      </c>
      <c r="BD201" s="3">
        <f t="shared" si="140"/>
        <v>4.2433973264081004</v>
      </c>
      <c r="BE201" s="3">
        <f t="shared" si="140"/>
        <v>3.6650506614967999</v>
      </c>
      <c r="BF201" s="3">
        <f t="shared" si="140"/>
        <v>0.50771774363279998</v>
      </c>
      <c r="BG201" s="3">
        <f t="shared" si="140"/>
        <v>0</v>
      </c>
      <c r="BH201" s="3">
        <f t="shared" si="140"/>
        <v>0</v>
      </c>
      <c r="BI201" s="3">
        <f t="shared" si="140"/>
        <v>0</v>
      </c>
      <c r="BJ201" s="3">
        <f t="shared" si="140"/>
        <v>0</v>
      </c>
      <c r="BK201" s="3">
        <f t="shared" si="140"/>
        <v>0</v>
      </c>
      <c r="BL201" s="3">
        <f t="shared" si="140"/>
        <v>0</v>
      </c>
      <c r="BM201" s="3">
        <f t="shared" si="140"/>
        <v>0</v>
      </c>
      <c r="BN201" s="3">
        <f t="shared" si="140"/>
        <v>0</v>
      </c>
      <c r="BO201" s="3">
        <f t="shared" si="140"/>
        <v>0</v>
      </c>
      <c r="BP201" s="3">
        <f t="shared" si="140"/>
        <v>0</v>
      </c>
      <c r="BQ201" s="3">
        <f t="shared" si="140"/>
        <v>0</v>
      </c>
      <c r="BR201" s="3">
        <f t="shared" si="140"/>
        <v>0</v>
      </c>
      <c r="BS201" s="3">
        <f t="shared" si="140"/>
        <v>0</v>
      </c>
      <c r="BT201" s="3">
        <f t="shared" si="139"/>
        <v>0</v>
      </c>
      <c r="BU201" s="3">
        <f t="shared" si="139"/>
        <v>0</v>
      </c>
      <c r="BV201" s="3">
        <f t="shared" si="139"/>
        <v>0</v>
      </c>
      <c r="BW201" s="3">
        <f t="shared" si="139"/>
        <v>0</v>
      </c>
      <c r="BX201" s="3">
        <f t="shared" si="139"/>
        <v>0</v>
      </c>
      <c r="BY201" s="3">
        <f t="shared" si="139"/>
        <v>0</v>
      </c>
      <c r="BZ201" s="3">
        <f t="shared" si="139"/>
        <v>0</v>
      </c>
      <c r="CA201" s="3">
        <f t="shared" si="139"/>
        <v>0</v>
      </c>
      <c r="CB201" s="3">
        <f t="shared" si="139"/>
        <v>0</v>
      </c>
      <c r="CC201" s="3">
        <f t="shared" si="139"/>
        <v>0</v>
      </c>
      <c r="CD201" s="3">
        <f t="shared" si="139"/>
        <v>0</v>
      </c>
    </row>
    <row r="202" spans="2:82" s="3" customFormat="1" x14ac:dyDescent="0.2">
      <c r="E202" s="3" t="s">
        <v>139</v>
      </c>
      <c r="F202" s="3" t="s">
        <v>7</v>
      </c>
      <c r="AF202" s="3">
        <f t="shared" si="140"/>
        <v>0</v>
      </c>
      <c r="AG202" s="3">
        <f t="shared" si="140"/>
        <v>0</v>
      </c>
      <c r="AH202" s="3">
        <f t="shared" si="140"/>
        <v>0</v>
      </c>
      <c r="AI202" s="3">
        <f t="shared" si="140"/>
        <v>0</v>
      </c>
      <c r="AJ202" s="3">
        <f t="shared" si="140"/>
        <v>0</v>
      </c>
      <c r="AK202" s="3">
        <f t="shared" si="140"/>
        <v>0</v>
      </c>
      <c r="AL202" s="3">
        <f t="shared" si="140"/>
        <v>0</v>
      </c>
      <c r="AM202" s="3">
        <f t="shared" si="140"/>
        <v>0</v>
      </c>
      <c r="AN202" s="3">
        <f t="shared" si="140"/>
        <v>0</v>
      </c>
      <c r="AO202" s="3">
        <f t="shared" si="140"/>
        <v>0</v>
      </c>
      <c r="AP202" s="3">
        <f t="shared" si="140"/>
        <v>0</v>
      </c>
      <c r="AQ202" s="3">
        <f t="shared" si="140"/>
        <v>0</v>
      </c>
      <c r="AR202" s="3">
        <f t="shared" si="140"/>
        <v>0</v>
      </c>
      <c r="AS202" s="3">
        <f t="shared" si="140"/>
        <v>0</v>
      </c>
      <c r="AT202" s="3">
        <f t="shared" si="140"/>
        <v>0</v>
      </c>
      <c r="AU202" s="3">
        <f t="shared" si="140"/>
        <v>0</v>
      </c>
      <c r="AV202" s="3">
        <f t="shared" si="140"/>
        <v>0</v>
      </c>
      <c r="AW202" s="3">
        <f t="shared" si="140"/>
        <v>0</v>
      </c>
      <c r="AX202" s="3">
        <f t="shared" si="140"/>
        <v>0</v>
      </c>
      <c r="AY202" s="3">
        <f t="shared" si="140"/>
        <v>0</v>
      </c>
      <c r="AZ202" s="3">
        <f t="shared" si="140"/>
        <v>0</v>
      </c>
      <c r="BA202" s="3">
        <f t="shared" si="140"/>
        <v>0</v>
      </c>
      <c r="BB202" s="3">
        <f t="shared" si="140"/>
        <v>0</v>
      </c>
      <c r="BC202" s="3">
        <f t="shared" si="140"/>
        <v>0</v>
      </c>
      <c r="BD202" s="3">
        <f t="shared" si="140"/>
        <v>0</v>
      </c>
      <c r="BE202" s="3">
        <f t="shared" si="140"/>
        <v>0</v>
      </c>
      <c r="BF202" s="3">
        <f t="shared" si="140"/>
        <v>0</v>
      </c>
      <c r="BG202" s="3">
        <f t="shared" si="140"/>
        <v>0</v>
      </c>
      <c r="BH202" s="3">
        <f t="shared" si="140"/>
        <v>0</v>
      </c>
      <c r="BI202" s="3">
        <f t="shared" si="140"/>
        <v>0</v>
      </c>
      <c r="BJ202" s="3">
        <f t="shared" si="140"/>
        <v>0</v>
      </c>
      <c r="BK202" s="3">
        <f t="shared" si="140"/>
        <v>0</v>
      </c>
      <c r="BL202" s="3">
        <f t="shared" si="140"/>
        <v>0</v>
      </c>
      <c r="BM202" s="3">
        <f t="shared" si="140"/>
        <v>0</v>
      </c>
      <c r="BN202" s="3">
        <f t="shared" si="140"/>
        <v>0</v>
      </c>
      <c r="BO202" s="3">
        <f t="shared" si="140"/>
        <v>0</v>
      </c>
      <c r="BP202" s="3">
        <f t="shared" si="140"/>
        <v>0</v>
      </c>
      <c r="BQ202" s="3">
        <f t="shared" si="140"/>
        <v>0</v>
      </c>
      <c r="BR202" s="3">
        <f t="shared" si="140"/>
        <v>0</v>
      </c>
      <c r="BS202" s="3">
        <f t="shared" si="140"/>
        <v>0</v>
      </c>
      <c r="BT202" s="3">
        <f t="shared" si="139"/>
        <v>0</v>
      </c>
      <c r="BU202" s="3">
        <f t="shared" si="139"/>
        <v>0</v>
      </c>
      <c r="BV202" s="3">
        <f t="shared" si="139"/>
        <v>0</v>
      </c>
      <c r="BW202" s="3">
        <f t="shared" si="139"/>
        <v>0</v>
      </c>
      <c r="BX202" s="3">
        <f t="shared" si="139"/>
        <v>0</v>
      </c>
      <c r="BY202" s="3">
        <f t="shared" si="139"/>
        <v>0</v>
      </c>
      <c r="BZ202" s="3">
        <f t="shared" si="139"/>
        <v>0</v>
      </c>
      <c r="CA202" s="3">
        <f t="shared" si="139"/>
        <v>0</v>
      </c>
      <c r="CB202" s="3">
        <f t="shared" si="139"/>
        <v>0</v>
      </c>
      <c r="CC202" s="3">
        <f t="shared" si="139"/>
        <v>0</v>
      </c>
      <c r="CD202" s="3">
        <f t="shared" si="139"/>
        <v>0</v>
      </c>
    </row>
    <row r="203" spans="2:82" s="8" customFormat="1" x14ac:dyDescent="0.2">
      <c r="E203" s="8" t="s">
        <v>177</v>
      </c>
      <c r="F203" s="8" t="s">
        <v>7</v>
      </c>
      <c r="AF203" s="8">
        <f t="shared" si="140"/>
        <v>2984.1777643445198</v>
      </c>
      <c r="AG203" s="8">
        <f t="shared" si="140"/>
        <v>3391.4204937288901</v>
      </c>
      <c r="AH203" s="8">
        <f t="shared" si="140"/>
        <v>3746.0645298816398</v>
      </c>
      <c r="AI203" s="8">
        <f t="shared" si="140"/>
        <v>4025.6709102096302</v>
      </c>
      <c r="AJ203" s="8">
        <f t="shared" si="140"/>
        <v>4210.5535385497496</v>
      </c>
      <c r="AK203" s="8">
        <f t="shared" si="140"/>
        <v>4287.5076878844602</v>
      </c>
      <c r="AL203" s="8">
        <f t="shared" si="140"/>
        <v>4255.7669516844699</v>
      </c>
      <c r="AM203" s="8">
        <f t="shared" si="140"/>
        <v>4125.0003499479899</v>
      </c>
      <c r="AN203" s="8">
        <f t="shared" si="140"/>
        <v>3901.24813710132</v>
      </c>
      <c r="AO203" s="8">
        <f t="shared" si="140"/>
        <v>3592.8485319063102</v>
      </c>
      <c r="AP203" s="8">
        <f t="shared" si="140"/>
        <v>3203.6349547005998</v>
      </c>
      <c r="AQ203" s="8">
        <f t="shared" si="140"/>
        <v>2734.8258685750302</v>
      </c>
      <c r="AR203" s="8">
        <f t="shared" si="140"/>
        <v>2186.58250692411</v>
      </c>
      <c r="AS203" s="8">
        <f t="shared" si="140"/>
        <v>1559.65938663519</v>
      </c>
      <c r="AT203" s="8">
        <f t="shared" si="140"/>
        <v>856.04985595647793</v>
      </c>
      <c r="AU203" s="8">
        <f t="shared" si="140"/>
        <v>681.05769073732006</v>
      </c>
      <c r="AV203" s="8">
        <f t="shared" si="140"/>
        <v>620.69278464321599</v>
      </c>
      <c r="AW203" s="8">
        <f t="shared" si="140"/>
        <v>525.060099588051</v>
      </c>
      <c r="AX203" s="8">
        <f t="shared" si="140"/>
        <v>623.19891936578495</v>
      </c>
      <c r="AY203" s="8">
        <f t="shared" si="140"/>
        <v>234.812174044009</v>
      </c>
      <c r="AZ203" s="8">
        <f t="shared" si="140"/>
        <v>213.542337573493</v>
      </c>
      <c r="BA203" s="8">
        <f t="shared" si="140"/>
        <v>188.288545420205</v>
      </c>
      <c r="BB203" s="8">
        <f t="shared" si="140"/>
        <v>165.295486213918</v>
      </c>
      <c r="BC203" s="8">
        <f t="shared" si="140"/>
        <v>143.075069643994</v>
      </c>
      <c r="BD203" s="8">
        <f t="shared" si="140"/>
        <v>124.118713605018</v>
      </c>
      <c r="BE203" s="8">
        <f t="shared" si="140"/>
        <v>108.30661347418101</v>
      </c>
      <c r="BF203" s="8">
        <f t="shared" si="140"/>
        <v>117.728899090391</v>
      </c>
      <c r="BG203" s="8">
        <f t="shared" si="140"/>
        <v>167.69636851943201</v>
      </c>
      <c r="BH203" s="8">
        <f t="shared" si="140"/>
        <v>261.50314998865798</v>
      </c>
      <c r="BI203" s="8">
        <f t="shared" si="140"/>
        <v>405.79099026503599</v>
      </c>
      <c r="BJ203" s="8">
        <f t="shared" si="140"/>
        <v>606.02633128385298</v>
      </c>
      <c r="BK203" s="8">
        <f t="shared" si="140"/>
        <v>864.03534190592995</v>
      </c>
      <c r="BL203" s="8">
        <f t="shared" si="140"/>
        <v>1178.80635262071</v>
      </c>
      <c r="BM203" s="8">
        <f t="shared" si="140"/>
        <v>1545.98476968574</v>
      </c>
      <c r="BN203" s="8">
        <f t="shared" si="140"/>
        <v>1958.0576517546999</v>
      </c>
      <c r="BO203" s="8">
        <f t="shared" si="140"/>
        <v>2404.9606617009599</v>
      </c>
      <c r="BP203" s="8">
        <f t="shared" si="140"/>
        <v>2876.78657422384</v>
      </c>
      <c r="BQ203" s="8">
        <f t="shared" si="140"/>
        <v>3362.3957884885199</v>
      </c>
      <c r="BR203" s="8">
        <f t="shared" si="140"/>
        <v>3850.1515483775602</v>
      </c>
      <c r="BS203" s="8">
        <f>CA411</f>
        <v>4330.3251804310594</v>
      </c>
      <c r="BT203" s="8">
        <f>CB411</f>
        <v>4794.1583049760602</v>
      </c>
      <c r="BU203" s="8">
        <f>CC411</f>
        <v>5235.4269454353598</v>
      </c>
      <c r="BV203" s="8">
        <f>CD411</f>
        <v>5649.2141591127393</v>
      </c>
      <c r="BW203" s="8">
        <f>CE411</f>
        <v>6029.9536350849803</v>
      </c>
      <c r="BX203" s="8">
        <f>CF411</f>
        <v>6372.0466418385604</v>
      </c>
      <c r="BY203" s="8">
        <f>CG411</f>
        <v>6672.4871452851703</v>
      </c>
      <c r="BZ203" s="8">
        <f>CH411</f>
        <v>6951.05644421952</v>
      </c>
      <c r="CA203" s="8">
        <f>CI411</f>
        <v>7216.0523362363101</v>
      </c>
      <c r="CB203" s="8">
        <f>CJ411</f>
        <v>7469.9686372809401</v>
      </c>
      <c r="CC203" s="8">
        <f>CK411</f>
        <v>7714.1314986191601</v>
      </c>
      <c r="CD203" s="8">
        <f>CL411</f>
        <v>7900.3873837104102</v>
      </c>
    </row>
    <row r="204" spans="2:82" s="7" customFormat="1" x14ac:dyDescent="0.2">
      <c r="B204" s="7" t="s">
        <v>140</v>
      </c>
      <c r="G204" s="7">
        <f>SUM(G205,G208:G212)</f>
        <v>700.35079999999994</v>
      </c>
      <c r="H204" s="7">
        <f t="shared" ref="H204:BS204" si="141">SUM(H205,H208:H212)</f>
        <v>633.49189999999999</v>
      </c>
      <c r="I204" s="7">
        <f t="shared" si="141"/>
        <v>653.41909999999996</v>
      </c>
      <c r="J204" s="7">
        <f t="shared" si="141"/>
        <v>670.64420000000007</v>
      </c>
      <c r="K204" s="7">
        <f t="shared" si="141"/>
        <v>676.13030000000003</v>
      </c>
      <c r="L204" s="7">
        <f t="shared" si="141"/>
        <v>687.07639999999992</v>
      </c>
      <c r="M204" s="7">
        <f t="shared" si="141"/>
        <v>698.81359999999995</v>
      </c>
      <c r="N204" s="7">
        <f t="shared" si="141"/>
        <v>711.10429999999997</v>
      </c>
      <c r="O204" s="7">
        <f t="shared" si="141"/>
        <v>720.96530000000007</v>
      </c>
      <c r="P204" s="7">
        <f t="shared" si="141"/>
        <v>730.84950000000003</v>
      </c>
      <c r="Q204" s="7">
        <f t="shared" si="141"/>
        <v>841.83170000000007</v>
      </c>
      <c r="R204" s="7">
        <f t="shared" si="141"/>
        <v>743.89580000000001</v>
      </c>
      <c r="S204" s="7">
        <f t="shared" si="141"/>
        <v>745.69699999999989</v>
      </c>
      <c r="T204" s="7">
        <f t="shared" si="141"/>
        <v>773.61830000000009</v>
      </c>
      <c r="U204" s="7">
        <f t="shared" si="141"/>
        <v>1006.5824</v>
      </c>
      <c r="V204" s="7">
        <f t="shared" si="141"/>
        <v>897.17660000000001</v>
      </c>
      <c r="W204" s="7">
        <f t="shared" si="141"/>
        <v>818.67679999999996</v>
      </c>
      <c r="X204" s="7">
        <f t="shared" si="141"/>
        <v>849.74559999999997</v>
      </c>
      <c r="Y204" s="7">
        <f t="shared" si="141"/>
        <v>868.65130000000011</v>
      </c>
      <c r="Z204" s="7">
        <f t="shared" si="141"/>
        <v>920.27329999999995</v>
      </c>
      <c r="AA204" s="7">
        <f t="shared" si="141"/>
        <v>1938.4665999999997</v>
      </c>
      <c r="AB204" s="7">
        <f t="shared" si="141"/>
        <v>964.80179999999996</v>
      </c>
      <c r="AC204" s="7">
        <f t="shared" si="141"/>
        <v>958.93819999999994</v>
      </c>
      <c r="AD204" s="7">
        <f t="shared" si="141"/>
        <v>1025.9922999999999</v>
      </c>
      <c r="AE204" s="7">
        <f t="shared" si="141"/>
        <v>2139.5228999999999</v>
      </c>
      <c r="AF204" s="7">
        <f t="shared" si="141"/>
        <v>2192.2860789786428</v>
      </c>
      <c r="AG204" s="7">
        <f t="shared" si="141"/>
        <v>2339.8886730456675</v>
      </c>
      <c r="AH204" s="7">
        <f t="shared" si="141"/>
        <v>2342.600313230942</v>
      </c>
      <c r="AI204" s="7">
        <f t="shared" si="141"/>
        <v>2372.273848448337</v>
      </c>
      <c r="AJ204" s="7">
        <f t="shared" si="141"/>
        <v>2455.4128594106946</v>
      </c>
      <c r="AK204" s="7">
        <f t="shared" si="141"/>
        <v>2540.9232532349533</v>
      </c>
      <c r="AL204" s="7">
        <f t="shared" si="141"/>
        <v>2633.0458348156299</v>
      </c>
      <c r="AM204" s="7">
        <f t="shared" si="141"/>
        <v>2733.0529416578001</v>
      </c>
      <c r="AN204" s="7">
        <f t="shared" si="141"/>
        <v>2841.2184967444477</v>
      </c>
      <c r="AO204" s="7">
        <f t="shared" si="141"/>
        <v>2955.2704715840109</v>
      </c>
      <c r="AP204" s="7">
        <f t="shared" si="141"/>
        <v>3072.6123816546919</v>
      </c>
      <c r="AQ204" s="7">
        <f t="shared" si="141"/>
        <v>3189.0978287580206</v>
      </c>
      <c r="AR204" s="7">
        <f t="shared" si="141"/>
        <v>3302.129668664074</v>
      </c>
      <c r="AS204" s="7">
        <f t="shared" si="141"/>
        <v>3408.0664375606339</v>
      </c>
      <c r="AT204" s="7">
        <f t="shared" si="141"/>
        <v>3503.5637719270312</v>
      </c>
      <c r="AU204" s="7">
        <f t="shared" si="141"/>
        <v>3624.8419619091992</v>
      </c>
      <c r="AV204" s="7">
        <f t="shared" si="141"/>
        <v>3743.0812813553021</v>
      </c>
      <c r="AW204" s="7">
        <f t="shared" si="141"/>
        <v>3847.5341548784154</v>
      </c>
      <c r="AX204" s="7">
        <f t="shared" si="141"/>
        <v>3952.9692267452692</v>
      </c>
      <c r="AY204" s="7">
        <f t="shared" si="141"/>
        <v>4016.3012960896094</v>
      </c>
      <c r="AZ204" s="7">
        <f t="shared" si="141"/>
        <v>4093.423564996101</v>
      </c>
      <c r="BA204" s="7">
        <f t="shared" si="141"/>
        <v>4161.8820160857122</v>
      </c>
      <c r="BB204" s="7">
        <f t="shared" si="141"/>
        <v>4223.2224485376737</v>
      </c>
      <c r="BC204" s="7">
        <f t="shared" si="141"/>
        <v>4279.2055349436932</v>
      </c>
      <c r="BD204" s="7">
        <f t="shared" si="141"/>
        <v>4328.7627357687215</v>
      </c>
      <c r="BE204" s="7">
        <f t="shared" si="141"/>
        <v>4366.6635408873763</v>
      </c>
      <c r="BF204" s="7">
        <f t="shared" si="141"/>
        <v>4412.971445412898</v>
      </c>
      <c r="BG204" s="7">
        <f t="shared" si="141"/>
        <v>4470.6659567145434</v>
      </c>
      <c r="BH204" s="7">
        <f t="shared" si="141"/>
        <v>4541.1915434186285</v>
      </c>
      <c r="BI204" s="7">
        <f t="shared" si="141"/>
        <v>4618.576926865665</v>
      </c>
      <c r="BJ204" s="7">
        <f t="shared" si="141"/>
        <v>4702.9229588776843</v>
      </c>
      <c r="BK204" s="7">
        <f t="shared" si="141"/>
        <v>4794.0006965404282</v>
      </c>
      <c r="BL204" s="7">
        <f t="shared" si="141"/>
        <v>4891.4464255953771</v>
      </c>
      <c r="BM204" s="7">
        <f t="shared" si="141"/>
        <v>4994.7041863791947</v>
      </c>
      <c r="BN204" s="7">
        <f t="shared" si="141"/>
        <v>5102.9629822580246</v>
      </c>
      <c r="BO204" s="7">
        <f t="shared" si="141"/>
        <v>5215.2194180097267</v>
      </c>
      <c r="BP204" s="7">
        <f t="shared" si="141"/>
        <v>5330.4997787121347</v>
      </c>
      <c r="BQ204" s="7">
        <f t="shared" si="141"/>
        <v>5448.6458262506203</v>
      </c>
      <c r="BR204" s="7">
        <f t="shared" si="141"/>
        <v>5569.1179330945852</v>
      </c>
      <c r="BS204" s="7">
        <f t="shared" si="141"/>
        <v>5691.3682893917457</v>
      </c>
      <c r="BT204" s="7">
        <f t="shared" ref="BT204:CD204" si="142">SUM(BT205,BT208:BT212)</f>
        <v>5814.8115682606585</v>
      </c>
      <c r="BU204" s="7">
        <f t="shared" si="142"/>
        <v>5939.1552041017412</v>
      </c>
      <c r="BV204" s="7">
        <f t="shared" si="142"/>
        <v>6064.2397583600396</v>
      </c>
      <c r="BW204" s="7">
        <f t="shared" si="142"/>
        <v>6189.3913673149273</v>
      </c>
      <c r="BX204" s="7">
        <f t="shared" si="142"/>
        <v>6314.2846360946842</v>
      </c>
      <c r="BY204" s="7">
        <f t="shared" si="142"/>
        <v>6438.7188569540594</v>
      </c>
      <c r="BZ204" s="7">
        <f t="shared" si="142"/>
        <v>6563.9761220520368</v>
      </c>
      <c r="CA204" s="7">
        <f t="shared" si="142"/>
        <v>6691.2374330603907</v>
      </c>
      <c r="CB204" s="7">
        <f t="shared" si="142"/>
        <v>6822.6362765972617</v>
      </c>
      <c r="CC204" s="7">
        <f t="shared" si="142"/>
        <v>6959.3414234053816</v>
      </c>
      <c r="CD204" s="7">
        <f t="shared" si="142"/>
        <v>7099.1177640968463</v>
      </c>
    </row>
    <row r="205" spans="2:82" s="4" customFormat="1" x14ac:dyDescent="0.2">
      <c r="C205" s="4" t="s">
        <v>141</v>
      </c>
      <c r="G205" s="4">
        <f>SUM(G206,G207)</f>
        <v>80.968499999999992</v>
      </c>
      <c r="H205" s="4">
        <f t="shared" ref="H205:BS205" si="143">SUM(H206,H207)</f>
        <v>80.968499999999992</v>
      </c>
      <c r="I205" s="4">
        <f t="shared" si="143"/>
        <v>80.968499999999992</v>
      </c>
      <c r="J205" s="4">
        <f t="shared" si="143"/>
        <v>80.968499999999992</v>
      </c>
      <c r="K205" s="4">
        <f t="shared" si="143"/>
        <v>80.968499999999992</v>
      </c>
      <c r="L205" s="4">
        <f t="shared" si="143"/>
        <v>80.968499999999992</v>
      </c>
      <c r="M205" s="4">
        <f t="shared" si="143"/>
        <v>80.968499999999992</v>
      </c>
      <c r="N205" s="4">
        <f t="shared" si="143"/>
        <v>81.10799999999999</v>
      </c>
      <c r="O205" s="4">
        <f t="shared" si="143"/>
        <v>81.219599999999986</v>
      </c>
      <c r="P205" s="4">
        <f t="shared" si="143"/>
        <v>81.331199999999981</v>
      </c>
      <c r="Q205" s="4">
        <f t="shared" si="143"/>
        <v>81.442799999999991</v>
      </c>
      <c r="R205" s="4">
        <f t="shared" si="143"/>
        <v>73.856099999999998</v>
      </c>
      <c r="S205" s="4">
        <f t="shared" si="143"/>
        <v>65.968500000000006</v>
      </c>
      <c r="T205" s="4">
        <f t="shared" si="143"/>
        <v>58.108800000000002</v>
      </c>
      <c r="U205" s="4">
        <f t="shared" si="143"/>
        <v>50.221199999999996</v>
      </c>
      <c r="V205" s="4">
        <f t="shared" si="143"/>
        <v>42.361499999999999</v>
      </c>
      <c r="W205" s="4">
        <f t="shared" si="143"/>
        <v>42.361499999999999</v>
      </c>
      <c r="X205" s="4">
        <f t="shared" si="143"/>
        <v>56.4129</v>
      </c>
      <c r="Y205" s="4">
        <f t="shared" si="143"/>
        <v>56.4129</v>
      </c>
      <c r="Z205" s="4">
        <f t="shared" si="143"/>
        <v>96.331199999999995</v>
      </c>
      <c r="AA205" s="4">
        <f t="shared" si="143"/>
        <v>78.190499999999986</v>
      </c>
      <c r="AB205" s="4">
        <f t="shared" si="143"/>
        <v>103.9119</v>
      </c>
      <c r="AC205" s="4">
        <f t="shared" si="143"/>
        <v>35.884799999999998</v>
      </c>
      <c r="AD205" s="4">
        <f t="shared" si="143"/>
        <v>13.694700000000001</v>
      </c>
      <c r="AE205" s="4">
        <f t="shared" si="143"/>
        <v>3.1965000000000003</v>
      </c>
      <c r="AF205" s="4">
        <f t="shared" si="143"/>
        <v>28.5907093334081</v>
      </c>
      <c r="AG205" s="4">
        <f t="shared" si="143"/>
        <v>36.794639515205503</v>
      </c>
      <c r="AH205" s="4">
        <f t="shared" si="143"/>
        <v>34.251324640372601</v>
      </c>
      <c r="AI205" s="4">
        <f t="shared" si="143"/>
        <v>34.382756452663301</v>
      </c>
      <c r="AJ205" s="4">
        <f t="shared" si="143"/>
        <v>35.9090657741135</v>
      </c>
      <c r="AK205" s="4">
        <f t="shared" si="143"/>
        <v>37.6713441332165</v>
      </c>
      <c r="AL205" s="4">
        <f t="shared" si="143"/>
        <v>39.6867401372212</v>
      </c>
      <c r="AM205" s="4">
        <f t="shared" si="143"/>
        <v>41.964574792345601</v>
      </c>
      <c r="AN205" s="4">
        <f t="shared" si="143"/>
        <v>44.4405382774031</v>
      </c>
      <c r="AO205" s="4">
        <f t="shared" si="143"/>
        <v>47.0816930876505</v>
      </c>
      <c r="AP205" s="4">
        <f t="shared" si="143"/>
        <v>49.837423672941995</v>
      </c>
      <c r="AQ205" s="4">
        <f t="shared" si="143"/>
        <v>52.638856136994299</v>
      </c>
      <c r="AR205" s="4">
        <f t="shared" si="143"/>
        <v>55.4072911943382</v>
      </c>
      <c r="AS205" s="4">
        <f t="shared" si="143"/>
        <v>58.060060803133396</v>
      </c>
      <c r="AT205" s="4">
        <f t="shared" si="143"/>
        <v>60.5189862549868</v>
      </c>
      <c r="AU205" s="4">
        <f t="shared" si="143"/>
        <v>62.718694376041903</v>
      </c>
      <c r="AV205" s="4">
        <f t="shared" si="143"/>
        <v>64.613205042457594</v>
      </c>
      <c r="AW205" s="4">
        <f t="shared" si="143"/>
        <v>66.179683642940205</v>
      </c>
      <c r="AX205" s="4">
        <f t="shared" si="143"/>
        <v>67.418970144281502</v>
      </c>
      <c r="AY205" s="4">
        <f t="shared" si="143"/>
        <v>68.353246724361895</v>
      </c>
      <c r="AZ205" s="4">
        <f t="shared" si="143"/>
        <v>69.017911037310398</v>
      </c>
      <c r="BA205" s="4">
        <f t="shared" si="143"/>
        <v>69.458974072217501</v>
      </c>
      <c r="BB205" s="4">
        <f t="shared" si="143"/>
        <v>69.721156784818803</v>
      </c>
      <c r="BC205" s="4">
        <f t="shared" si="143"/>
        <v>69.855999820853796</v>
      </c>
      <c r="BD205" s="4">
        <f t="shared" si="143"/>
        <v>69.912168552741406</v>
      </c>
      <c r="BE205" s="4">
        <f t="shared" si="143"/>
        <v>69.931373990398299</v>
      </c>
      <c r="BF205" s="4">
        <f t="shared" si="143"/>
        <v>69.937604964433305</v>
      </c>
      <c r="BG205" s="4">
        <f t="shared" si="143"/>
        <v>69.969178221701299</v>
      </c>
      <c r="BH205" s="4">
        <f t="shared" si="143"/>
        <v>70.0565334216206</v>
      </c>
      <c r="BI205" s="4">
        <f t="shared" si="143"/>
        <v>70.221768295774197</v>
      </c>
      <c r="BJ205" s="4">
        <f t="shared" si="143"/>
        <v>70.479884698543003</v>
      </c>
      <c r="BK205" s="4">
        <f t="shared" si="143"/>
        <v>70.839856635193897</v>
      </c>
      <c r="BL205" s="4">
        <f t="shared" si="143"/>
        <v>71.305500338658902</v>
      </c>
      <c r="BM205" s="4">
        <f t="shared" si="143"/>
        <v>71.876345011095708</v>
      </c>
      <c r="BN205" s="4">
        <f t="shared" si="143"/>
        <v>72.547857171458105</v>
      </c>
      <c r="BO205" s="4">
        <f t="shared" si="143"/>
        <v>73.312448968490699</v>
      </c>
      <c r="BP205" s="4">
        <f t="shared" si="143"/>
        <v>74.160803287659107</v>
      </c>
      <c r="BQ205" s="4">
        <f t="shared" si="143"/>
        <v>75.087553499446798</v>
      </c>
      <c r="BR205" s="4">
        <f t="shared" si="143"/>
        <v>76.086762111463401</v>
      </c>
      <c r="BS205" s="4">
        <f t="shared" si="143"/>
        <v>77.151684101651298</v>
      </c>
      <c r="BT205" s="4">
        <f t="shared" ref="BT205:CD205" si="144">SUM(BT206,BT207)</f>
        <v>78.274918356951503</v>
      </c>
      <c r="BU205" s="4">
        <f t="shared" si="144"/>
        <v>79.450405748737907</v>
      </c>
      <c r="BV205" s="4">
        <f t="shared" si="144"/>
        <v>80.672628651552998</v>
      </c>
      <c r="BW205" s="4">
        <f t="shared" si="144"/>
        <v>81.934957965381997</v>
      </c>
      <c r="BX205" s="4">
        <f t="shared" si="144"/>
        <v>83.231803667716505</v>
      </c>
      <c r="BY205" s="4">
        <f t="shared" si="144"/>
        <v>84.5578826350486</v>
      </c>
      <c r="BZ205" s="4">
        <f t="shared" si="144"/>
        <v>85.908629901170002</v>
      </c>
      <c r="CA205" s="4">
        <f t="shared" si="144"/>
        <v>87.280469269838008</v>
      </c>
      <c r="CB205" s="4">
        <f t="shared" si="144"/>
        <v>88.670065245399911</v>
      </c>
      <c r="CC205" s="4">
        <f t="shared" si="144"/>
        <v>90.075076592439103</v>
      </c>
      <c r="CD205" s="4">
        <f t="shared" si="144"/>
        <v>91.495364743824112</v>
      </c>
    </row>
    <row r="206" spans="2:82" s="3" customFormat="1" x14ac:dyDescent="0.2">
      <c r="D206" s="3" t="s">
        <v>142</v>
      </c>
      <c r="F206" s="3" t="s">
        <v>6</v>
      </c>
      <c r="G206" s="3">
        <f>O412</f>
        <v>64.588499999999996</v>
      </c>
      <c r="H206" s="3">
        <f>P412</f>
        <v>64.588499999999996</v>
      </c>
      <c r="I206" s="3">
        <f>Q412</f>
        <v>64.588499999999996</v>
      </c>
      <c r="J206" s="3">
        <f>R412</f>
        <v>64.588499999999996</v>
      </c>
      <c r="K206" s="3">
        <f>S412</f>
        <v>64.588499999999996</v>
      </c>
      <c r="L206" s="3">
        <f>T412</f>
        <v>64.588499999999996</v>
      </c>
      <c r="M206" s="3">
        <f>U412</f>
        <v>64.588499999999996</v>
      </c>
      <c r="N206" s="3">
        <f>V412</f>
        <v>64.727999999999994</v>
      </c>
      <c r="O206" s="3">
        <f>W412</f>
        <v>64.83959999999999</v>
      </c>
      <c r="P206" s="3">
        <f>X412</f>
        <v>64.951199999999986</v>
      </c>
      <c r="Q206" s="3">
        <f>Y412</f>
        <v>65.062799999999996</v>
      </c>
      <c r="R206" s="3">
        <f>Z412</f>
        <v>58.841099999999997</v>
      </c>
      <c r="S206" s="3">
        <f>AA412</f>
        <v>52.591500000000003</v>
      </c>
      <c r="T206" s="3">
        <f>AB412</f>
        <v>46.369799999999998</v>
      </c>
      <c r="U206" s="3">
        <f>AC412</f>
        <v>40.120199999999997</v>
      </c>
      <c r="V206" s="3">
        <f>AD412</f>
        <v>33.898499999999999</v>
      </c>
      <c r="W206" s="3">
        <f>AE412</f>
        <v>33.898499999999999</v>
      </c>
      <c r="X206" s="3">
        <f>AF412</f>
        <v>44.946899999999999</v>
      </c>
      <c r="Y206" s="3">
        <f>AG412</f>
        <v>44.946899999999999</v>
      </c>
      <c r="Z206" s="3">
        <f>AH412</f>
        <v>76.9482</v>
      </c>
      <c r="AA206" s="3">
        <f>AI412</f>
        <v>62.35649999999999</v>
      </c>
      <c r="AB206" s="3">
        <f>AJ412</f>
        <v>82.890900000000002</v>
      </c>
      <c r="AC206" s="3">
        <f>AK412</f>
        <v>28.5138</v>
      </c>
      <c r="AD206" s="3">
        <f>AL412</f>
        <v>10.964700000000001</v>
      </c>
      <c r="AE206" s="3">
        <f>AM412</f>
        <v>2.6505000000000001</v>
      </c>
      <c r="AF206" s="3">
        <f>AN412</f>
        <v>23.0185355017713</v>
      </c>
      <c r="AG206" s="3">
        <f>AO412</f>
        <v>29.623564287226898</v>
      </c>
      <c r="AH206" s="3">
        <f>AP412</f>
        <v>27.575927656186199</v>
      </c>
      <c r="AI206" s="3">
        <f>AQ412</f>
        <v>27.681744122717198</v>
      </c>
      <c r="AJ206" s="3">
        <f>AR412</f>
        <v>28.910584054346</v>
      </c>
      <c r="AK206" s="3">
        <f>AS412</f>
        <v>30.329403940903202</v>
      </c>
      <c r="AL206" s="3">
        <f>AT412</f>
        <v>31.952010219303698</v>
      </c>
      <c r="AM206" s="3">
        <f>AU412</f>
        <v>33.785907282321901</v>
      </c>
      <c r="AN206" s="3">
        <f>AV412</f>
        <v>35.7793189433362</v>
      </c>
      <c r="AO206" s="3">
        <f>AW412</f>
        <v>37.905727038231298</v>
      </c>
      <c r="AP206" s="3">
        <f>AX412</f>
        <v>40.124380712441798</v>
      </c>
      <c r="AQ206" s="3">
        <f>AY412</f>
        <v>42.379829217675301</v>
      </c>
      <c r="AR206" s="3">
        <f>AZ412</f>
        <v>44.608711331395902</v>
      </c>
      <c r="AS206" s="3">
        <f>BA412</f>
        <v>46.744470563739299</v>
      </c>
      <c r="AT206" s="3">
        <f>BB412</f>
        <v>48.724164811603202</v>
      </c>
      <c r="AU206" s="3">
        <f>BC412</f>
        <v>50.495161777350901</v>
      </c>
      <c r="AV206" s="3">
        <f>BD412</f>
        <v>52.020442613332797</v>
      </c>
      <c r="AW206" s="3">
        <f>BE412</f>
        <v>53.2816230498685</v>
      </c>
      <c r="AX206" s="3">
        <f>BF412</f>
        <v>54.279379348788197</v>
      </c>
      <c r="AY206" s="3">
        <f>BG412</f>
        <v>55.031570502084499</v>
      </c>
      <c r="AZ206" s="3">
        <f>BH412</f>
        <v>55.566695353516103</v>
      </c>
      <c r="BA206" s="3">
        <f>BI412</f>
        <v>55.921797600513003</v>
      </c>
      <c r="BB206" s="3">
        <f>BJ412</f>
        <v>56.132882327638399</v>
      </c>
      <c r="BC206" s="3">
        <f>BK412</f>
        <v>56.2414451889491</v>
      </c>
      <c r="BD206" s="3">
        <f>BL412</f>
        <v>56.286666940321801</v>
      </c>
      <c r="BE206" s="3">
        <f>BM412</f>
        <v>56.302129342579001</v>
      </c>
      <c r="BF206" s="3">
        <f>BN412</f>
        <v>56.307145933645799</v>
      </c>
      <c r="BG206" s="3">
        <f>BO412</f>
        <v>56.332565734702698</v>
      </c>
      <c r="BH206" s="3">
        <f>BP412</f>
        <v>56.402895881015503</v>
      </c>
      <c r="BI206" s="3">
        <f>BQ412</f>
        <v>56.535927376403798</v>
      </c>
      <c r="BJ206" s="3">
        <f>BR412</f>
        <v>56.743738295378897</v>
      </c>
      <c r="BK206" s="3">
        <f>BS412</f>
        <v>57.033553658363097</v>
      </c>
      <c r="BL206" s="3">
        <f>BT412</f>
        <v>57.4084459352351</v>
      </c>
      <c r="BM206" s="3">
        <f>BU412</f>
        <v>57.868036084092601</v>
      </c>
      <c r="BN206" s="3">
        <f>BV412</f>
        <v>58.408674174701702</v>
      </c>
      <c r="BO206" s="3">
        <f>BW412</f>
        <v>59.024251186769497</v>
      </c>
      <c r="BP206" s="3">
        <f>BX412</f>
        <v>59.707265860737003</v>
      </c>
      <c r="BQ206" s="3">
        <f>BY412</f>
        <v>60.453397494007902</v>
      </c>
      <c r="BR206" s="3">
        <f>BZ412</f>
        <v>61.257865779182801</v>
      </c>
      <c r="BS206" s="3">
        <f>CA412</f>
        <v>62.115240262337501</v>
      </c>
      <c r="BT206" s="3">
        <f>CB412</f>
        <v>63.019562267116207</v>
      </c>
      <c r="BU206" s="3">
        <f>CC412</f>
        <v>63.965953556125001</v>
      </c>
      <c r="BV206" s="3">
        <f>CD412</f>
        <v>64.949971859114498</v>
      </c>
      <c r="BW206" s="3">
        <f>CE412</f>
        <v>65.966280051627493</v>
      </c>
      <c r="BX206" s="3">
        <f>CF412</f>
        <v>67.010377576155307</v>
      </c>
      <c r="BY206" s="3">
        <f>CG412</f>
        <v>68.078010961242995</v>
      </c>
      <c r="BZ206" s="3">
        <f>CH412</f>
        <v>69.165504927781498</v>
      </c>
      <c r="CA206" s="3">
        <f>CI412</f>
        <v>70.269980260735707</v>
      </c>
      <c r="CB206" s="3">
        <f>CJ412</f>
        <v>71.388751534424003</v>
      </c>
      <c r="CC206" s="3">
        <f>CK412</f>
        <v>72.519933807485799</v>
      </c>
      <c r="CD206" s="3">
        <f>CL412</f>
        <v>73.663415518770208</v>
      </c>
    </row>
    <row r="207" spans="2:82" s="3" customFormat="1" x14ac:dyDescent="0.2">
      <c r="D207" s="3" t="s">
        <v>143</v>
      </c>
      <c r="F207" s="3" t="s">
        <v>8</v>
      </c>
      <c r="G207" s="3">
        <f>O413</f>
        <v>16.38</v>
      </c>
      <c r="H207" s="3">
        <f>P413</f>
        <v>16.38</v>
      </c>
      <c r="I207" s="3">
        <f>Q413</f>
        <v>16.38</v>
      </c>
      <c r="J207" s="3">
        <f>R413</f>
        <v>16.38</v>
      </c>
      <c r="K207" s="3">
        <f>S413</f>
        <v>16.38</v>
      </c>
      <c r="L207" s="3">
        <f>T413</f>
        <v>16.38</v>
      </c>
      <c r="M207" s="3">
        <f>U413</f>
        <v>16.38</v>
      </c>
      <c r="N207" s="3">
        <f>V413</f>
        <v>16.38</v>
      </c>
      <c r="O207" s="3">
        <f>W413</f>
        <v>16.38</v>
      </c>
      <c r="P207" s="3">
        <f>X413</f>
        <v>16.38</v>
      </c>
      <c r="Q207" s="3">
        <f>Y413</f>
        <v>16.38</v>
      </c>
      <c r="R207" s="3">
        <f>Z413</f>
        <v>15.015000000000001</v>
      </c>
      <c r="S207" s="3">
        <f>AA413</f>
        <v>13.377000000000001</v>
      </c>
      <c r="T207" s="3">
        <f>AB413</f>
        <v>11.739000000000001</v>
      </c>
      <c r="U207" s="3">
        <f>AC413</f>
        <v>10.101000000000001</v>
      </c>
      <c r="V207" s="3">
        <f>AD413</f>
        <v>8.4629999999999992</v>
      </c>
      <c r="W207" s="3">
        <f>AE413</f>
        <v>8.4629999999999992</v>
      </c>
      <c r="X207" s="3">
        <f>AF413</f>
        <v>11.465999999999999</v>
      </c>
      <c r="Y207" s="3">
        <f>AG413</f>
        <v>11.465999999999999</v>
      </c>
      <c r="Z207" s="3">
        <f>AH413</f>
        <v>19.382999999999999</v>
      </c>
      <c r="AA207" s="3">
        <f>AI413</f>
        <v>15.834</v>
      </c>
      <c r="AB207" s="3">
        <f>AJ413</f>
        <v>21.021000000000001</v>
      </c>
      <c r="AC207" s="3">
        <f>AK413</f>
        <v>7.3710000000000004</v>
      </c>
      <c r="AD207" s="3">
        <f>AL413</f>
        <v>2.73</v>
      </c>
      <c r="AE207" s="3">
        <f>AM413</f>
        <v>0.54600000000000004</v>
      </c>
      <c r="AF207" s="3">
        <f>AN413</f>
        <v>5.5721738316367997</v>
      </c>
      <c r="AG207" s="3">
        <f>AO413</f>
        <v>7.1710752279786014</v>
      </c>
      <c r="AH207" s="3">
        <f>AP413</f>
        <v>6.6753969841864</v>
      </c>
      <c r="AI207" s="3">
        <f>AQ413</f>
        <v>6.7010123299461002</v>
      </c>
      <c r="AJ207" s="3">
        <f>AR413</f>
        <v>6.9984817197674998</v>
      </c>
      <c r="AK207" s="3">
        <f>AS413</f>
        <v>7.3419401923132996</v>
      </c>
      <c r="AL207" s="3">
        <f>AT413</f>
        <v>7.7347299179175</v>
      </c>
      <c r="AM207" s="3">
        <f>AU413</f>
        <v>8.1786675100236987</v>
      </c>
      <c r="AN207" s="3">
        <f>AV413</f>
        <v>8.6612193340669013</v>
      </c>
      <c r="AO207" s="3">
        <f>AW413</f>
        <v>9.1759660494192001</v>
      </c>
      <c r="AP207" s="3">
        <f>AX413</f>
        <v>9.7130429605002</v>
      </c>
      <c r="AQ207" s="3">
        <f>AY413</f>
        <v>10.259026919319</v>
      </c>
      <c r="AR207" s="3">
        <f>AZ413</f>
        <v>10.798579862942301</v>
      </c>
      <c r="AS207" s="3">
        <f>BA413</f>
        <v>11.315590239394099</v>
      </c>
      <c r="AT207" s="3">
        <f>BB413</f>
        <v>11.794821443383601</v>
      </c>
      <c r="AU207" s="3">
        <f>BC413</f>
        <v>12.223532598691</v>
      </c>
      <c r="AV207" s="3">
        <f>BD413</f>
        <v>12.5927624291248</v>
      </c>
      <c r="AW207" s="3">
        <f>BE413</f>
        <v>12.898060593071699</v>
      </c>
      <c r="AX207" s="3">
        <f>BF413</f>
        <v>13.1395907954933</v>
      </c>
      <c r="AY207" s="3">
        <f>BG413</f>
        <v>13.3216762222774</v>
      </c>
      <c r="AZ207" s="3">
        <f>BH413</f>
        <v>13.451215683794301</v>
      </c>
      <c r="BA207" s="3">
        <f>BI413</f>
        <v>13.5371764717045</v>
      </c>
      <c r="BB207" s="3">
        <f>BJ413</f>
        <v>13.5882744571804</v>
      </c>
      <c r="BC207" s="3">
        <f>BK413</f>
        <v>13.614554631904699</v>
      </c>
      <c r="BD207" s="3">
        <f>BL413</f>
        <v>13.625501612419599</v>
      </c>
      <c r="BE207" s="3">
        <f>BM413</f>
        <v>13.6292446478193</v>
      </c>
      <c r="BF207" s="3">
        <f>BN413</f>
        <v>13.630459030787501</v>
      </c>
      <c r="BG207" s="3">
        <f>BO413</f>
        <v>13.636612486998599</v>
      </c>
      <c r="BH207" s="3">
        <f>BP413</f>
        <v>13.6536375406051</v>
      </c>
      <c r="BI207" s="3">
        <f>BQ413</f>
        <v>13.685840919370399</v>
      </c>
      <c r="BJ207" s="3">
        <f>BR413</f>
        <v>13.736146403164099</v>
      </c>
      <c r="BK207" s="3">
        <f>BS413</f>
        <v>13.8063029768308</v>
      </c>
      <c r="BL207" s="3">
        <f>BT413</f>
        <v>13.8970544034238</v>
      </c>
      <c r="BM207" s="3">
        <f>BU413</f>
        <v>14.0083089270031</v>
      </c>
      <c r="BN207" s="3">
        <f>BV413</f>
        <v>14.1391829967564</v>
      </c>
      <c r="BO207" s="3">
        <f>BW413</f>
        <v>14.2881977817212</v>
      </c>
      <c r="BP207" s="3">
        <f>BX413</f>
        <v>14.4535374269221</v>
      </c>
      <c r="BQ207" s="3">
        <f>BY413</f>
        <v>14.6341560054389</v>
      </c>
      <c r="BR207" s="3">
        <f>BZ413</f>
        <v>14.8288963322806</v>
      </c>
      <c r="BS207" s="3">
        <f>CA413</f>
        <v>15.036443839313799</v>
      </c>
      <c r="BT207" s="3">
        <f>CB413</f>
        <v>15.255356089835299</v>
      </c>
      <c r="BU207" s="3">
        <f>CC413</f>
        <v>15.484452192612901</v>
      </c>
      <c r="BV207" s="3">
        <f>CD413</f>
        <v>15.722656792438499</v>
      </c>
      <c r="BW207" s="3">
        <f>CE413</f>
        <v>15.968677913754499</v>
      </c>
      <c r="BX207" s="3">
        <f>CF413</f>
        <v>16.221426091561199</v>
      </c>
      <c r="BY207" s="3">
        <f>CG413</f>
        <v>16.479871673805601</v>
      </c>
      <c r="BZ207" s="3">
        <f>CH413</f>
        <v>16.7431249733885</v>
      </c>
      <c r="CA207" s="3">
        <f>CI413</f>
        <v>17.010489009102301</v>
      </c>
      <c r="CB207" s="3">
        <f>CJ413</f>
        <v>17.281313710975901</v>
      </c>
      <c r="CC207" s="3">
        <f>CK413</f>
        <v>17.555142784953301</v>
      </c>
      <c r="CD207" s="3">
        <f>CL413</f>
        <v>17.831949225053901</v>
      </c>
    </row>
    <row r="208" spans="2:82" s="3" customFormat="1" x14ac:dyDescent="0.2">
      <c r="C208" s="3" t="s">
        <v>144</v>
      </c>
      <c r="F208" s="3" t="s">
        <v>7</v>
      </c>
      <c r="G208" s="3">
        <f t="shared" ref="G208:G214" si="145">O414</f>
        <v>0.45500000000000002</v>
      </c>
      <c r="H208" s="3">
        <f t="shared" ref="H208:BS209" si="146">P414</f>
        <v>0.45500000000000002</v>
      </c>
      <c r="I208" s="3">
        <f t="shared" si="146"/>
        <v>0.45500000000000002</v>
      </c>
      <c r="J208" s="3">
        <f t="shared" si="146"/>
        <v>0.45500000000000002</v>
      </c>
      <c r="K208" s="3">
        <f t="shared" si="146"/>
        <v>0.45500000000000002</v>
      </c>
      <c r="L208" s="3">
        <f t="shared" si="146"/>
        <v>0.45500000000000002</v>
      </c>
      <c r="M208" s="3">
        <f t="shared" si="146"/>
        <v>0.45500000000000002</v>
      </c>
      <c r="N208" s="3">
        <f t="shared" si="146"/>
        <v>2.5369999999999999</v>
      </c>
      <c r="O208" s="3">
        <f t="shared" si="146"/>
        <v>2.2730000000000001</v>
      </c>
      <c r="P208" s="3">
        <f t="shared" si="146"/>
        <v>2.3610000000000002</v>
      </c>
      <c r="Q208" s="3">
        <f t="shared" si="146"/>
        <v>2.5369999999999999</v>
      </c>
      <c r="R208" s="3">
        <f t="shared" si="146"/>
        <v>2.75</v>
      </c>
      <c r="S208" s="3">
        <f t="shared" si="146"/>
        <v>2.5369999999999999</v>
      </c>
      <c r="T208" s="3">
        <f t="shared" si="146"/>
        <v>2.5369999999999999</v>
      </c>
      <c r="U208" s="3">
        <f t="shared" si="146"/>
        <v>2.5369999999999999</v>
      </c>
      <c r="V208" s="3">
        <f t="shared" si="146"/>
        <v>2.5369999999999999</v>
      </c>
      <c r="W208" s="3">
        <f t="shared" si="146"/>
        <v>2.5369999999999999</v>
      </c>
      <c r="X208" s="3">
        <f t="shared" si="146"/>
        <v>2.5369999999999999</v>
      </c>
      <c r="Y208" s="3">
        <f t="shared" si="146"/>
        <v>2.5369999999999999</v>
      </c>
      <c r="Z208" s="3">
        <f t="shared" si="146"/>
        <v>2.5369999999999999</v>
      </c>
      <c r="AA208" s="3">
        <f t="shared" si="146"/>
        <v>2.5369999999999999</v>
      </c>
      <c r="AB208" s="3">
        <f t="shared" si="146"/>
        <v>2.5369999999999999</v>
      </c>
      <c r="AC208" s="3">
        <f t="shared" si="146"/>
        <v>4.1070000000000002</v>
      </c>
      <c r="AD208" s="3">
        <f t="shared" si="146"/>
        <v>4.5830000000000002</v>
      </c>
      <c r="AE208" s="3">
        <f t="shared" si="146"/>
        <v>4.5830000000000002</v>
      </c>
      <c r="AF208" s="3">
        <f t="shared" si="146"/>
        <v>3.39966526708569E-2</v>
      </c>
      <c r="AG208" s="3">
        <f t="shared" si="146"/>
        <v>3.4061942108100297E-2</v>
      </c>
      <c r="AH208" s="3">
        <f t="shared" si="146"/>
        <v>3.4138615185139297E-2</v>
      </c>
      <c r="AI208" s="3">
        <f t="shared" si="146"/>
        <v>3.4222653926171298E-2</v>
      </c>
      <c r="AJ208" s="3">
        <f t="shared" si="146"/>
        <v>3.5702622124673802E-2</v>
      </c>
      <c r="AK208" s="3">
        <f t="shared" si="146"/>
        <v>3.7420645415443501E-2</v>
      </c>
      <c r="AL208" s="3">
        <f t="shared" si="146"/>
        <v>3.9392112485305102E-2</v>
      </c>
      <c r="AM208" s="3">
        <f t="shared" si="146"/>
        <v>4.16250029031595E-2</v>
      </c>
      <c r="AN208" s="3">
        <f t="shared" si="146"/>
        <v>4.4116760948912703E-2</v>
      </c>
      <c r="AO208" s="3">
        <f t="shared" si="146"/>
        <v>4.6843366170117702E-2</v>
      </c>
      <c r="AP208" s="3">
        <f t="shared" si="146"/>
        <v>4.9762981718274903E-2</v>
      </c>
      <c r="AQ208" s="3">
        <f t="shared" si="146"/>
        <v>5.2813414705775399E-2</v>
      </c>
      <c r="AR208" s="3">
        <f t="shared" si="146"/>
        <v>5.5922146579237102E-2</v>
      </c>
      <c r="AS208" s="3">
        <f t="shared" si="146"/>
        <v>5.90105896825791E-2</v>
      </c>
      <c r="AT208" s="3">
        <f t="shared" si="146"/>
        <v>6.20019839398568E-2</v>
      </c>
      <c r="AU208" s="3">
        <f t="shared" si="146"/>
        <v>6.4829467237039209E-2</v>
      </c>
      <c r="AV208" s="3">
        <f t="shared" si="146"/>
        <v>6.7442779192805391E-2</v>
      </c>
      <c r="AW208" s="3">
        <f t="shared" si="146"/>
        <v>6.9812460540208607E-2</v>
      </c>
      <c r="AX208" s="3">
        <f t="shared" si="146"/>
        <v>7.1931045639886101E-2</v>
      </c>
      <c r="AY208" s="3">
        <f t="shared" si="146"/>
        <v>7.3811470090964504E-2</v>
      </c>
      <c r="AZ208" s="3">
        <f t="shared" si="146"/>
        <v>7.5477113005695401E-2</v>
      </c>
      <c r="BA208" s="3">
        <f t="shared" si="146"/>
        <v>7.6961725792985297E-2</v>
      </c>
      <c r="BB208" s="3">
        <f t="shared" si="146"/>
        <v>7.8295626107234007E-2</v>
      </c>
      <c r="BC208" s="3">
        <f t="shared" si="146"/>
        <v>7.9518668934051309E-2</v>
      </c>
      <c r="BD208" s="3">
        <f t="shared" si="146"/>
        <v>8.0669431777025097E-2</v>
      </c>
      <c r="BE208" s="3">
        <f t="shared" si="146"/>
        <v>8.1783259492268806E-2</v>
      </c>
      <c r="BF208" s="3">
        <f t="shared" si="146"/>
        <v>8.28782055071835E-2</v>
      </c>
      <c r="BG208" s="3">
        <f t="shared" si="146"/>
        <v>8.3983955392510898E-2</v>
      </c>
      <c r="BH208" s="3">
        <f t="shared" si="146"/>
        <v>8.5122878181314601E-2</v>
      </c>
      <c r="BI208" s="3">
        <f t="shared" si="146"/>
        <v>8.6310084286765995E-2</v>
      </c>
      <c r="BJ208" s="3">
        <f t="shared" si="146"/>
        <v>8.755551097834989E-2</v>
      </c>
      <c r="BK208" s="3">
        <f t="shared" si="146"/>
        <v>8.8864415925864207E-2</v>
      </c>
      <c r="BL208" s="3">
        <f t="shared" si="146"/>
        <v>9.02384466926755E-2</v>
      </c>
      <c r="BM208" s="3">
        <f t="shared" si="146"/>
        <v>9.1676183124797E-2</v>
      </c>
      <c r="BN208" s="3">
        <f t="shared" si="146"/>
        <v>9.3172840504224794E-2</v>
      </c>
      <c r="BO208" s="3">
        <f t="shared" si="146"/>
        <v>9.4721138902032903E-2</v>
      </c>
      <c r="BP208" s="3">
        <f t="shared" si="146"/>
        <v>9.6312656639437305E-2</v>
      </c>
      <c r="BQ208" s="3">
        <f t="shared" si="146"/>
        <v>9.79467552723403E-2</v>
      </c>
      <c r="BR208" s="3">
        <f t="shared" si="146"/>
        <v>9.9621872716889007E-2</v>
      </c>
      <c r="BS208" s="3">
        <f t="shared" si="146"/>
        <v>0.10133515218020001</v>
      </c>
      <c r="BT208" s="3">
        <f t="shared" ref="BT208:CD208" si="147">CB414</f>
        <v>0.10308259977049999</v>
      </c>
      <c r="BU208" s="3">
        <f t="shared" si="147"/>
        <v>0.104861760846</v>
      </c>
      <c r="BV208" s="3">
        <f t="shared" si="147"/>
        <v>0.10667043297129999</v>
      </c>
      <c r="BW208" s="3">
        <f t="shared" si="147"/>
        <v>0.1085043078224</v>
      </c>
      <c r="BX208" s="3">
        <f t="shared" si="147"/>
        <v>0.1103604393042</v>
      </c>
      <c r="BY208" s="3">
        <f t="shared" si="147"/>
        <v>0.1122357212941</v>
      </c>
      <c r="BZ208" s="3">
        <f t="shared" si="147"/>
        <v>0.11412750488450001</v>
      </c>
      <c r="CA208" s="3">
        <f t="shared" si="147"/>
        <v>0.1160339461904</v>
      </c>
      <c r="CB208" s="3">
        <f t="shared" si="147"/>
        <v>0.1179536146409</v>
      </c>
      <c r="CC208" s="3">
        <f t="shared" si="147"/>
        <v>0.119887207442</v>
      </c>
      <c r="CD208" s="3">
        <f t="shared" si="147"/>
        <v>0.12183662397</v>
      </c>
    </row>
    <row r="209" spans="1:82" s="3" customFormat="1" x14ac:dyDescent="0.2">
      <c r="C209" s="3" t="s">
        <v>145</v>
      </c>
      <c r="F209" s="3" t="s">
        <v>7</v>
      </c>
      <c r="G209" s="3">
        <f t="shared" si="145"/>
        <v>0</v>
      </c>
      <c r="H209" s="3">
        <f t="shared" si="146"/>
        <v>0</v>
      </c>
      <c r="I209" s="3">
        <f t="shared" si="146"/>
        <v>0</v>
      </c>
      <c r="J209" s="3">
        <f t="shared" si="146"/>
        <v>0</v>
      </c>
      <c r="K209" s="3">
        <f t="shared" si="146"/>
        <v>0</v>
      </c>
      <c r="L209" s="3">
        <f t="shared" si="146"/>
        <v>0</v>
      </c>
      <c r="M209" s="3">
        <f t="shared" si="146"/>
        <v>0</v>
      </c>
      <c r="N209" s="3">
        <f t="shared" si="146"/>
        <v>0</v>
      </c>
      <c r="O209" s="3">
        <f t="shared" si="146"/>
        <v>0</v>
      </c>
      <c r="P209" s="3">
        <f t="shared" si="146"/>
        <v>0</v>
      </c>
      <c r="Q209" s="3">
        <f t="shared" si="146"/>
        <v>0</v>
      </c>
      <c r="R209" s="3">
        <f t="shared" si="146"/>
        <v>0</v>
      </c>
      <c r="S209" s="3">
        <f t="shared" si="146"/>
        <v>0</v>
      </c>
      <c r="T209" s="3">
        <f t="shared" si="146"/>
        <v>0</v>
      </c>
      <c r="U209" s="3">
        <f t="shared" si="146"/>
        <v>0</v>
      </c>
      <c r="V209" s="3">
        <f t="shared" si="146"/>
        <v>0</v>
      </c>
      <c r="W209" s="3">
        <f t="shared" si="146"/>
        <v>7.0229999999999997</v>
      </c>
      <c r="X209" s="3">
        <f t="shared" si="146"/>
        <v>6.6980000000000004</v>
      </c>
      <c r="Y209" s="3">
        <f t="shared" si="146"/>
        <v>8.6180000000000003</v>
      </c>
      <c r="Z209" s="3">
        <f t="shared" si="146"/>
        <v>4.173</v>
      </c>
      <c r="AA209" s="3">
        <f t="shared" si="146"/>
        <v>5.0599999999999996</v>
      </c>
      <c r="AB209" s="3">
        <f t="shared" si="146"/>
        <v>6.7750000000000004</v>
      </c>
      <c r="AC209" s="3">
        <f t="shared" si="146"/>
        <v>8.1319999999999997</v>
      </c>
      <c r="AD209" s="3">
        <f t="shared" si="146"/>
        <v>11.872999999999999</v>
      </c>
      <c r="AE209" s="3">
        <f t="shared" si="146"/>
        <v>11.23</v>
      </c>
      <c r="AF209" s="3">
        <f t="shared" si="146"/>
        <v>0.13311267671150001</v>
      </c>
      <c r="AG209" s="3">
        <f t="shared" si="146"/>
        <v>0.13324475918879999</v>
      </c>
      <c r="AH209" s="3">
        <f t="shared" si="146"/>
        <v>0.13367276968239999</v>
      </c>
      <c r="AI209" s="3">
        <f t="shared" si="146"/>
        <v>0.13407996496960001</v>
      </c>
      <c r="AJ209" s="3">
        <f t="shared" si="146"/>
        <v>0.14351605519890001</v>
      </c>
      <c r="AK209" s="3">
        <f t="shared" si="146"/>
        <v>0.1549091493793</v>
      </c>
      <c r="AL209" s="3">
        <f t="shared" si="146"/>
        <v>0.1670786350938</v>
      </c>
      <c r="AM209" s="3">
        <f t="shared" si="146"/>
        <v>0.18010262196390001</v>
      </c>
      <c r="AN209" s="3">
        <f t="shared" si="146"/>
        <v>0.19380040052069999</v>
      </c>
      <c r="AO209" s="3">
        <f t="shared" si="146"/>
        <v>0.20813421001579999</v>
      </c>
      <c r="AP209" s="3">
        <f t="shared" si="146"/>
        <v>0.22304759313360001</v>
      </c>
      <c r="AQ209" s="3">
        <f t="shared" si="146"/>
        <v>0.23851024055799999</v>
      </c>
      <c r="AR209" s="3">
        <f t="shared" si="146"/>
        <v>0.25393700740660002</v>
      </c>
      <c r="AS209" s="3">
        <f t="shared" si="146"/>
        <v>0.26891081188150001</v>
      </c>
      <c r="AT209" s="3">
        <f t="shared" si="146"/>
        <v>0.2830090826028</v>
      </c>
      <c r="AU209" s="3">
        <f t="shared" si="146"/>
        <v>0.29585620723549999</v>
      </c>
      <c r="AV209" s="3">
        <f t="shared" si="146"/>
        <v>0.30717017568979998</v>
      </c>
      <c r="AW209" s="3">
        <f t="shared" si="146"/>
        <v>0.31679431788919998</v>
      </c>
      <c r="AX209" s="3">
        <f t="shared" si="146"/>
        <v>0.32471061021620001</v>
      </c>
      <c r="AY209" s="3">
        <f t="shared" si="146"/>
        <v>0.33103471353980002</v>
      </c>
      <c r="AZ209" s="3">
        <f t="shared" si="146"/>
        <v>0.33611608934920001</v>
      </c>
      <c r="BA209" s="3">
        <f t="shared" si="146"/>
        <v>0.34028814070050001</v>
      </c>
      <c r="BB209" s="3">
        <f t="shared" si="146"/>
        <v>0.34388319993749999</v>
      </c>
      <c r="BC209" s="3">
        <f t="shared" si="146"/>
        <v>0.3472596206668</v>
      </c>
      <c r="BD209" s="3">
        <f t="shared" si="146"/>
        <v>0.35180533535730002</v>
      </c>
      <c r="BE209" s="3">
        <f t="shared" si="146"/>
        <v>0.36024133406910003</v>
      </c>
      <c r="BF209" s="3">
        <f t="shared" si="146"/>
        <v>0.36676724353509998</v>
      </c>
      <c r="BG209" s="3">
        <f t="shared" si="146"/>
        <v>0.3722805627022</v>
      </c>
      <c r="BH209" s="3">
        <f t="shared" si="146"/>
        <v>0.37739778268180002</v>
      </c>
      <c r="BI209" s="3">
        <f t="shared" si="146"/>
        <v>0.38264471186010002</v>
      </c>
      <c r="BJ209" s="3">
        <f t="shared" si="146"/>
        <v>0.38838366418609999</v>
      </c>
      <c r="BK209" s="3">
        <f t="shared" si="146"/>
        <v>0.39488861708630002</v>
      </c>
      <c r="BL209" s="3">
        <f t="shared" si="146"/>
        <v>0.40231544141350001</v>
      </c>
      <c r="BM209" s="3">
        <f t="shared" si="146"/>
        <v>0.41072851376890002</v>
      </c>
      <c r="BN209" s="3">
        <f t="shared" si="146"/>
        <v>0.4201205633233</v>
      </c>
      <c r="BO209" s="3">
        <f t="shared" si="146"/>
        <v>0.43043006456330002</v>
      </c>
      <c r="BP209" s="3">
        <f t="shared" si="146"/>
        <v>0.44155941284400002</v>
      </c>
      <c r="BQ209" s="3">
        <f t="shared" si="146"/>
        <v>0.45331487620779998</v>
      </c>
      <c r="BR209" s="3">
        <f t="shared" si="146"/>
        <v>0.46557391675150001</v>
      </c>
      <c r="BS209" s="3">
        <f t="shared" ref="BS209:CD212" si="148">CA415</f>
        <v>0.47823203808960002</v>
      </c>
      <c r="BT209" s="3">
        <f t="shared" si="148"/>
        <v>0.49119393223460001</v>
      </c>
      <c r="BU209" s="3">
        <f t="shared" si="148"/>
        <v>0.50437849314880001</v>
      </c>
      <c r="BV209" s="3">
        <f t="shared" si="148"/>
        <v>0.51772601883989999</v>
      </c>
      <c r="BW209" s="3">
        <f t="shared" si="148"/>
        <v>0.53119540510459995</v>
      </c>
      <c r="BX209" s="3">
        <f t="shared" si="148"/>
        <v>0.54471276539960001</v>
      </c>
      <c r="BY209" s="3">
        <f t="shared" si="148"/>
        <v>0.55821687475500004</v>
      </c>
      <c r="BZ209" s="3">
        <f t="shared" si="148"/>
        <v>0.57165701061410001</v>
      </c>
      <c r="CA209" s="3">
        <f t="shared" si="148"/>
        <v>0.58499549419480001</v>
      </c>
      <c r="CB209" s="3">
        <f t="shared" si="148"/>
        <v>0.59813019165500003</v>
      </c>
      <c r="CC209" s="3">
        <f t="shared" si="148"/>
        <v>0.61081855985630007</v>
      </c>
      <c r="CD209" s="3">
        <f t="shared" si="148"/>
        <v>0.62292871227019997</v>
      </c>
    </row>
    <row r="210" spans="1:82" s="3" customFormat="1" x14ac:dyDescent="0.2">
      <c r="C210" s="3" t="s">
        <v>146</v>
      </c>
      <c r="F210" s="3" t="s">
        <v>8</v>
      </c>
      <c r="G210" s="3">
        <f t="shared" si="145"/>
        <v>230.685</v>
      </c>
      <c r="H210" s="3">
        <f t="shared" ref="H210:BS213" si="149">P416</f>
        <v>230.958</v>
      </c>
      <c r="I210" s="3">
        <f t="shared" si="149"/>
        <v>237.51</v>
      </c>
      <c r="J210" s="3">
        <f t="shared" si="149"/>
        <v>246.792</v>
      </c>
      <c r="K210" s="3">
        <f t="shared" si="149"/>
        <v>244.06200000000001</v>
      </c>
      <c r="L210" s="3">
        <f t="shared" si="149"/>
        <v>247.61099999999999</v>
      </c>
      <c r="M210" s="3">
        <f t="shared" si="149"/>
        <v>250.887</v>
      </c>
      <c r="N210" s="3">
        <f t="shared" si="149"/>
        <v>254.43600000000001</v>
      </c>
      <c r="O210" s="3">
        <f t="shared" si="149"/>
        <v>257.98500000000001</v>
      </c>
      <c r="P210" s="3">
        <f t="shared" si="149"/>
        <v>261.26100000000002</v>
      </c>
      <c r="Q210" s="3">
        <f t="shared" si="149"/>
        <v>365.274</v>
      </c>
      <c r="R210" s="3">
        <f t="shared" si="149"/>
        <v>268.35899999999998</v>
      </c>
      <c r="S210" s="3">
        <f t="shared" si="149"/>
        <v>271.63499999999999</v>
      </c>
      <c r="T210" s="3">
        <f t="shared" si="149"/>
        <v>283.101</v>
      </c>
      <c r="U210" s="3">
        <f t="shared" si="149"/>
        <v>511.60199999999998</v>
      </c>
      <c r="V210" s="3">
        <f t="shared" si="149"/>
        <v>294.83999999999997</v>
      </c>
      <c r="W210" s="3">
        <f t="shared" si="149"/>
        <v>299.75400000000002</v>
      </c>
      <c r="X210" s="3">
        <f t="shared" si="149"/>
        <v>304.94099999999997</v>
      </c>
      <c r="Y210" s="3">
        <f t="shared" si="149"/>
        <v>309.85500000000002</v>
      </c>
      <c r="Z210" s="3">
        <f t="shared" si="149"/>
        <v>314.76900000000001</v>
      </c>
      <c r="AA210" s="3">
        <f t="shared" si="149"/>
        <v>1339.0650000000001</v>
      </c>
      <c r="AB210" s="3">
        <f t="shared" si="149"/>
        <v>327.87299999999999</v>
      </c>
      <c r="AC210" s="3">
        <f t="shared" si="149"/>
        <v>329.78399999999999</v>
      </c>
      <c r="AD210" s="3">
        <f t="shared" si="149"/>
        <v>330.33</v>
      </c>
      <c r="AE210" s="3">
        <f t="shared" si="149"/>
        <v>1479.66</v>
      </c>
      <c r="AF210" s="3">
        <f t="shared" si="149"/>
        <v>1566.7930394963121</v>
      </c>
      <c r="AG210" s="3">
        <f t="shared" si="149"/>
        <v>1709.199865780123</v>
      </c>
      <c r="AH210" s="3">
        <f t="shared" si="149"/>
        <v>1712.145703203083</v>
      </c>
      <c r="AI210" s="3">
        <f t="shared" si="149"/>
        <v>1739.1440286823911</v>
      </c>
      <c r="AJ210" s="3">
        <f t="shared" si="149"/>
        <v>1809.3193128123901</v>
      </c>
      <c r="AK210" s="3">
        <f t="shared" si="149"/>
        <v>1880.6295871336731</v>
      </c>
      <c r="AL210" s="3">
        <f t="shared" si="149"/>
        <v>1955.395923838978</v>
      </c>
      <c r="AM210" s="3">
        <f t="shared" si="149"/>
        <v>2034.7081082105469</v>
      </c>
      <c r="AN210" s="3">
        <f t="shared" si="149"/>
        <v>2118.7975847441721</v>
      </c>
      <c r="AO210" s="3">
        <f t="shared" si="149"/>
        <v>2205.82618473504</v>
      </c>
      <c r="AP210" s="3">
        <f t="shared" si="149"/>
        <v>2293.9958997133572</v>
      </c>
      <c r="AQ210" s="3">
        <f t="shared" si="149"/>
        <v>2380.514859623016</v>
      </c>
      <c r="AR210" s="3">
        <f t="shared" si="149"/>
        <v>2462.8949466333452</v>
      </c>
      <c r="AS210" s="3">
        <f t="shared" si="149"/>
        <v>2538.2227602331741</v>
      </c>
      <c r="AT210" s="3">
        <f t="shared" si="149"/>
        <v>2603.8189598679178</v>
      </c>
      <c r="AU210" s="3">
        <f t="shared" si="149"/>
        <v>2696.4469479886739</v>
      </c>
      <c r="AV210" s="3">
        <f t="shared" si="149"/>
        <v>2787.6671532302812</v>
      </c>
      <c r="AW210" s="3">
        <f t="shared" si="149"/>
        <v>2866.9286579582931</v>
      </c>
      <c r="AX210" s="3">
        <f t="shared" si="149"/>
        <v>2949.0173994707461</v>
      </c>
      <c r="AY210" s="3">
        <f t="shared" si="149"/>
        <v>2990.7102724875008</v>
      </c>
      <c r="AZ210" s="3">
        <f t="shared" si="149"/>
        <v>3048.0711692233322</v>
      </c>
      <c r="BA210" s="3">
        <f t="shared" si="149"/>
        <v>3098.4919609659719</v>
      </c>
      <c r="BB210" s="3">
        <f t="shared" si="149"/>
        <v>3143.5383588664999</v>
      </c>
      <c r="BC210" s="3">
        <f t="shared" si="149"/>
        <v>3184.6785439900341</v>
      </c>
      <c r="BD210" s="3">
        <f t="shared" si="149"/>
        <v>3222.0723381966409</v>
      </c>
      <c r="BE210" s="3">
        <f t="shared" si="149"/>
        <v>3253.597708326552</v>
      </c>
      <c r="BF210" s="3">
        <f t="shared" si="149"/>
        <v>3289.8794659129921</v>
      </c>
      <c r="BG210" s="3">
        <f t="shared" si="149"/>
        <v>3335.6655105239379</v>
      </c>
      <c r="BH210" s="3">
        <f t="shared" si="149"/>
        <v>3392.8592823339532</v>
      </c>
      <c r="BI210" s="3">
        <f t="shared" si="149"/>
        <v>3455.958573632422</v>
      </c>
      <c r="BJ210" s="3">
        <f t="shared" si="149"/>
        <v>3525.3992180982659</v>
      </c>
      <c r="BK210" s="3">
        <f t="shared" si="149"/>
        <v>3601.247301520631</v>
      </c>
      <c r="BL210" s="3">
        <f t="shared" si="149"/>
        <v>3683.3391334729272</v>
      </c>
      <c r="BM210" s="3">
        <f t="shared" si="149"/>
        <v>3771.2502304331988</v>
      </c>
      <c r="BN210" s="3">
        <f t="shared" si="149"/>
        <v>3864.2695525670329</v>
      </c>
      <c r="BO210" s="3">
        <f t="shared" si="149"/>
        <v>3961.4638389430429</v>
      </c>
      <c r="BP210" s="3">
        <f t="shared" si="149"/>
        <v>4061.8969011851491</v>
      </c>
      <c r="BQ210" s="3">
        <f t="shared" si="149"/>
        <v>4165.0868023418607</v>
      </c>
      <c r="BR210" s="3">
        <f t="shared" si="149"/>
        <v>4270.3772143517281</v>
      </c>
      <c r="BS210" s="3">
        <f t="shared" si="149"/>
        <v>4377.1534772380201</v>
      </c>
      <c r="BT210" s="3">
        <f t="shared" si="148"/>
        <v>4484.7960744727216</v>
      </c>
      <c r="BU210" s="3">
        <f t="shared" si="148"/>
        <v>4592.9577347528693</v>
      </c>
      <c r="BV210" s="3">
        <f t="shared" si="148"/>
        <v>4701.451435176049</v>
      </c>
      <c r="BW210" s="3">
        <f t="shared" si="148"/>
        <v>4809.6468400680042</v>
      </c>
      <c r="BX210" s="3">
        <f t="shared" si="148"/>
        <v>4917.1826154209948</v>
      </c>
      <c r="BY210" s="3">
        <f t="shared" si="148"/>
        <v>5023.8445419841473</v>
      </c>
      <c r="BZ210" s="3">
        <f t="shared" si="148"/>
        <v>5130.9037441266182</v>
      </c>
      <c r="CA210" s="3">
        <f t="shared" si="148"/>
        <v>5239.5301914450383</v>
      </c>
      <c r="CB210" s="3">
        <f t="shared" si="148"/>
        <v>5351.7556072164316</v>
      </c>
      <c r="CC210" s="3">
        <f t="shared" si="148"/>
        <v>5468.4193565964624</v>
      </c>
      <c r="CD210" s="3">
        <f t="shared" si="148"/>
        <v>5587.0770536498994</v>
      </c>
    </row>
    <row r="211" spans="1:82" s="3" customFormat="1" x14ac:dyDescent="0.2">
      <c r="C211" s="3" t="s">
        <v>147</v>
      </c>
      <c r="F211" s="3" t="s">
        <v>8</v>
      </c>
      <c r="G211" s="3">
        <f t="shared" si="145"/>
        <v>255.80099999999999</v>
      </c>
      <c r="H211" s="3">
        <f t="shared" si="149"/>
        <v>186.18600000000001</v>
      </c>
      <c r="I211" s="3">
        <f t="shared" si="149"/>
        <v>197.10599999999999</v>
      </c>
      <c r="J211" s="3">
        <f t="shared" si="149"/>
        <v>202.566</v>
      </c>
      <c r="K211" s="3">
        <f t="shared" si="149"/>
        <v>208.29900000000001</v>
      </c>
      <c r="L211" s="3">
        <f t="shared" si="149"/>
        <v>213.21299999999999</v>
      </c>
      <c r="M211" s="3">
        <f t="shared" si="149"/>
        <v>219.21899999999999</v>
      </c>
      <c r="N211" s="3">
        <f t="shared" si="149"/>
        <v>224.679</v>
      </c>
      <c r="O211" s="3">
        <f t="shared" si="149"/>
        <v>230.13900000000001</v>
      </c>
      <c r="P211" s="3">
        <f t="shared" si="149"/>
        <v>235.59899999999999</v>
      </c>
      <c r="Q211" s="3">
        <f t="shared" si="149"/>
        <v>241.33199999999999</v>
      </c>
      <c r="R211" s="3">
        <f t="shared" si="149"/>
        <v>246.792</v>
      </c>
      <c r="S211" s="3">
        <f t="shared" si="149"/>
        <v>252.52500000000001</v>
      </c>
      <c r="T211" s="3">
        <f t="shared" si="149"/>
        <v>276.00299999999999</v>
      </c>
      <c r="U211" s="3">
        <f t="shared" si="149"/>
        <v>289.10700000000003</v>
      </c>
      <c r="V211" s="3">
        <f t="shared" si="149"/>
        <v>405.13200000000001</v>
      </c>
      <c r="W211" s="3">
        <f t="shared" si="149"/>
        <v>315.58800000000002</v>
      </c>
      <c r="X211" s="3">
        <f t="shared" si="149"/>
        <v>328.69200000000001</v>
      </c>
      <c r="Y211" s="3">
        <f t="shared" si="149"/>
        <v>341.79599999999999</v>
      </c>
      <c r="Z211" s="3">
        <f t="shared" si="149"/>
        <v>354.9</v>
      </c>
      <c r="AA211" s="3">
        <f t="shared" si="149"/>
        <v>368.00400000000002</v>
      </c>
      <c r="AB211" s="3">
        <f t="shared" si="149"/>
        <v>381.10799999999989</v>
      </c>
      <c r="AC211" s="3">
        <f t="shared" si="149"/>
        <v>394.21199999999999</v>
      </c>
      <c r="AD211" s="3">
        <f t="shared" si="149"/>
        <v>394.21199999999999</v>
      </c>
      <c r="AE211" s="3">
        <f t="shared" si="149"/>
        <v>401.58300000000003</v>
      </c>
      <c r="AF211" s="3">
        <f t="shared" si="149"/>
        <v>374.99164787285719</v>
      </c>
      <c r="AG211" s="3">
        <f t="shared" si="149"/>
        <v>371.06849617989229</v>
      </c>
      <c r="AH211" s="3">
        <f t="shared" si="149"/>
        <v>372.49196681974769</v>
      </c>
      <c r="AI211" s="3">
        <f t="shared" si="149"/>
        <v>374.17745520492872</v>
      </c>
      <c r="AJ211" s="3">
        <f t="shared" si="149"/>
        <v>384.77167544978619</v>
      </c>
      <c r="AK211" s="3">
        <f t="shared" si="149"/>
        <v>396.3878713916601</v>
      </c>
      <c r="AL211" s="3">
        <f t="shared" si="149"/>
        <v>410.92815706102363</v>
      </c>
      <c r="AM211" s="3">
        <f t="shared" si="149"/>
        <v>428.56427485374172</v>
      </c>
      <c r="AN211" s="3">
        <f t="shared" si="149"/>
        <v>449.38857026915508</v>
      </c>
      <c r="AO211" s="3">
        <f t="shared" si="149"/>
        <v>473.06307743275642</v>
      </c>
      <c r="AP211" s="3">
        <f t="shared" si="149"/>
        <v>498.90545979525382</v>
      </c>
      <c r="AQ211" s="3">
        <f t="shared" si="149"/>
        <v>525.6972467411498</v>
      </c>
      <c r="AR211" s="3">
        <f t="shared" si="149"/>
        <v>553.4571834333716</v>
      </c>
      <c r="AS211" s="3">
        <f t="shared" si="149"/>
        <v>581.56973688301423</v>
      </c>
      <c r="AT211" s="3">
        <f t="shared" si="149"/>
        <v>609.45625779140198</v>
      </c>
      <c r="AU211" s="3">
        <f t="shared" si="149"/>
        <v>636.62506626346112</v>
      </c>
      <c r="AV211" s="3">
        <f t="shared" si="149"/>
        <v>662.70740434131199</v>
      </c>
      <c r="AW211" s="3">
        <f t="shared" si="149"/>
        <v>687.47715117651762</v>
      </c>
      <c r="AX211" s="3">
        <f t="shared" si="149"/>
        <v>710.85001236398739</v>
      </c>
      <c r="AY211" s="3">
        <f t="shared" si="149"/>
        <v>732.86596757924997</v>
      </c>
      <c r="AZ211" s="3">
        <f t="shared" si="149"/>
        <v>753.2454409425759</v>
      </c>
      <c r="BA211" s="3">
        <f t="shared" si="149"/>
        <v>772.02310935118533</v>
      </c>
      <c r="BB211" s="3">
        <f t="shared" si="149"/>
        <v>789.09443535924663</v>
      </c>
      <c r="BC211" s="3">
        <f t="shared" si="149"/>
        <v>804.63781609378088</v>
      </c>
      <c r="BD211" s="3">
        <f t="shared" si="149"/>
        <v>817.32163461182733</v>
      </c>
      <c r="BE211" s="3">
        <f t="shared" si="149"/>
        <v>823.95068510396084</v>
      </c>
      <c r="BF211" s="3">
        <f t="shared" si="149"/>
        <v>833.9566368505233</v>
      </c>
      <c r="BG211" s="3">
        <f t="shared" si="149"/>
        <v>845.49787294253292</v>
      </c>
      <c r="BH211" s="3">
        <f t="shared" si="149"/>
        <v>858.06198094451497</v>
      </c>
      <c r="BI211" s="3">
        <f t="shared" si="149"/>
        <v>871.14770131823525</v>
      </c>
      <c r="BJ211" s="3">
        <f t="shared" si="149"/>
        <v>884.40397987167603</v>
      </c>
      <c r="BK211" s="3">
        <f t="shared" si="149"/>
        <v>897.53262061774831</v>
      </c>
      <c r="BL211" s="3">
        <f t="shared" si="149"/>
        <v>910.34135886357581</v>
      </c>
      <c r="BM211" s="3">
        <f t="shared" si="149"/>
        <v>922.71572153666523</v>
      </c>
      <c r="BN211" s="3">
        <f t="shared" si="149"/>
        <v>934.58343415468516</v>
      </c>
      <c r="BO211" s="3">
        <f t="shared" si="149"/>
        <v>945.90984278273629</v>
      </c>
      <c r="BP211" s="3">
        <f t="shared" si="149"/>
        <v>956.69596224078975</v>
      </c>
      <c r="BQ211" s="3">
        <f t="shared" si="149"/>
        <v>967.2913328012379</v>
      </c>
      <c r="BR211" s="3">
        <f t="shared" si="149"/>
        <v>977.83971192469494</v>
      </c>
      <c r="BS211" s="3">
        <f t="shared" si="149"/>
        <v>988.43792413792801</v>
      </c>
      <c r="BT211" s="3">
        <f t="shared" si="148"/>
        <v>999.15266508454647</v>
      </c>
      <c r="BU211" s="3">
        <f t="shared" si="148"/>
        <v>1010.063890513356</v>
      </c>
      <c r="BV211" s="3">
        <f t="shared" si="148"/>
        <v>1021.221656831836</v>
      </c>
      <c r="BW211" s="3">
        <f t="shared" si="148"/>
        <v>1032.6105838310409</v>
      </c>
      <c r="BX211" s="3">
        <f t="shared" si="148"/>
        <v>1044.289541876075</v>
      </c>
      <c r="BY211" s="3">
        <f t="shared" si="148"/>
        <v>1056.2940717613869</v>
      </c>
      <c r="BZ211" s="3">
        <f t="shared" si="148"/>
        <v>1068.654118918884</v>
      </c>
      <c r="CA211" s="3">
        <f t="shared" si="148"/>
        <v>1081.3953426283661</v>
      </c>
      <c r="CB211" s="3">
        <f t="shared" si="148"/>
        <v>1094.6337344848121</v>
      </c>
      <c r="CC211" s="3">
        <f t="shared" si="148"/>
        <v>1108.709457346002</v>
      </c>
      <c r="CD211" s="3">
        <f t="shared" si="148"/>
        <v>1123.83494042028</v>
      </c>
    </row>
    <row r="212" spans="1:82" s="3" customFormat="1" x14ac:dyDescent="0.2">
      <c r="C212" s="3" t="s">
        <v>148</v>
      </c>
      <c r="F212" s="3" t="s">
        <v>6</v>
      </c>
      <c r="G212" s="3">
        <f t="shared" si="145"/>
        <v>132.44130000000001</v>
      </c>
      <c r="H212" s="3">
        <f t="shared" si="149"/>
        <v>134.92439999999999</v>
      </c>
      <c r="I212" s="3">
        <f t="shared" si="149"/>
        <v>137.37960000000001</v>
      </c>
      <c r="J212" s="3">
        <f t="shared" si="149"/>
        <v>139.86269999999999</v>
      </c>
      <c r="K212" s="3">
        <f t="shared" si="149"/>
        <v>142.3458</v>
      </c>
      <c r="L212" s="3">
        <f t="shared" si="149"/>
        <v>144.8289</v>
      </c>
      <c r="M212" s="3">
        <f t="shared" si="149"/>
        <v>147.2841</v>
      </c>
      <c r="N212" s="3">
        <f t="shared" si="149"/>
        <v>148.3443</v>
      </c>
      <c r="O212" s="3">
        <f t="shared" si="149"/>
        <v>149.34870000000001</v>
      </c>
      <c r="P212" s="3">
        <f t="shared" si="149"/>
        <v>150.29730000000001</v>
      </c>
      <c r="Q212" s="3">
        <f t="shared" si="149"/>
        <v>151.24590000000001</v>
      </c>
      <c r="R212" s="3">
        <f t="shared" si="149"/>
        <v>152.1387</v>
      </c>
      <c r="S212" s="3">
        <f t="shared" si="149"/>
        <v>153.03149999999999</v>
      </c>
      <c r="T212" s="3">
        <f t="shared" si="149"/>
        <v>153.86850000000001</v>
      </c>
      <c r="U212" s="3">
        <f t="shared" si="149"/>
        <v>153.11519999999999</v>
      </c>
      <c r="V212" s="3">
        <f t="shared" si="149"/>
        <v>152.30609999999999</v>
      </c>
      <c r="W212" s="3">
        <f t="shared" si="149"/>
        <v>151.41329999999999</v>
      </c>
      <c r="X212" s="3">
        <f t="shared" si="149"/>
        <v>150.46469999999999</v>
      </c>
      <c r="Y212" s="3">
        <f t="shared" si="149"/>
        <v>149.4324</v>
      </c>
      <c r="Z212" s="3">
        <f t="shared" si="149"/>
        <v>147.56309999999999</v>
      </c>
      <c r="AA212" s="3">
        <f t="shared" si="149"/>
        <v>145.61009999999999</v>
      </c>
      <c r="AB212" s="3">
        <f t="shared" si="149"/>
        <v>142.59690000000001</v>
      </c>
      <c r="AC212" s="3">
        <f t="shared" si="149"/>
        <v>186.8184</v>
      </c>
      <c r="AD212" s="3">
        <f t="shared" si="149"/>
        <v>271.2996</v>
      </c>
      <c r="AE212" s="3">
        <f t="shared" si="149"/>
        <v>239.2704</v>
      </c>
      <c r="AF212" s="3">
        <f t="shared" si="149"/>
        <v>221.743572946683</v>
      </c>
      <c r="AG212" s="3">
        <f t="shared" si="149"/>
        <v>222.65836486915001</v>
      </c>
      <c r="AH212" s="3">
        <f t="shared" si="149"/>
        <v>223.543507182871</v>
      </c>
      <c r="AI212" s="3">
        <f t="shared" si="149"/>
        <v>224.401305489458</v>
      </c>
      <c r="AJ212" s="3">
        <f t="shared" si="149"/>
        <v>225.23358669708099</v>
      </c>
      <c r="AK212" s="3">
        <f t="shared" si="149"/>
        <v>226.04212078160899</v>
      </c>
      <c r="AL212" s="3">
        <f t="shared" si="149"/>
        <v>226.828543030828</v>
      </c>
      <c r="AM212" s="3">
        <f t="shared" si="149"/>
        <v>227.59425617629901</v>
      </c>
      <c r="AN212" s="3">
        <f t="shared" si="149"/>
        <v>228.35388629224801</v>
      </c>
      <c r="AO212" s="3">
        <f t="shared" si="149"/>
        <v>229.044538752378</v>
      </c>
      <c r="AP212" s="3">
        <f t="shared" si="149"/>
        <v>229.600787898287</v>
      </c>
      <c r="AQ212" s="3">
        <f t="shared" si="149"/>
        <v>229.95554260159699</v>
      </c>
      <c r="AR212" s="3">
        <f t="shared" si="149"/>
        <v>230.060388249033</v>
      </c>
      <c r="AS212" s="3">
        <f t="shared" si="149"/>
        <v>229.88595823974799</v>
      </c>
      <c r="AT212" s="3">
        <f t="shared" si="149"/>
        <v>229.42455694618201</v>
      </c>
      <c r="AU212" s="3">
        <f t="shared" si="149"/>
        <v>228.69056760654999</v>
      </c>
      <c r="AV212" s="3">
        <f t="shared" si="149"/>
        <v>227.71890578636899</v>
      </c>
      <c r="AW212" s="3">
        <f t="shared" si="149"/>
        <v>226.56205532223501</v>
      </c>
      <c r="AX212" s="3">
        <f t="shared" si="149"/>
        <v>225.28620311039799</v>
      </c>
      <c r="AY212" s="3">
        <f t="shared" si="149"/>
        <v>223.96696311486599</v>
      </c>
      <c r="AZ212" s="3">
        <f t="shared" si="149"/>
        <v>222.677450590528</v>
      </c>
      <c r="BA212" s="3">
        <f t="shared" si="149"/>
        <v>221.49072182984401</v>
      </c>
      <c r="BB212" s="3">
        <f t="shared" si="149"/>
        <v>220.44631870106301</v>
      </c>
      <c r="BC212" s="3">
        <f t="shared" si="149"/>
        <v>219.60639674942399</v>
      </c>
      <c r="BD212" s="3">
        <f t="shared" si="149"/>
        <v>219.02411964037799</v>
      </c>
      <c r="BE212" s="3">
        <f t="shared" si="149"/>
        <v>218.741748872904</v>
      </c>
      <c r="BF212" s="3">
        <f t="shared" si="149"/>
        <v>218.748092235907</v>
      </c>
      <c r="BG212" s="3">
        <f t="shared" si="149"/>
        <v>219.07713050827601</v>
      </c>
      <c r="BH212" s="3">
        <f t="shared" si="149"/>
        <v>219.751226057677</v>
      </c>
      <c r="BI212" s="3">
        <f t="shared" si="149"/>
        <v>220.77992882308601</v>
      </c>
      <c r="BJ212" s="3">
        <f t="shared" si="149"/>
        <v>222.163937034035</v>
      </c>
      <c r="BK212" s="3">
        <f t="shared" si="149"/>
        <v>223.897164733842</v>
      </c>
      <c r="BL212" s="3">
        <f t="shared" si="149"/>
        <v>225.96787903210901</v>
      </c>
      <c r="BM212" s="3">
        <f t="shared" si="149"/>
        <v>228.35948470134099</v>
      </c>
      <c r="BN212" s="3">
        <f t="shared" si="149"/>
        <v>231.04884496102099</v>
      </c>
      <c r="BO212" s="3">
        <f t="shared" si="149"/>
        <v>234.00813611199101</v>
      </c>
      <c r="BP212" s="3">
        <f t="shared" si="149"/>
        <v>237.208239929054</v>
      </c>
      <c r="BQ212" s="3">
        <f t="shared" si="149"/>
        <v>240.628875976595</v>
      </c>
      <c r="BR212" s="3">
        <f t="shared" si="149"/>
        <v>244.24904891723099</v>
      </c>
      <c r="BS212" s="3">
        <f t="shared" si="149"/>
        <v>248.04563672387701</v>
      </c>
      <c r="BT212" s="3">
        <f t="shared" si="148"/>
        <v>251.99363381443399</v>
      </c>
      <c r="BU212" s="3">
        <f t="shared" si="148"/>
        <v>256.07393283278299</v>
      </c>
      <c r="BV212" s="3">
        <f t="shared" si="148"/>
        <v>260.26964124878998</v>
      </c>
      <c r="BW212" s="3">
        <f t="shared" si="148"/>
        <v>264.559285737572</v>
      </c>
      <c r="BX212" s="3">
        <f t="shared" si="148"/>
        <v>268.92560192519301</v>
      </c>
      <c r="BY212" s="3">
        <f t="shared" si="148"/>
        <v>273.351907977427</v>
      </c>
      <c r="BZ212" s="3">
        <f t="shared" si="148"/>
        <v>277.82384458986598</v>
      </c>
      <c r="CA212" s="3">
        <f t="shared" si="148"/>
        <v>282.33040027676299</v>
      </c>
      <c r="CB212" s="3">
        <f t="shared" si="148"/>
        <v>286.86078584432198</v>
      </c>
      <c r="CC212" s="3">
        <f t="shared" si="148"/>
        <v>291.40682710317998</v>
      </c>
      <c r="CD212" s="3">
        <f t="shared" si="148"/>
        <v>295.96563994660301</v>
      </c>
    </row>
    <row r="213" spans="1:82" s="8" customFormat="1" x14ac:dyDescent="0.2">
      <c r="C213" s="8" t="s">
        <v>180</v>
      </c>
      <c r="F213" s="8" t="s">
        <v>8</v>
      </c>
      <c r="AF213" s="8">
        <f t="shared" si="149"/>
        <v>1357.85579533548</v>
      </c>
      <c r="AG213" s="8">
        <f t="shared" si="149"/>
        <v>1362.8420792540401</v>
      </c>
      <c r="AH213" s="8">
        <f t="shared" si="149"/>
        <v>1363.9795922133501</v>
      </c>
      <c r="AI213" s="8">
        <f t="shared" si="149"/>
        <v>1365.4917213865799</v>
      </c>
      <c r="AJ213" s="8">
        <f t="shared" si="149"/>
        <v>1403.81578877323</v>
      </c>
      <c r="AK213" s="8">
        <f t="shared" si="149"/>
        <v>1445.83551608732</v>
      </c>
      <c r="AL213" s="8">
        <f t="shared" si="149"/>
        <v>1499.3506927702199</v>
      </c>
      <c r="AM213" s="8">
        <f t="shared" si="149"/>
        <v>1564.1163497933301</v>
      </c>
      <c r="AN213" s="8">
        <f t="shared" si="149"/>
        <v>1641.23853258444</v>
      </c>
      <c r="AO213" s="8">
        <f t="shared" si="149"/>
        <v>1729.43099600237</v>
      </c>
      <c r="AP213" s="8">
        <f t="shared" si="149"/>
        <v>1826.5541739385001</v>
      </c>
      <c r="AQ213" s="8">
        <f t="shared" si="149"/>
        <v>1929.35569940658</v>
      </c>
      <c r="AR213" s="8">
        <f t="shared" si="149"/>
        <v>2036.0205030894199</v>
      </c>
      <c r="AS213" s="8">
        <f t="shared" si="149"/>
        <v>2143.9313121703999</v>
      </c>
      <c r="AT213" s="8">
        <f t="shared" si="149"/>
        <v>2250.62092008936</v>
      </c>
      <c r="AU213" s="8">
        <f t="shared" si="149"/>
        <v>2353.9838762527502</v>
      </c>
      <c r="AV213" s="8">
        <f t="shared" si="149"/>
        <v>2452.4367530875502</v>
      </c>
      <c r="AW213" s="8">
        <f t="shared" si="149"/>
        <v>2545.0019145910701</v>
      </c>
      <c r="AX213" s="8">
        <f t="shared" si="149"/>
        <v>2631.3065043193501</v>
      </c>
      <c r="AY213" s="8">
        <f t="shared" si="149"/>
        <v>2711.5089385229599</v>
      </c>
      <c r="AZ213" s="8">
        <f t="shared" si="149"/>
        <v>2785.33897336154</v>
      </c>
      <c r="BA213" s="8">
        <f t="shared" si="149"/>
        <v>2853.0503838259301</v>
      </c>
      <c r="BB213" s="8">
        <f t="shared" si="149"/>
        <v>2914.78011600533</v>
      </c>
      <c r="BC213" s="8">
        <f t="shared" si="149"/>
        <v>2970.9309939466898</v>
      </c>
      <c r="BD213" s="8">
        <f t="shared" si="149"/>
        <v>3015.9155557926601</v>
      </c>
      <c r="BE213" s="8">
        <f t="shared" si="149"/>
        <v>3036.1648008197399</v>
      </c>
      <c r="BF213" s="8">
        <f t="shared" si="149"/>
        <v>3064.9800088730899</v>
      </c>
      <c r="BG213" s="8">
        <f t="shared" si="149"/>
        <v>3100.421195037</v>
      </c>
      <c r="BH213" s="8">
        <f t="shared" si="149"/>
        <v>3140.3398943319798</v>
      </c>
      <c r="BI213" s="8">
        <f t="shared" si="149"/>
        <v>3182.6547319789101</v>
      </c>
      <c r="BJ213" s="8">
        <f t="shared" si="149"/>
        <v>3225.8997677758598</v>
      </c>
      <c r="BK213" s="8">
        <f t="shared" si="149"/>
        <v>3268.8204296233798</v>
      </c>
      <c r="BL213" s="8">
        <f t="shared" si="149"/>
        <v>3310.6197994972699</v>
      </c>
      <c r="BM213" s="8">
        <f t="shared" si="149"/>
        <v>3350.8382049267998</v>
      </c>
      <c r="BN213" s="8">
        <f t="shared" si="149"/>
        <v>3389.2233669806701</v>
      </c>
      <c r="BO213" s="8">
        <f t="shared" si="149"/>
        <v>3425.6776918211799</v>
      </c>
      <c r="BP213" s="8">
        <f t="shared" si="149"/>
        <v>3460.2360179744601</v>
      </c>
      <c r="BQ213" s="8">
        <f t="shared" si="149"/>
        <v>3493.8474517638101</v>
      </c>
      <c r="BR213" s="8">
        <f t="shared" si="149"/>
        <v>3527.1258600369802</v>
      </c>
      <c r="BS213" s="8">
        <f t="shared" ref="BS213:CD214" si="150">CA419</f>
        <v>3560.50043471345</v>
      </c>
      <c r="BT213" s="8">
        <f t="shared" si="150"/>
        <v>3594.2745464507502</v>
      </c>
      <c r="BU213" s="8">
        <f t="shared" si="150"/>
        <v>3628.7556910144099</v>
      </c>
      <c r="BV213" s="8">
        <f t="shared" si="150"/>
        <v>3664.14842252163</v>
      </c>
      <c r="BW213" s="8">
        <f t="shared" si="150"/>
        <v>3700.4244307292502</v>
      </c>
      <c r="BX213" s="8">
        <f t="shared" si="150"/>
        <v>3737.8223991402301</v>
      </c>
      <c r="BY213" s="8">
        <f t="shared" si="150"/>
        <v>3776.5016307967799</v>
      </c>
      <c r="BZ213" s="8">
        <f t="shared" si="150"/>
        <v>3816.5872020369102</v>
      </c>
      <c r="CA213" s="8">
        <f t="shared" si="150"/>
        <v>3858.1780247566298</v>
      </c>
      <c r="CB213" s="8">
        <f t="shared" si="150"/>
        <v>3901.78001771647</v>
      </c>
      <c r="CC213" s="8">
        <f t="shared" si="150"/>
        <v>3948.8528383122798</v>
      </c>
      <c r="CD213" s="8">
        <f t="shared" si="150"/>
        <v>4000.2818171631402</v>
      </c>
    </row>
    <row r="214" spans="1:82" s="8" customFormat="1" x14ac:dyDescent="0.2">
      <c r="C214" s="8" t="s">
        <v>181</v>
      </c>
      <c r="F214" s="8" t="s">
        <v>6</v>
      </c>
      <c r="G214" s="8">
        <f t="shared" si="145"/>
        <v>0</v>
      </c>
      <c r="H214" s="8">
        <f t="shared" ref="H214:BS214" si="151">P420</f>
        <v>0</v>
      </c>
      <c r="I214" s="8">
        <f t="shared" si="151"/>
        <v>0</v>
      </c>
      <c r="J214" s="8">
        <f t="shared" si="151"/>
        <v>0</v>
      </c>
      <c r="K214" s="8">
        <f t="shared" si="151"/>
        <v>0</v>
      </c>
      <c r="L214" s="8">
        <f t="shared" si="151"/>
        <v>0</v>
      </c>
      <c r="M214" s="8">
        <f t="shared" si="151"/>
        <v>0</v>
      </c>
      <c r="N214" s="8">
        <f t="shared" si="151"/>
        <v>0</v>
      </c>
      <c r="O214" s="8">
        <f t="shared" si="151"/>
        <v>0</v>
      </c>
      <c r="P214" s="8">
        <f t="shared" si="151"/>
        <v>0</v>
      </c>
      <c r="Q214" s="8">
        <f t="shared" si="151"/>
        <v>0</v>
      </c>
      <c r="R214" s="8">
        <f t="shared" si="151"/>
        <v>0</v>
      </c>
      <c r="S214" s="8">
        <f t="shared" si="151"/>
        <v>0</v>
      </c>
      <c r="T214" s="8">
        <f t="shared" si="151"/>
        <v>0</v>
      </c>
      <c r="U214" s="8">
        <f t="shared" si="151"/>
        <v>0</v>
      </c>
      <c r="V214" s="8">
        <f t="shared" si="151"/>
        <v>0</v>
      </c>
      <c r="W214" s="8">
        <f t="shared" si="151"/>
        <v>0</v>
      </c>
      <c r="X214" s="8">
        <f t="shared" si="151"/>
        <v>0</v>
      </c>
      <c r="Y214" s="8">
        <f t="shared" si="151"/>
        <v>0</v>
      </c>
      <c r="Z214" s="8">
        <f t="shared" si="151"/>
        <v>0</v>
      </c>
      <c r="AA214" s="8">
        <f t="shared" si="151"/>
        <v>0</v>
      </c>
      <c r="AB214" s="8">
        <f t="shared" si="151"/>
        <v>0</v>
      </c>
      <c r="AC214" s="8">
        <f t="shared" si="151"/>
        <v>0</v>
      </c>
      <c r="AD214" s="8">
        <f t="shared" si="151"/>
        <v>0</v>
      </c>
      <c r="AE214" s="8">
        <f t="shared" si="151"/>
        <v>0</v>
      </c>
      <c r="AF214" s="8">
        <f t="shared" si="151"/>
        <v>0</v>
      </c>
      <c r="AG214" s="8">
        <f t="shared" si="151"/>
        <v>0</v>
      </c>
      <c r="AH214" s="8">
        <f t="shared" si="151"/>
        <v>0</v>
      </c>
      <c r="AI214" s="8">
        <f t="shared" si="151"/>
        <v>0</v>
      </c>
      <c r="AJ214" s="8">
        <f t="shared" si="151"/>
        <v>0</v>
      </c>
      <c r="AK214" s="8">
        <f t="shared" si="151"/>
        <v>0</v>
      </c>
      <c r="AL214" s="8">
        <f t="shared" si="151"/>
        <v>0</v>
      </c>
      <c r="AM214" s="8">
        <f t="shared" si="151"/>
        <v>0</v>
      </c>
      <c r="AN214" s="8">
        <f t="shared" si="151"/>
        <v>0</v>
      </c>
      <c r="AO214" s="8">
        <f t="shared" si="151"/>
        <v>0</v>
      </c>
      <c r="AP214" s="8">
        <f t="shared" si="151"/>
        <v>0</v>
      </c>
      <c r="AQ214" s="8">
        <f t="shared" si="151"/>
        <v>0</v>
      </c>
      <c r="AR214" s="8">
        <f t="shared" si="151"/>
        <v>0</v>
      </c>
      <c r="AS214" s="8">
        <f t="shared" si="151"/>
        <v>0</v>
      </c>
      <c r="AT214" s="8">
        <f t="shared" si="151"/>
        <v>0</v>
      </c>
      <c r="AU214" s="8">
        <f t="shared" si="151"/>
        <v>0</v>
      </c>
      <c r="AV214" s="8">
        <f t="shared" si="151"/>
        <v>0</v>
      </c>
      <c r="AW214" s="8">
        <f t="shared" si="151"/>
        <v>0</v>
      </c>
      <c r="AX214" s="8">
        <f t="shared" si="151"/>
        <v>0</v>
      </c>
      <c r="AY214" s="8">
        <f t="shared" si="151"/>
        <v>0</v>
      </c>
      <c r="AZ214" s="8">
        <f t="shared" si="151"/>
        <v>0</v>
      </c>
      <c r="BA214" s="8">
        <f t="shared" si="151"/>
        <v>0</v>
      </c>
      <c r="BB214" s="8">
        <f t="shared" si="151"/>
        <v>0</v>
      </c>
      <c r="BC214" s="8">
        <f t="shared" si="151"/>
        <v>0</v>
      </c>
      <c r="BD214" s="8">
        <f t="shared" si="151"/>
        <v>0</v>
      </c>
      <c r="BE214" s="8">
        <f t="shared" si="151"/>
        <v>0</v>
      </c>
      <c r="BF214" s="8">
        <f t="shared" si="151"/>
        <v>0</v>
      </c>
      <c r="BG214" s="8">
        <f t="shared" si="151"/>
        <v>0</v>
      </c>
      <c r="BH214" s="8">
        <f t="shared" si="151"/>
        <v>0</v>
      </c>
      <c r="BI214" s="8">
        <f t="shared" si="151"/>
        <v>0</v>
      </c>
      <c r="BJ214" s="8">
        <f t="shared" si="151"/>
        <v>0</v>
      </c>
      <c r="BK214" s="8">
        <f t="shared" si="151"/>
        <v>0</v>
      </c>
      <c r="BL214" s="8">
        <f t="shared" si="151"/>
        <v>0</v>
      </c>
      <c r="BM214" s="8">
        <f t="shared" si="151"/>
        <v>0</v>
      </c>
      <c r="BN214" s="8">
        <f t="shared" si="151"/>
        <v>0</v>
      </c>
      <c r="BO214" s="8">
        <f t="shared" si="151"/>
        <v>0</v>
      </c>
      <c r="BP214" s="8">
        <f t="shared" si="151"/>
        <v>0</v>
      </c>
      <c r="BQ214" s="8">
        <f t="shared" si="151"/>
        <v>0</v>
      </c>
      <c r="BR214" s="8">
        <f t="shared" si="151"/>
        <v>0</v>
      </c>
      <c r="BS214" s="8">
        <f t="shared" si="151"/>
        <v>0</v>
      </c>
      <c r="BT214" s="8">
        <f t="shared" si="150"/>
        <v>0</v>
      </c>
      <c r="BU214" s="8">
        <f t="shared" si="150"/>
        <v>0</v>
      </c>
      <c r="BV214" s="8">
        <f t="shared" si="150"/>
        <v>0</v>
      </c>
      <c r="BW214" s="8">
        <f t="shared" si="150"/>
        <v>0</v>
      </c>
      <c r="BX214" s="8">
        <f t="shared" si="150"/>
        <v>0</v>
      </c>
      <c r="BY214" s="8">
        <f t="shared" si="150"/>
        <v>0</v>
      </c>
      <c r="BZ214" s="8">
        <f t="shared" si="150"/>
        <v>0</v>
      </c>
      <c r="CA214" s="8">
        <f t="shared" si="150"/>
        <v>0</v>
      </c>
      <c r="CB214" s="8">
        <f t="shared" si="150"/>
        <v>0</v>
      </c>
      <c r="CC214" s="8">
        <f t="shared" si="150"/>
        <v>0</v>
      </c>
      <c r="CD214" s="8">
        <f t="shared" si="150"/>
        <v>0</v>
      </c>
    </row>
    <row r="215" spans="1:82" s="7" customFormat="1" x14ac:dyDescent="0.2">
      <c r="B215" s="7" t="s">
        <v>152</v>
      </c>
    </row>
    <row r="216" spans="1:82" s="8" customFormat="1" x14ac:dyDescent="0.2">
      <c r="C216" s="8" t="s">
        <v>153</v>
      </c>
      <c r="F216" s="8" t="s">
        <v>7</v>
      </c>
      <c r="G216" s="8">
        <f>O421</f>
        <v>0</v>
      </c>
      <c r="H216" s="8">
        <f>P421</f>
        <v>0</v>
      </c>
      <c r="I216" s="8">
        <f>Q421</f>
        <v>0</v>
      </c>
      <c r="J216" s="8">
        <f>R421</f>
        <v>0</v>
      </c>
      <c r="K216" s="8">
        <f>S421</f>
        <v>0</v>
      </c>
      <c r="L216" s="8">
        <f>T421</f>
        <v>0</v>
      </c>
      <c r="M216" s="8">
        <f>U421</f>
        <v>0</v>
      </c>
      <c r="N216" s="8">
        <f>V421</f>
        <v>0</v>
      </c>
      <c r="O216" s="8">
        <f>W421</f>
        <v>0</v>
      </c>
      <c r="P216" s="8">
        <f>X421</f>
        <v>0</v>
      </c>
      <c r="Q216" s="8">
        <f>Y421</f>
        <v>0</v>
      </c>
      <c r="R216" s="8">
        <f>Z421</f>
        <v>0</v>
      </c>
      <c r="S216" s="8">
        <f>AA421</f>
        <v>0</v>
      </c>
      <c r="T216" s="8">
        <f>AB421</f>
        <v>0</v>
      </c>
      <c r="U216" s="8">
        <f>AC421</f>
        <v>0</v>
      </c>
      <c r="V216" s="8">
        <f>AD421</f>
        <v>0</v>
      </c>
      <c r="W216" s="8">
        <f>AE421</f>
        <v>0</v>
      </c>
      <c r="X216" s="8">
        <f>AF421</f>
        <v>0</v>
      </c>
      <c r="Y216" s="8">
        <f>AG421</f>
        <v>0</v>
      </c>
      <c r="Z216" s="8">
        <f>AH421</f>
        <v>0</v>
      </c>
      <c r="AA216" s="8">
        <f>AI421</f>
        <v>0</v>
      </c>
      <c r="AB216" s="8">
        <f>AJ421</f>
        <v>0</v>
      </c>
      <c r="AC216" s="8">
        <f>AK421</f>
        <v>0</v>
      </c>
      <c r="AD216" s="8">
        <f>AL421</f>
        <v>0</v>
      </c>
      <c r="AE216" s="8">
        <f>AM421</f>
        <v>0</v>
      </c>
      <c r="AF216" s="8">
        <f>AN421</f>
        <v>-1020.47662401917</v>
      </c>
      <c r="AG216" s="8">
        <f>AO421</f>
        <v>-693.27427500759802</v>
      </c>
      <c r="AH216" s="8">
        <f>AP421</f>
        <v>-793.68380205537403</v>
      </c>
      <c r="AI216" s="8">
        <f>AQ421</f>
        <v>-804.42628561444496</v>
      </c>
      <c r="AJ216" s="8">
        <f>AR421</f>
        <v>-823.17525586280908</v>
      </c>
      <c r="AK216" s="8">
        <f>AS421</f>
        <v>-840.77733589811601</v>
      </c>
      <c r="AL216" s="8">
        <f>AT421</f>
        <v>-857.57417474693796</v>
      </c>
      <c r="AM216" s="8">
        <f>AU421</f>
        <v>-873.80830880572205</v>
      </c>
      <c r="AN216" s="8">
        <f>AV421</f>
        <v>-921.85425066632899</v>
      </c>
      <c r="AO216" s="8">
        <f>AW421</f>
        <v>-968.28662036988305</v>
      </c>
      <c r="AP216" s="8">
        <f>AX421</f>
        <v>-1027.9627802205</v>
      </c>
      <c r="AQ216" s="8">
        <f>AY421</f>
        <v>-1076.7759178812901</v>
      </c>
      <c r="AR216" s="8">
        <f>AZ421</f>
        <v>-1136.27156586776</v>
      </c>
      <c r="AS216" s="8">
        <f>BA421</f>
        <v>-1209.9535632739301</v>
      </c>
      <c r="AT216" s="8">
        <f>BB421</f>
        <v>-1292.5945389624101</v>
      </c>
      <c r="AU216" s="8">
        <f>BC421</f>
        <v>-1379.6302010396701</v>
      </c>
      <c r="AV216" s="8">
        <f>BD421</f>
        <v>-1466.9953739365901</v>
      </c>
      <c r="AW216" s="8">
        <f>BE421</f>
        <v>-1551.05536510094</v>
      </c>
      <c r="AX216" s="8">
        <f>BF421</f>
        <v>-1628.6053889432101</v>
      </c>
      <c r="AY216" s="8">
        <f>BG421</f>
        <v>-1696.9160081218199</v>
      </c>
      <c r="AZ216" s="8">
        <f>BH421</f>
        <v>-1753.8056774362999</v>
      </c>
      <c r="BA216" s="8">
        <f>BI421</f>
        <v>-1797.7237100252401</v>
      </c>
      <c r="BB216" s="8">
        <f>BJ421</f>
        <v>-1827.82919021163</v>
      </c>
      <c r="BC216" s="8">
        <f>BK421</f>
        <v>-1856.132556757</v>
      </c>
      <c r="BD216" s="8">
        <f>BL421</f>
        <v>-1881.5153407384701</v>
      </c>
      <c r="BE216" s="8">
        <f>BM421</f>
        <v>-1902.16758283738</v>
      </c>
      <c r="BF216" s="8">
        <f>BN421</f>
        <v>-1917.35847834785</v>
      </c>
      <c r="BG216" s="8">
        <f>BO421</f>
        <v>-1926.4039029728599</v>
      </c>
      <c r="BH216" s="8">
        <f>BP421</f>
        <v>-1935.5394301962499</v>
      </c>
      <c r="BI216" s="8">
        <f>BQ421</f>
        <v>-1944.28169130488</v>
      </c>
      <c r="BJ216" s="8">
        <f>BR421</f>
        <v>-1952.23349646422</v>
      </c>
      <c r="BK216" s="8">
        <f>BS421</f>
        <v>-1959.0581653587501</v>
      </c>
      <c r="BL216" s="8">
        <f>BT421</f>
        <v>-1964.4615660591401</v>
      </c>
      <c r="BM216" s="8">
        <f>BU421</f>
        <v>-1968.17962722228</v>
      </c>
      <c r="BN216" s="8">
        <f>BV421</f>
        <v>-1969.96974331409</v>
      </c>
      <c r="BO216" s="8">
        <f>BW421</f>
        <v>-1969.60495518173</v>
      </c>
      <c r="BP216" s="8">
        <f>BX421</f>
        <v>-1966.8701151918699</v>
      </c>
      <c r="BQ216" s="8">
        <f>BY421</f>
        <v>-1961.5594770279599</v>
      </c>
      <c r="BR216" s="8">
        <f>BZ421</f>
        <v>-1958.2721181474601</v>
      </c>
      <c r="BS216" s="8">
        <f>CA421</f>
        <v>-1956.79770001618</v>
      </c>
      <c r="BT216" s="8">
        <f>CB421</f>
        <v>-1956.9866579171501</v>
      </c>
      <c r="BU216" s="8">
        <f>CC421</f>
        <v>-1958.7326873937</v>
      </c>
      <c r="BV216" s="8">
        <f>CD421</f>
        <v>-1961.96036144974</v>
      </c>
      <c r="BW216" s="8">
        <f>CE421</f>
        <v>-1966.61637601185</v>
      </c>
      <c r="BX216" s="8">
        <f>CF421</f>
        <v>-1972.66336123407</v>
      </c>
      <c r="BY216" s="8">
        <f>CG421</f>
        <v>-1980.07550740538</v>
      </c>
      <c r="BZ216" s="8">
        <f>CH421</f>
        <v>-1988.83547425851</v>
      </c>
      <c r="CA216" s="8">
        <f>CI421</f>
        <v>-1998.93220806929</v>
      </c>
      <c r="CB216" s="8">
        <f>CJ421</f>
        <v>-2010.35940095562</v>
      </c>
      <c r="CC216" s="8">
        <f>CK421</f>
        <v>-2023.1144045809201</v>
      </c>
      <c r="CD216" s="8">
        <f>CL421</f>
        <v>-2037.19746547758</v>
      </c>
    </row>
    <row r="217" spans="1:82" s="2" customFormat="1" ht="22" x14ac:dyDescent="0.3">
      <c r="A217" s="2" t="s">
        <v>155</v>
      </c>
      <c r="G217" s="2">
        <f>SUM(G218,G221,G225,G229)</f>
        <v>6691.0041000000001</v>
      </c>
      <c r="H217" s="2">
        <f t="shared" ref="H217:BS217" si="152">SUM(H218,H221,H225,H229)</f>
        <v>7175.9573999999993</v>
      </c>
      <c r="I217" s="2">
        <f t="shared" si="152"/>
        <v>7691.2719999999999</v>
      </c>
      <c r="J217" s="2">
        <f t="shared" si="152"/>
        <v>8145.6001000000015</v>
      </c>
      <c r="K217" s="2">
        <f t="shared" si="152"/>
        <v>8577.107</v>
      </c>
      <c r="L217" s="2">
        <f t="shared" si="152"/>
        <v>9463.4645999999993</v>
      </c>
      <c r="M217" s="2">
        <f t="shared" si="152"/>
        <v>9311.8015999999989</v>
      </c>
      <c r="N217" s="2">
        <f t="shared" si="152"/>
        <v>9859.2688999999991</v>
      </c>
      <c r="O217" s="2">
        <f t="shared" si="152"/>
        <v>10222.253399999998</v>
      </c>
      <c r="P217" s="2">
        <f t="shared" si="152"/>
        <v>10565.974900000001</v>
      </c>
      <c r="Q217" s="2">
        <f t="shared" si="152"/>
        <v>10955.1515</v>
      </c>
      <c r="R217" s="2">
        <f t="shared" si="152"/>
        <v>11304.866999999998</v>
      </c>
      <c r="S217" s="2">
        <f t="shared" si="152"/>
        <v>11660.944299999999</v>
      </c>
      <c r="T217" s="2">
        <f t="shared" si="152"/>
        <v>12226.530500000001</v>
      </c>
      <c r="U217" s="2">
        <f t="shared" si="152"/>
        <v>12959.076399999998</v>
      </c>
      <c r="V217" s="2">
        <f t="shared" si="152"/>
        <v>13144.668699999998</v>
      </c>
      <c r="W217" s="2">
        <f t="shared" si="152"/>
        <v>13454.214599999999</v>
      </c>
      <c r="X217" s="2">
        <f t="shared" si="152"/>
        <v>13718.9571</v>
      </c>
      <c r="Y217" s="2">
        <f t="shared" si="152"/>
        <v>13877.219799999999</v>
      </c>
      <c r="Z217" s="2">
        <f t="shared" si="152"/>
        <v>14445.924199999999</v>
      </c>
      <c r="AA217" s="2">
        <f t="shared" si="152"/>
        <v>14591.802599999999</v>
      </c>
      <c r="AB217" s="2">
        <f t="shared" si="152"/>
        <v>14957.126099999998</v>
      </c>
      <c r="AC217" s="2">
        <f t="shared" si="152"/>
        <v>15367.9251</v>
      </c>
      <c r="AD217" s="2">
        <f t="shared" si="152"/>
        <v>15789.5568</v>
      </c>
      <c r="AE217" s="2">
        <f t="shared" si="152"/>
        <v>13513.8478</v>
      </c>
      <c r="AF217" s="2">
        <f t="shared" si="152"/>
        <v>13580.371539005879</v>
      </c>
      <c r="AG217" s="2">
        <f t="shared" si="152"/>
        <v>13812.614743717138</v>
      </c>
      <c r="AH217" s="2">
        <f t="shared" si="152"/>
        <v>14114.238307931555</v>
      </c>
      <c r="AI217" s="2">
        <f t="shared" si="152"/>
        <v>14487.871203416224</v>
      </c>
      <c r="AJ217" s="2">
        <f t="shared" si="152"/>
        <v>14934.311494891532</v>
      </c>
      <c r="AK217" s="2">
        <f t="shared" si="152"/>
        <v>15460.076686000044</v>
      </c>
      <c r="AL217" s="2">
        <f t="shared" si="152"/>
        <v>15929.346291941103</v>
      </c>
      <c r="AM217" s="2">
        <f t="shared" si="152"/>
        <v>16489.623184971711</v>
      </c>
      <c r="AN217" s="2">
        <f t="shared" si="152"/>
        <v>17121.009114609875</v>
      </c>
      <c r="AO217" s="2">
        <f t="shared" si="152"/>
        <v>17820.013885760203</v>
      </c>
      <c r="AP217" s="2">
        <f t="shared" si="152"/>
        <v>18564.387833085893</v>
      </c>
      <c r="AQ217" s="2">
        <f t="shared" si="152"/>
        <v>19294.401684996363</v>
      </c>
      <c r="AR217" s="2">
        <f t="shared" si="152"/>
        <v>20063.999569765889</v>
      </c>
      <c r="AS217" s="2">
        <f t="shared" si="152"/>
        <v>20873.050211188554</v>
      </c>
      <c r="AT217" s="2">
        <f t="shared" si="152"/>
        <v>21721.602194089854</v>
      </c>
      <c r="AU217" s="2">
        <f t="shared" si="152"/>
        <v>22609.952053040299</v>
      </c>
      <c r="AV217" s="2">
        <f t="shared" si="152"/>
        <v>23538.22051944874</v>
      </c>
      <c r="AW217" s="2">
        <f t="shared" si="152"/>
        <v>24507.095120686343</v>
      </c>
      <c r="AX217" s="2">
        <f t="shared" si="152"/>
        <v>25517.148636454418</v>
      </c>
      <c r="AY217" s="2">
        <f t="shared" si="152"/>
        <v>26569.043598363933</v>
      </c>
      <c r="AZ217" s="2">
        <f t="shared" si="152"/>
        <v>27631.599160058784</v>
      </c>
      <c r="BA217" s="2">
        <f t="shared" si="152"/>
        <v>28698.982708277646</v>
      </c>
      <c r="BB217" s="2">
        <f t="shared" si="152"/>
        <v>29741.821112777507</v>
      </c>
      <c r="BC217" s="2">
        <f t="shared" si="152"/>
        <v>30774.197127981941</v>
      </c>
      <c r="BD217" s="2">
        <f t="shared" si="152"/>
        <v>31790.313928184354</v>
      </c>
      <c r="BE217" s="2">
        <f t="shared" si="152"/>
        <v>32783.893593622437</v>
      </c>
      <c r="BF217" s="2">
        <f t="shared" si="152"/>
        <v>33777.6803952138</v>
      </c>
      <c r="BG217" s="2">
        <f t="shared" si="152"/>
        <v>34773.654653646525</v>
      </c>
      <c r="BH217" s="2">
        <f t="shared" si="152"/>
        <v>35770.624036284935</v>
      </c>
      <c r="BI217" s="2">
        <f t="shared" si="152"/>
        <v>36766.071431447024</v>
      </c>
      <c r="BJ217" s="2">
        <f t="shared" si="152"/>
        <v>37758.605716136648</v>
      </c>
      <c r="BK217" s="2">
        <f t="shared" si="152"/>
        <v>38747.40179636312</v>
      </c>
      <c r="BL217" s="2">
        <f t="shared" si="152"/>
        <v>39731.806318869996</v>
      </c>
      <c r="BM217" s="2">
        <f t="shared" si="152"/>
        <v>40710.793220459018</v>
      </c>
      <c r="BN217" s="2">
        <f t="shared" si="152"/>
        <v>41681.806964399548</v>
      </c>
      <c r="BO217" s="2">
        <f t="shared" si="152"/>
        <v>42642.410678899076</v>
      </c>
      <c r="BP217" s="2">
        <f t="shared" si="152"/>
        <v>43590.990095091845</v>
      </c>
      <c r="BQ217" s="2">
        <f t="shared" si="152"/>
        <v>44547.672750914673</v>
      </c>
      <c r="BR217" s="2">
        <f t="shared" si="152"/>
        <v>45512.911957857723</v>
      </c>
      <c r="BS217" s="2">
        <f t="shared" si="152"/>
        <v>46486.129497337301</v>
      </c>
      <c r="BT217" s="2">
        <f t="shared" ref="BT217:CD217" si="153">SUM(BT218,BT221,BT225,BT229)</f>
        <v>47466.340915912813</v>
      </c>
      <c r="BU217" s="2">
        <f t="shared" si="153"/>
        <v>48455.35705994266</v>
      </c>
      <c r="BV217" s="2">
        <f t="shared" si="153"/>
        <v>49454.138159126305</v>
      </c>
      <c r="BW217" s="2">
        <f t="shared" si="153"/>
        <v>50460.558389139871</v>
      </c>
      <c r="BX217" s="2">
        <f t="shared" si="153"/>
        <v>51475.278098047405</v>
      </c>
      <c r="BY217" s="2">
        <f t="shared" si="153"/>
        <v>52497.779986027177</v>
      </c>
      <c r="BZ217" s="2">
        <f t="shared" si="153"/>
        <v>53527.899501360575</v>
      </c>
      <c r="CA217" s="2">
        <f t="shared" si="153"/>
        <v>54566.40414392353</v>
      </c>
      <c r="CB217" s="2">
        <f t="shared" si="153"/>
        <v>55612.664543035309</v>
      </c>
      <c r="CC217" s="2">
        <f t="shared" si="153"/>
        <v>56666.402757078686</v>
      </c>
      <c r="CD217" s="2">
        <f t="shared" si="153"/>
        <v>57729.070915783814</v>
      </c>
    </row>
    <row r="218" spans="1:82" s="7" customFormat="1" x14ac:dyDescent="0.2">
      <c r="B218" s="7" t="s">
        <v>156</v>
      </c>
      <c r="G218" s="7">
        <f>SUM(G219,G220)</f>
        <v>3060.0162</v>
      </c>
      <c r="H218" s="7">
        <f t="shared" ref="H218:BS218" si="154">SUM(H219,H220)</f>
        <v>3473.8847999999998</v>
      </c>
      <c r="I218" s="7">
        <f t="shared" si="154"/>
        <v>3851.5671000000002</v>
      </c>
      <c r="J218" s="7">
        <f t="shared" si="154"/>
        <v>4199.7591000000002</v>
      </c>
      <c r="K218" s="7">
        <f t="shared" si="154"/>
        <v>4523.9291999999987</v>
      </c>
      <c r="L218" s="7">
        <f t="shared" si="154"/>
        <v>4828.5693000000001</v>
      </c>
      <c r="M218" s="7">
        <f t="shared" si="154"/>
        <v>5117.0273999999999</v>
      </c>
      <c r="N218" s="7">
        <f t="shared" si="154"/>
        <v>5392.4561999999996</v>
      </c>
      <c r="O218" s="7">
        <f t="shared" si="154"/>
        <v>5634.9629999999997</v>
      </c>
      <c r="P218" s="7">
        <f t="shared" si="154"/>
        <v>5857.0470000000005</v>
      </c>
      <c r="Q218" s="7">
        <f t="shared" si="154"/>
        <v>6060.8564999999999</v>
      </c>
      <c r="R218" s="7">
        <f t="shared" si="154"/>
        <v>6248.0933999999997</v>
      </c>
      <c r="S218" s="7">
        <f t="shared" si="154"/>
        <v>6420.1247999999996</v>
      </c>
      <c r="T218" s="7">
        <f t="shared" si="154"/>
        <v>6604.7669999999998</v>
      </c>
      <c r="U218" s="7">
        <f t="shared" si="154"/>
        <v>6799.0625999999993</v>
      </c>
      <c r="V218" s="7">
        <f t="shared" si="154"/>
        <v>7000.6958999999988</v>
      </c>
      <c r="W218" s="7">
        <f t="shared" si="154"/>
        <v>7208.0486999999994</v>
      </c>
      <c r="X218" s="7">
        <f t="shared" si="154"/>
        <v>7141.8140999999996</v>
      </c>
      <c r="Y218" s="7">
        <f t="shared" si="154"/>
        <v>7122.8420999999998</v>
      </c>
      <c r="Z218" s="7">
        <f t="shared" si="154"/>
        <v>7138.6614</v>
      </c>
      <c r="AA218" s="7">
        <f t="shared" si="154"/>
        <v>7181.8505999999998</v>
      </c>
      <c r="AB218" s="7">
        <f t="shared" si="154"/>
        <v>7257.5712000000003</v>
      </c>
      <c r="AC218" s="7">
        <f t="shared" si="154"/>
        <v>7357.8438000000006</v>
      </c>
      <c r="AD218" s="7">
        <f t="shared" si="154"/>
        <v>7487.5509000000002</v>
      </c>
      <c r="AE218" s="7">
        <f t="shared" si="154"/>
        <v>7584.5033999999996</v>
      </c>
      <c r="AF218" s="7">
        <f t="shared" si="154"/>
        <v>7519.6025177804095</v>
      </c>
      <c r="AG218" s="7">
        <f t="shared" si="154"/>
        <v>7442.7597806631447</v>
      </c>
      <c r="AH218" s="7">
        <f t="shared" si="154"/>
        <v>7403.7163685746291</v>
      </c>
      <c r="AI218" s="7">
        <f t="shared" si="154"/>
        <v>7398.8586548800195</v>
      </c>
      <c r="AJ218" s="7">
        <f t="shared" si="154"/>
        <v>7424.9576895776099</v>
      </c>
      <c r="AK218" s="7">
        <f t="shared" si="154"/>
        <v>7479.3941954186439</v>
      </c>
      <c r="AL218" s="7">
        <f t="shared" si="154"/>
        <v>7559.7679206980238</v>
      </c>
      <c r="AM218" s="7">
        <f t="shared" si="154"/>
        <v>7664.1814405295199</v>
      </c>
      <c r="AN218" s="7">
        <f t="shared" si="154"/>
        <v>7792.2815538461036</v>
      </c>
      <c r="AO218" s="7">
        <f t="shared" si="154"/>
        <v>7942.8303449788764</v>
      </c>
      <c r="AP218" s="7">
        <f t="shared" si="154"/>
        <v>8114.5983933841544</v>
      </c>
      <c r="AQ218" s="7">
        <f t="shared" si="154"/>
        <v>8305.6168885698353</v>
      </c>
      <c r="AR218" s="7">
        <f t="shared" si="154"/>
        <v>8511.9177805889922</v>
      </c>
      <c r="AS218" s="7">
        <f t="shared" si="154"/>
        <v>8732.4769234554878</v>
      </c>
      <c r="AT218" s="7">
        <f t="shared" si="154"/>
        <v>8966.4280696020905</v>
      </c>
      <c r="AU218" s="7">
        <f t="shared" si="154"/>
        <v>9213.0379298271873</v>
      </c>
      <c r="AV218" s="7">
        <f t="shared" si="154"/>
        <v>9471.6884792751825</v>
      </c>
      <c r="AW218" s="7">
        <f t="shared" si="154"/>
        <v>9741.8556824008901</v>
      </c>
      <c r="AX218" s="7">
        <f t="shared" si="154"/>
        <v>10023.094600328761</v>
      </c>
      <c r="AY218" s="7">
        <f t="shared" si="154"/>
        <v>10315.026704463515</v>
      </c>
      <c r="AZ218" s="7">
        <f t="shared" si="154"/>
        <v>10617.32929054182</v>
      </c>
      <c r="BA218" s="7">
        <f t="shared" si="154"/>
        <v>10928.684633853201</v>
      </c>
      <c r="BB218" s="7">
        <f t="shared" si="154"/>
        <v>11247.869631557305</v>
      </c>
      <c r="BC218" s="7">
        <f t="shared" si="154"/>
        <v>11570.378230649872</v>
      </c>
      <c r="BD218" s="7">
        <f t="shared" si="154"/>
        <v>11895.545322595648</v>
      </c>
      <c r="BE218" s="7">
        <f t="shared" si="154"/>
        <v>12222.595672500462</v>
      </c>
      <c r="BF218" s="7">
        <f t="shared" si="154"/>
        <v>12550.61967041462</v>
      </c>
      <c r="BG218" s="7">
        <f t="shared" si="154"/>
        <v>12877.995874056849</v>
      </c>
      <c r="BH218" s="7">
        <f t="shared" si="154"/>
        <v>13205.128412955401</v>
      </c>
      <c r="BI218" s="7">
        <f t="shared" si="154"/>
        <v>13532.254417815866</v>
      </c>
      <c r="BJ218" s="7">
        <f t="shared" si="154"/>
        <v>13859.328862740815</v>
      </c>
      <c r="BK218" s="7">
        <f t="shared" si="154"/>
        <v>14186.261243396179</v>
      </c>
      <c r="BL218" s="7">
        <f t="shared" si="154"/>
        <v>14513.026738419025</v>
      </c>
      <c r="BM218" s="7">
        <f t="shared" si="154"/>
        <v>14839.625570730374</v>
      </c>
      <c r="BN218" s="7">
        <f t="shared" si="154"/>
        <v>15166.051205967953</v>
      </c>
      <c r="BO218" s="7">
        <f t="shared" si="154"/>
        <v>15492.103676050949</v>
      </c>
      <c r="BP218" s="7">
        <f t="shared" si="154"/>
        <v>15817.464099124973</v>
      </c>
      <c r="BQ218" s="7">
        <f t="shared" si="154"/>
        <v>16141.854986445169</v>
      </c>
      <c r="BR218" s="7">
        <f t="shared" si="154"/>
        <v>16465.64983966808</v>
      </c>
      <c r="BS218" s="7">
        <f t="shared" si="154"/>
        <v>16789.154397179271</v>
      </c>
      <c r="BT218" s="7">
        <f t="shared" ref="BT218:CD218" si="155">SUM(BT219,BT220)</f>
        <v>17112.502341862059</v>
      </c>
      <c r="BU218" s="7">
        <f t="shared" si="155"/>
        <v>17435.65815433758</v>
      </c>
      <c r="BV218" s="7">
        <f t="shared" si="155"/>
        <v>17758.822580160351</v>
      </c>
      <c r="BW218" s="7">
        <f t="shared" si="155"/>
        <v>18082.21520986742</v>
      </c>
      <c r="BX218" s="7">
        <f t="shared" si="155"/>
        <v>18405.730323558942</v>
      </c>
      <c r="BY218" s="7">
        <f t="shared" si="155"/>
        <v>18729.357110274217</v>
      </c>
      <c r="BZ218" s="7">
        <f t="shared" si="155"/>
        <v>19053.015935892588</v>
      </c>
      <c r="CA218" s="7">
        <f t="shared" si="155"/>
        <v>19376.64350256668</v>
      </c>
      <c r="CB218" s="7">
        <f t="shared" si="155"/>
        <v>19700.24702389762</v>
      </c>
      <c r="CC218" s="7">
        <f t="shared" si="155"/>
        <v>20023.748828733893</v>
      </c>
      <c r="CD218" s="7">
        <f t="shared" si="155"/>
        <v>20347.050960732784</v>
      </c>
    </row>
    <row r="219" spans="1:82" s="3" customFormat="1" x14ac:dyDescent="0.2">
      <c r="C219" s="3" t="s">
        <v>157</v>
      </c>
      <c r="F219" s="3" t="s">
        <v>6</v>
      </c>
      <c r="G219" s="3">
        <f>O422</f>
        <v>1383.6447000000001</v>
      </c>
      <c r="H219" s="3">
        <f>P422</f>
        <v>1570.7979</v>
      </c>
      <c r="I219" s="3">
        <f>Q422</f>
        <v>1741.5737999999999</v>
      </c>
      <c r="J219" s="3">
        <f>R422</f>
        <v>1899.0135</v>
      </c>
      <c r="K219" s="3">
        <f>S422</f>
        <v>2045.6001000000001</v>
      </c>
      <c r="L219" s="3">
        <f>T422</f>
        <v>2183.3424</v>
      </c>
      <c r="M219" s="3">
        <f>U422</f>
        <v>2313.7748999999999</v>
      </c>
      <c r="N219" s="3">
        <f>V422</f>
        <v>2438.3204999999998</v>
      </c>
      <c r="O219" s="3">
        <f>W422</f>
        <v>2547.9675000000002</v>
      </c>
      <c r="P219" s="3">
        <f>X422</f>
        <v>2648.4353999999998</v>
      </c>
      <c r="Q219" s="3">
        <f>Y422</f>
        <v>2740.6170000000002</v>
      </c>
      <c r="R219" s="3">
        <f>Z422</f>
        <v>2825.2935000000002</v>
      </c>
      <c r="S219" s="3">
        <f>AA422</f>
        <v>2903.1066000000001</v>
      </c>
      <c r="T219" s="3">
        <f>AB422</f>
        <v>2986.6113</v>
      </c>
      <c r="U219" s="3">
        <f>AC422</f>
        <v>3074.4962999999998</v>
      </c>
      <c r="V219" s="3">
        <f>AD422</f>
        <v>3165.6734999999999</v>
      </c>
      <c r="W219" s="3">
        <f t="shared" ref="W219:BS219" si="156">AE422</f>
        <v>3259.4454000000001</v>
      </c>
      <c r="X219" s="3">
        <f t="shared" si="156"/>
        <v>3238.6320000000001</v>
      </c>
      <c r="Y219" s="3">
        <f t="shared" si="156"/>
        <v>3237.7392</v>
      </c>
      <c r="Z219" s="3">
        <f t="shared" si="156"/>
        <v>3252.3308999999999</v>
      </c>
      <c r="AA219" s="3">
        <f t="shared" si="156"/>
        <v>3279.1707000000001</v>
      </c>
      <c r="AB219" s="3">
        <f t="shared" si="156"/>
        <v>3320.7975000000001</v>
      </c>
      <c r="AC219" s="3">
        <f t="shared" si="156"/>
        <v>3373.6401000000001</v>
      </c>
      <c r="AD219" s="3">
        <f t="shared" si="156"/>
        <v>3439.0376999999999</v>
      </c>
      <c r="AE219" s="3">
        <f t="shared" si="156"/>
        <v>3488.4207000000001</v>
      </c>
      <c r="AF219" s="3">
        <f t="shared" si="156"/>
        <v>3527.066197172644</v>
      </c>
      <c r="AG219" s="3">
        <f t="shared" si="156"/>
        <v>3553.8917981564409</v>
      </c>
      <c r="AH219" s="3">
        <f t="shared" si="156"/>
        <v>3591.911675019699</v>
      </c>
      <c r="AI219" s="3">
        <f t="shared" si="156"/>
        <v>3640.552014434496</v>
      </c>
      <c r="AJ219" s="3">
        <f t="shared" si="156"/>
        <v>3699.2306746146551</v>
      </c>
      <c r="AK219" s="3">
        <f t="shared" si="156"/>
        <v>3767.5147950340588</v>
      </c>
      <c r="AL219" s="3">
        <f t="shared" si="156"/>
        <v>3844.9373734181299</v>
      </c>
      <c r="AM219" s="3">
        <f t="shared" si="156"/>
        <v>3931.1763620541051</v>
      </c>
      <c r="AN219" s="3">
        <f t="shared" si="156"/>
        <v>4026.64235857842</v>
      </c>
      <c r="AO219" s="3">
        <f t="shared" si="156"/>
        <v>4131.1729608416081</v>
      </c>
      <c r="AP219" s="3">
        <f t="shared" si="156"/>
        <v>4244.5336188462552</v>
      </c>
      <c r="AQ219" s="3">
        <f t="shared" si="156"/>
        <v>4366.0223911777703</v>
      </c>
      <c r="AR219" s="3">
        <f t="shared" si="156"/>
        <v>4493.7939294819098</v>
      </c>
      <c r="AS219" s="3">
        <f t="shared" si="156"/>
        <v>4627.5600710898443</v>
      </c>
      <c r="AT219" s="3">
        <f t="shared" si="156"/>
        <v>4767.0796659872267</v>
      </c>
      <c r="AU219" s="3">
        <f t="shared" si="156"/>
        <v>4912.1509793541336</v>
      </c>
      <c r="AV219" s="3">
        <f t="shared" si="156"/>
        <v>5062.6070867579801</v>
      </c>
      <c r="AW219" s="3">
        <f t="shared" si="156"/>
        <v>5218.308520692146</v>
      </c>
      <c r="AX219" s="3">
        <f t="shared" si="156"/>
        <v>5379.1387243456684</v>
      </c>
      <c r="AY219" s="3">
        <f t="shared" si="156"/>
        <v>5545.000146548221</v>
      </c>
      <c r="AZ219" s="3">
        <f t="shared" si="156"/>
        <v>5715.8110107928514</v>
      </c>
      <c r="BA219" s="3">
        <f t="shared" si="156"/>
        <v>5890.9351504736878</v>
      </c>
      <c r="BB219" s="3">
        <f t="shared" si="156"/>
        <v>6069.7772526385843</v>
      </c>
      <c r="BC219" s="3">
        <f t="shared" si="156"/>
        <v>6249.9449159366104</v>
      </c>
      <c r="BD219" s="3">
        <f t="shared" si="156"/>
        <v>6431.1297215177128</v>
      </c>
      <c r="BE219" s="3">
        <f t="shared" si="156"/>
        <v>6612.9565252080538</v>
      </c>
      <c r="BF219" s="3">
        <f t="shared" si="156"/>
        <v>6794.971186789453</v>
      </c>
      <c r="BG219" s="3">
        <f t="shared" si="156"/>
        <v>6976.3268746020121</v>
      </c>
      <c r="BH219" s="3">
        <f t="shared" si="156"/>
        <v>7157.2755726814185</v>
      </c>
      <c r="BI219" s="3">
        <f t="shared" si="156"/>
        <v>7337.9745548521241</v>
      </c>
      <c r="BJ219" s="3">
        <f t="shared" si="156"/>
        <v>7518.4241631193327</v>
      </c>
      <c r="BK219" s="3">
        <f t="shared" si="156"/>
        <v>7698.5971297893702</v>
      </c>
      <c r="BL219" s="3">
        <f t="shared" si="156"/>
        <v>7878.4994811660263</v>
      </c>
      <c r="BM219" s="3">
        <f t="shared" si="156"/>
        <v>8058.1487176779483</v>
      </c>
      <c r="BN219" s="3">
        <f t="shared" si="156"/>
        <v>8237.5567634137169</v>
      </c>
      <c r="BO219" s="3">
        <f t="shared" si="156"/>
        <v>8416.628531688797</v>
      </c>
      <c r="BP219" s="3">
        <f t="shared" si="156"/>
        <v>8595.2027103696764</v>
      </c>
      <c r="BQ219" s="3">
        <f t="shared" si="156"/>
        <v>8773.1392411170655</v>
      </c>
      <c r="BR219" s="3">
        <f t="shared" si="156"/>
        <v>8950.6514655570736</v>
      </c>
      <c r="BS219" s="3">
        <f t="shared" si="156"/>
        <v>9127.9148131577003</v>
      </c>
      <c r="BT219" s="3">
        <f>CB422</f>
        <v>9305.0101166003769</v>
      </c>
      <c r="BU219" s="3">
        <f>CC422</f>
        <v>9481.9252655980308</v>
      </c>
      <c r="BV219" s="3">
        <f>CD422</f>
        <v>9658.7761174721563</v>
      </c>
      <c r="BW219" s="3">
        <f>CE422</f>
        <v>9835.6881638627492</v>
      </c>
      <c r="BX219" s="3">
        <f>CF422</f>
        <v>10012.609166221941</v>
      </c>
      <c r="BY219" s="3">
        <f>CG422</f>
        <v>10189.538072535521</v>
      </c>
      <c r="BZ219" s="3">
        <f>CH422</f>
        <v>10366.43589886424</v>
      </c>
      <c r="CA219" s="3">
        <f>CI422</f>
        <v>10543.272154646351</v>
      </c>
      <c r="CB219" s="3">
        <f>CJ422</f>
        <v>10720.05438824685</v>
      </c>
      <c r="CC219" s="3">
        <f>CK422</f>
        <v>10896.74359236602</v>
      </c>
      <c r="CD219" s="3">
        <f>CL422</f>
        <v>11073.289418198219</v>
      </c>
    </row>
    <row r="220" spans="1:82" s="3" customFormat="1" x14ac:dyDescent="0.2">
      <c r="C220" s="3" t="s">
        <v>159</v>
      </c>
      <c r="F220" s="3" t="s">
        <v>6</v>
      </c>
      <c r="G220" s="3">
        <f>O423</f>
        <v>1676.3715</v>
      </c>
      <c r="H220" s="3">
        <f>P423</f>
        <v>1903.0869</v>
      </c>
      <c r="I220" s="3">
        <f>Q423</f>
        <v>2109.9933000000001</v>
      </c>
      <c r="J220" s="3">
        <f>R423</f>
        <v>2300.7456000000002</v>
      </c>
      <c r="K220" s="3">
        <f>S423</f>
        <v>2478.329099999999</v>
      </c>
      <c r="L220" s="3">
        <f>T423</f>
        <v>2645.2269000000001</v>
      </c>
      <c r="M220" s="3">
        <f>U423</f>
        <v>2803.2525000000001</v>
      </c>
      <c r="N220" s="3">
        <f>V423</f>
        <v>2954.1356999999998</v>
      </c>
      <c r="O220" s="3">
        <f>W423</f>
        <v>3086.9955</v>
      </c>
      <c r="P220" s="3">
        <f>X423</f>
        <v>3208.6116000000002</v>
      </c>
      <c r="Q220" s="3">
        <f>Y423</f>
        <v>3320.2395000000001</v>
      </c>
      <c r="R220" s="3">
        <f>Z423</f>
        <v>3422.7999</v>
      </c>
      <c r="S220" s="3">
        <f>AA423</f>
        <v>3517.0182</v>
      </c>
      <c r="T220" s="3">
        <f>AB423</f>
        <v>3618.1556999999998</v>
      </c>
      <c r="U220" s="3">
        <f>AC423</f>
        <v>3724.5663</v>
      </c>
      <c r="V220" s="3">
        <f>AD423</f>
        <v>3835.0223999999989</v>
      </c>
      <c r="W220" s="3">
        <f>AE423</f>
        <v>3948.6032999999989</v>
      </c>
      <c r="X220" s="3">
        <f>AF423</f>
        <v>3903.1821</v>
      </c>
      <c r="Y220" s="3">
        <f>AG423</f>
        <v>3885.1028999999999</v>
      </c>
      <c r="Z220" s="3">
        <f>AH423</f>
        <v>3886.3305</v>
      </c>
      <c r="AA220" s="3">
        <f>AI423</f>
        <v>3902.6799000000001</v>
      </c>
      <c r="AB220" s="3">
        <f>AJ423</f>
        <v>3936.7737000000002</v>
      </c>
      <c r="AC220" s="3">
        <f>AK423</f>
        <v>3984.2037</v>
      </c>
      <c r="AD220" s="3">
        <f>AL423</f>
        <v>4048.5131999999999</v>
      </c>
      <c r="AE220" s="3">
        <f>AM423</f>
        <v>4096.082699999999</v>
      </c>
      <c r="AF220" s="3">
        <f>AN423</f>
        <v>3992.5363206077659</v>
      </c>
      <c r="AG220" s="3">
        <f>AO423</f>
        <v>3888.8679825067038</v>
      </c>
      <c r="AH220" s="3">
        <f>AP423</f>
        <v>3811.8046935549301</v>
      </c>
      <c r="AI220" s="3">
        <f>AQ423</f>
        <v>3758.306640445524</v>
      </c>
      <c r="AJ220" s="3">
        <f>AR423</f>
        <v>3725.7270149629549</v>
      </c>
      <c r="AK220" s="3">
        <f>AS423</f>
        <v>3711.8794003845851</v>
      </c>
      <c r="AL220" s="3">
        <f>AT423</f>
        <v>3714.8305472798938</v>
      </c>
      <c r="AM220" s="3">
        <f>AU423</f>
        <v>3733.0050784754148</v>
      </c>
      <c r="AN220" s="3">
        <f>AV423</f>
        <v>3765.6391952676831</v>
      </c>
      <c r="AO220" s="3">
        <f>AW423</f>
        <v>3811.6573841372679</v>
      </c>
      <c r="AP220" s="3">
        <f>AX423</f>
        <v>3870.0647745378992</v>
      </c>
      <c r="AQ220" s="3">
        <f>AY423</f>
        <v>3939.5944973920641</v>
      </c>
      <c r="AR220" s="3">
        <f>AZ423</f>
        <v>4018.1238511070828</v>
      </c>
      <c r="AS220" s="3">
        <f>BA423</f>
        <v>4104.9168523656444</v>
      </c>
      <c r="AT220" s="3">
        <f>BB423</f>
        <v>4199.3484036148639</v>
      </c>
      <c r="AU220" s="3">
        <f>BC423</f>
        <v>4300.8869504730546</v>
      </c>
      <c r="AV220" s="3">
        <f>BD423</f>
        <v>4409.0813925172024</v>
      </c>
      <c r="AW220" s="3">
        <f>BE423</f>
        <v>4523.5471617087442</v>
      </c>
      <c r="AX220" s="3">
        <f>BF423</f>
        <v>4643.9558759830916</v>
      </c>
      <c r="AY220" s="3">
        <f>BG423</f>
        <v>4770.0265579152938</v>
      </c>
      <c r="AZ220" s="3">
        <f>BH423</f>
        <v>4901.5182797489697</v>
      </c>
      <c r="BA220" s="3">
        <f>BI423</f>
        <v>5037.7494833795126</v>
      </c>
      <c r="BB220" s="3">
        <f>BJ423</f>
        <v>5178.0923789187209</v>
      </c>
      <c r="BC220" s="3">
        <f>BK423</f>
        <v>5320.433314713262</v>
      </c>
      <c r="BD220" s="3">
        <f>BL423</f>
        <v>5464.4156010779361</v>
      </c>
      <c r="BE220" s="3">
        <f>BM423</f>
        <v>5609.6391472924088</v>
      </c>
      <c r="BF220" s="3">
        <f>BN423</f>
        <v>5755.6484836251684</v>
      </c>
      <c r="BG220" s="3">
        <f>BO423</f>
        <v>5901.6689994548369</v>
      </c>
      <c r="BH220" s="3">
        <f>BP423</f>
        <v>6047.852840273983</v>
      </c>
      <c r="BI220" s="3">
        <f>BQ423</f>
        <v>6194.2798629637418</v>
      </c>
      <c r="BJ220" s="3">
        <f>BR423</f>
        <v>6340.904699621482</v>
      </c>
      <c r="BK220" s="3">
        <f>BS423</f>
        <v>6487.6641136068083</v>
      </c>
      <c r="BL220" s="3">
        <f>BT423</f>
        <v>6634.5272572529984</v>
      </c>
      <c r="BM220" s="3">
        <f>BU423</f>
        <v>6781.4768530524252</v>
      </c>
      <c r="BN220" s="3">
        <f>BV423</f>
        <v>6928.4944425542371</v>
      </c>
      <c r="BO220" s="3">
        <f>BW423</f>
        <v>7075.4751443621526</v>
      </c>
      <c r="BP220" s="3">
        <f>BX423</f>
        <v>7222.2613887552961</v>
      </c>
      <c r="BQ220" s="3">
        <f>BY423</f>
        <v>7368.7157453281034</v>
      </c>
      <c r="BR220" s="3">
        <f>BZ423</f>
        <v>7514.9983741110063</v>
      </c>
      <c r="BS220" s="3">
        <f>CA423</f>
        <v>7661.2395840215722</v>
      </c>
      <c r="BT220" s="3">
        <f>CB423</f>
        <v>7807.4922252616816</v>
      </c>
      <c r="BU220" s="3">
        <f>CC423</f>
        <v>7953.7328887395497</v>
      </c>
      <c r="BV220" s="3">
        <f>CD423</f>
        <v>8100.046462688194</v>
      </c>
      <c r="BW220" s="3">
        <f>CE423</f>
        <v>8246.5270460046686</v>
      </c>
      <c r="BX220" s="3">
        <f>CF423</f>
        <v>8393.1211573370001</v>
      </c>
      <c r="BY220" s="3">
        <f>CG423</f>
        <v>8539.8190377386964</v>
      </c>
      <c r="BZ220" s="3">
        <f>CH423</f>
        <v>8686.5800370283505</v>
      </c>
      <c r="CA220" s="3">
        <f>CI423</f>
        <v>8833.371347920327</v>
      </c>
      <c r="CB220" s="3">
        <f>CJ423</f>
        <v>8980.1926356507702</v>
      </c>
      <c r="CC220" s="3">
        <f>CK423</f>
        <v>9127.0052363678715</v>
      </c>
      <c r="CD220" s="3">
        <f>CL423</f>
        <v>9273.7615425345648</v>
      </c>
    </row>
    <row r="221" spans="1:82" s="7" customFormat="1" x14ac:dyDescent="0.2">
      <c r="B221" s="7" t="s">
        <v>160</v>
      </c>
      <c r="G221" s="7">
        <f>SUM(G222:G224)</f>
        <v>276.8895</v>
      </c>
      <c r="H221" s="7">
        <f t="shared" ref="H221:BS221" si="157">SUM(H222:H224)</f>
        <v>276.8895</v>
      </c>
      <c r="I221" s="7">
        <f t="shared" si="157"/>
        <v>275.45069999999998</v>
      </c>
      <c r="J221" s="7">
        <f t="shared" si="157"/>
        <v>274.75920000000002</v>
      </c>
      <c r="K221" s="7">
        <f t="shared" si="157"/>
        <v>274.01190000000003</v>
      </c>
      <c r="L221" s="7">
        <f t="shared" si="157"/>
        <v>273.56549999999999</v>
      </c>
      <c r="M221" s="7">
        <f t="shared" si="157"/>
        <v>272.81819999999999</v>
      </c>
      <c r="N221" s="7">
        <f t="shared" si="157"/>
        <v>266.53890000000001</v>
      </c>
      <c r="O221" s="7">
        <f t="shared" si="157"/>
        <v>260.61630000000002</v>
      </c>
      <c r="P221" s="7">
        <f t="shared" si="157"/>
        <v>254.6379</v>
      </c>
      <c r="Q221" s="7">
        <f t="shared" si="157"/>
        <v>248.65950000000001</v>
      </c>
      <c r="R221" s="7">
        <f t="shared" si="157"/>
        <v>242.62530000000001</v>
      </c>
      <c r="S221" s="7">
        <f t="shared" si="157"/>
        <v>242.82060000000001</v>
      </c>
      <c r="T221" s="7">
        <f t="shared" si="157"/>
        <v>243.01590000000002</v>
      </c>
      <c r="U221" s="7">
        <f t="shared" si="157"/>
        <v>243.4563</v>
      </c>
      <c r="V221" s="7">
        <f t="shared" si="157"/>
        <v>243.67949999999999</v>
      </c>
      <c r="W221" s="7">
        <f t="shared" si="157"/>
        <v>244.1199</v>
      </c>
      <c r="X221" s="7">
        <f t="shared" si="157"/>
        <v>244.3152</v>
      </c>
      <c r="Y221" s="7">
        <f t="shared" si="157"/>
        <v>244.48259999999999</v>
      </c>
      <c r="Z221" s="7">
        <f t="shared" si="157"/>
        <v>244.95089999999999</v>
      </c>
      <c r="AA221" s="7">
        <f t="shared" si="157"/>
        <v>245.83769999999998</v>
      </c>
      <c r="AB221" s="7">
        <f t="shared" si="157"/>
        <v>246.9975</v>
      </c>
      <c r="AC221" s="7">
        <f t="shared" si="157"/>
        <v>247.91220000000001</v>
      </c>
      <c r="AD221" s="7">
        <f t="shared" si="157"/>
        <v>248.85480000000001</v>
      </c>
      <c r="AE221" s="7">
        <f t="shared" si="157"/>
        <v>238.6044</v>
      </c>
      <c r="AF221" s="7">
        <f t="shared" si="157"/>
        <v>191.87971532191929</v>
      </c>
      <c r="AG221" s="7">
        <f t="shared" si="157"/>
        <v>197.50514547835638</v>
      </c>
      <c r="AH221" s="7">
        <f t="shared" si="157"/>
        <v>203.4903172359578</v>
      </c>
      <c r="AI221" s="7">
        <f t="shared" si="157"/>
        <v>209.80220205172856</v>
      </c>
      <c r="AJ221" s="7">
        <f t="shared" si="157"/>
        <v>216.46012696011041</v>
      </c>
      <c r="AK221" s="7">
        <f t="shared" si="157"/>
        <v>223.40502582375689</v>
      </c>
      <c r="AL221" s="7">
        <f t="shared" si="157"/>
        <v>230.77348124236988</v>
      </c>
      <c r="AM221" s="7">
        <f t="shared" si="157"/>
        <v>238.70920187143633</v>
      </c>
      <c r="AN221" s="7">
        <f t="shared" si="157"/>
        <v>247.04208968795274</v>
      </c>
      <c r="AO221" s="7">
        <f t="shared" si="157"/>
        <v>255.7391960188354</v>
      </c>
      <c r="AP221" s="7">
        <f t="shared" si="157"/>
        <v>264.63261111760823</v>
      </c>
      <c r="AQ221" s="7">
        <f t="shared" si="157"/>
        <v>273.30593719668593</v>
      </c>
      <c r="AR221" s="7">
        <f t="shared" si="157"/>
        <v>282.18195035466408</v>
      </c>
      <c r="AS221" s="7">
        <f t="shared" si="157"/>
        <v>291.26196436853752</v>
      </c>
      <c r="AT221" s="7">
        <f t="shared" si="157"/>
        <v>300.54715793732123</v>
      </c>
      <c r="AU221" s="7">
        <f t="shared" si="157"/>
        <v>310.0391639776343</v>
      </c>
      <c r="AV221" s="7">
        <f t="shared" si="157"/>
        <v>319.73908005247768</v>
      </c>
      <c r="AW221" s="7">
        <f t="shared" si="157"/>
        <v>329.64753227732717</v>
      </c>
      <c r="AX221" s="7">
        <f t="shared" si="157"/>
        <v>339.76512063245349</v>
      </c>
      <c r="AY221" s="7">
        <f t="shared" si="157"/>
        <v>350.09228985428081</v>
      </c>
      <c r="AZ221" s="7">
        <f t="shared" si="157"/>
        <v>360.4419524824973</v>
      </c>
      <c r="BA221" s="7">
        <f t="shared" si="157"/>
        <v>370.79588799805362</v>
      </c>
      <c r="BB221" s="7">
        <f t="shared" si="157"/>
        <v>380.4860628807516</v>
      </c>
      <c r="BC221" s="7">
        <f t="shared" si="157"/>
        <v>390.1210487283401</v>
      </c>
      <c r="BD221" s="7">
        <f t="shared" si="157"/>
        <v>399.66352803407801</v>
      </c>
      <c r="BE221" s="7">
        <f t="shared" si="157"/>
        <v>409.06814911749655</v>
      </c>
      <c r="BF221" s="7">
        <f t="shared" si="157"/>
        <v>418.17765047303851</v>
      </c>
      <c r="BG221" s="7">
        <f t="shared" si="157"/>
        <v>427.32002671211876</v>
      </c>
      <c r="BH221" s="7">
        <f t="shared" si="157"/>
        <v>436.47800964416638</v>
      </c>
      <c r="BI221" s="7">
        <f t="shared" si="157"/>
        <v>445.60684235682379</v>
      </c>
      <c r="BJ221" s="7">
        <f t="shared" si="157"/>
        <v>454.69866241476382</v>
      </c>
      <c r="BK221" s="7">
        <f t="shared" si="157"/>
        <v>463.76565460504332</v>
      </c>
      <c r="BL221" s="7">
        <f t="shared" si="157"/>
        <v>472.81380798624826</v>
      </c>
      <c r="BM221" s="7">
        <f t="shared" si="157"/>
        <v>481.84375745476189</v>
      </c>
      <c r="BN221" s="7">
        <f t="shared" si="157"/>
        <v>490.81987783828833</v>
      </c>
      <c r="BO221" s="7">
        <f t="shared" si="157"/>
        <v>499.71495709761933</v>
      </c>
      <c r="BP221" s="7">
        <f t="shared" si="157"/>
        <v>508.52914320904199</v>
      </c>
      <c r="BQ221" s="7">
        <f t="shared" si="157"/>
        <v>517.37311371916144</v>
      </c>
      <c r="BR221" s="7">
        <f t="shared" si="157"/>
        <v>526.24596043495603</v>
      </c>
      <c r="BS221" s="7">
        <f t="shared" si="157"/>
        <v>535.12450294799794</v>
      </c>
      <c r="BT221" s="7">
        <f t="shared" ref="BT221:CD221" si="158">SUM(BT222:BT224)</f>
        <v>543.98078634024296</v>
      </c>
      <c r="BU221" s="7">
        <f t="shared" si="158"/>
        <v>552.85984162438501</v>
      </c>
      <c r="BV221" s="7">
        <f t="shared" si="158"/>
        <v>561.77167285926771</v>
      </c>
      <c r="BW221" s="7">
        <f t="shared" si="158"/>
        <v>570.66068711335072</v>
      </c>
      <c r="BX221" s="7">
        <f t="shared" si="158"/>
        <v>579.54223485516377</v>
      </c>
      <c r="BY221" s="7">
        <f t="shared" si="158"/>
        <v>588.40302136281184</v>
      </c>
      <c r="BZ221" s="7">
        <f t="shared" si="158"/>
        <v>597.24417727497814</v>
      </c>
      <c r="CA221" s="7">
        <f t="shared" si="158"/>
        <v>606.07743399879132</v>
      </c>
      <c r="CB221" s="7">
        <f t="shared" si="158"/>
        <v>614.88690016824137</v>
      </c>
      <c r="CC221" s="7">
        <f t="shared" si="158"/>
        <v>623.66651800152533</v>
      </c>
      <c r="CD221" s="7">
        <f t="shared" si="158"/>
        <v>632.44786752740629</v>
      </c>
    </row>
    <row r="222" spans="1:82" s="3" customFormat="1" x14ac:dyDescent="0.2">
      <c r="C222" s="3" t="s">
        <v>161</v>
      </c>
      <c r="F222" s="3" t="s">
        <v>6</v>
      </c>
      <c r="G222" s="3">
        <f>O424</f>
        <v>0</v>
      </c>
      <c r="H222" s="3">
        <f t="shared" ref="H222:BS224" si="159">P424</f>
        <v>0</v>
      </c>
      <c r="I222" s="3">
        <f t="shared" si="159"/>
        <v>0</v>
      </c>
      <c r="J222" s="3">
        <f t="shared" si="159"/>
        <v>0</v>
      </c>
      <c r="K222" s="3">
        <f t="shared" si="159"/>
        <v>0</v>
      </c>
      <c r="L222" s="3">
        <f t="shared" si="159"/>
        <v>0</v>
      </c>
      <c r="M222" s="3">
        <f t="shared" si="159"/>
        <v>0</v>
      </c>
      <c r="N222" s="3">
        <f t="shared" si="159"/>
        <v>0</v>
      </c>
      <c r="O222" s="3">
        <f t="shared" si="159"/>
        <v>0</v>
      </c>
      <c r="P222" s="3">
        <f t="shared" si="159"/>
        <v>0</v>
      </c>
      <c r="Q222" s="3">
        <f t="shared" si="159"/>
        <v>0</v>
      </c>
      <c r="R222" s="3">
        <f t="shared" si="159"/>
        <v>0</v>
      </c>
      <c r="S222" s="3">
        <f t="shared" si="159"/>
        <v>0</v>
      </c>
      <c r="T222" s="3">
        <f t="shared" si="159"/>
        <v>0</v>
      </c>
      <c r="U222" s="3">
        <f t="shared" si="159"/>
        <v>0</v>
      </c>
      <c r="V222" s="3">
        <f t="shared" si="159"/>
        <v>0</v>
      </c>
      <c r="W222" s="3">
        <f t="shared" si="159"/>
        <v>0</v>
      </c>
      <c r="X222" s="3">
        <f t="shared" si="159"/>
        <v>0</v>
      </c>
      <c r="Y222" s="3">
        <f t="shared" si="159"/>
        <v>0</v>
      </c>
      <c r="Z222" s="3">
        <f t="shared" si="159"/>
        <v>0</v>
      </c>
      <c r="AA222" s="3">
        <f t="shared" si="159"/>
        <v>0</v>
      </c>
      <c r="AB222" s="3">
        <f t="shared" si="159"/>
        <v>0</v>
      </c>
      <c r="AC222" s="3">
        <f t="shared" si="159"/>
        <v>0</v>
      </c>
      <c r="AD222" s="3">
        <f t="shared" si="159"/>
        <v>0</v>
      </c>
      <c r="AE222" s="3">
        <f t="shared" si="159"/>
        <v>19.502099999999999</v>
      </c>
      <c r="AF222" s="3">
        <f t="shared" si="159"/>
        <v>2.3734240656736918</v>
      </c>
      <c r="AG222" s="3">
        <f t="shared" si="159"/>
        <v>2.4430068836941752</v>
      </c>
      <c r="AH222" s="3">
        <f t="shared" si="159"/>
        <v>2.5170394653189012</v>
      </c>
      <c r="AI222" s="3">
        <f t="shared" si="159"/>
        <v>2.5951132695058399</v>
      </c>
      <c r="AJ222" s="3">
        <f t="shared" si="159"/>
        <v>2.6774673587774331</v>
      </c>
      <c r="AK222" s="3">
        <f t="shared" si="159"/>
        <v>2.7633711244202801</v>
      </c>
      <c r="AL222" s="3">
        <f t="shared" si="159"/>
        <v>2.8545140020716802</v>
      </c>
      <c r="AM222" s="3">
        <f t="shared" si="159"/>
        <v>2.9526735719246759</v>
      </c>
      <c r="AN222" s="3">
        <f t="shared" si="159"/>
        <v>3.055745834915546</v>
      </c>
      <c r="AO222" s="3">
        <f t="shared" si="159"/>
        <v>3.1633232379402001</v>
      </c>
      <c r="AP222" s="3">
        <f t="shared" si="159"/>
        <v>3.2733288494558841</v>
      </c>
      <c r="AQ222" s="3">
        <f t="shared" si="159"/>
        <v>3.380612106630752</v>
      </c>
      <c r="AR222" s="3">
        <f t="shared" si="159"/>
        <v>3.4904024677485732</v>
      </c>
      <c r="AS222" s="3">
        <f t="shared" si="159"/>
        <v>3.6027161833545289</v>
      </c>
      <c r="AT222" s="3">
        <f t="shared" si="159"/>
        <v>3.7175678331686659</v>
      </c>
      <c r="AU222" s="3">
        <f t="shared" si="159"/>
        <v>3.8349776152803319</v>
      </c>
      <c r="AV222" s="3">
        <f t="shared" si="159"/>
        <v>3.9549591058116089</v>
      </c>
      <c r="AW222" s="3">
        <f t="shared" si="159"/>
        <v>4.077520049393236</v>
      </c>
      <c r="AX222" s="3">
        <f t="shared" si="159"/>
        <v>4.2026678673808</v>
      </c>
      <c r="AY222" s="3">
        <f t="shared" si="159"/>
        <v>4.3304080608673994</v>
      </c>
      <c r="AZ222" s="3">
        <f t="shared" si="159"/>
        <v>4.4584264827844997</v>
      </c>
      <c r="BA222" s="3">
        <f t="shared" si="159"/>
        <v>4.5864977574674004</v>
      </c>
      <c r="BB222" s="3">
        <f t="shared" si="159"/>
        <v>4.7063587559507001</v>
      </c>
      <c r="BC222" s="3">
        <f t="shared" si="159"/>
        <v>4.8255371028892</v>
      </c>
      <c r="BD222" s="3">
        <f t="shared" si="159"/>
        <v>4.9435712056209002</v>
      </c>
      <c r="BE222" s="3">
        <f t="shared" si="159"/>
        <v>5.0599000941147008</v>
      </c>
      <c r="BF222" s="3">
        <f t="shared" si="159"/>
        <v>5.1725785484645002</v>
      </c>
      <c r="BG222" s="3">
        <f t="shared" si="159"/>
        <v>5.2856636431909996</v>
      </c>
      <c r="BH222" s="3">
        <f t="shared" si="159"/>
        <v>5.3989417822975003</v>
      </c>
      <c r="BI222" s="3">
        <f t="shared" si="159"/>
        <v>5.5118593526378001</v>
      </c>
      <c r="BJ222" s="3">
        <f t="shared" si="159"/>
        <v>5.6243191011324001</v>
      </c>
      <c r="BK222" s="3">
        <f t="shared" si="159"/>
        <v>5.7364717454677994</v>
      </c>
      <c r="BL222" s="3">
        <f t="shared" si="159"/>
        <v>5.8483913663031997</v>
      </c>
      <c r="BM222" s="3">
        <f t="shared" si="159"/>
        <v>5.9600858168835993</v>
      </c>
      <c r="BN222" s="3">
        <f t="shared" si="159"/>
        <v>6.0711144375948001</v>
      </c>
      <c r="BO222" s="3">
        <f t="shared" si="159"/>
        <v>6.1811406336663994</v>
      </c>
      <c r="BP222" s="3">
        <f t="shared" si="159"/>
        <v>6.290166235466299</v>
      </c>
      <c r="BQ222" s="3">
        <f t="shared" si="159"/>
        <v>6.3995602504076006</v>
      </c>
      <c r="BR222" s="3">
        <f t="shared" si="159"/>
        <v>6.5093114447481</v>
      </c>
      <c r="BS222" s="3">
        <f t="shared" si="159"/>
        <v>6.6191330923005998</v>
      </c>
      <c r="BT222" s="3">
        <f t="shared" ref="BT222:CD223" si="160">CB424</f>
        <v>6.7286794093792004</v>
      </c>
      <c r="BU222" s="3">
        <f t="shared" si="160"/>
        <v>6.8385073995679999</v>
      </c>
      <c r="BV222" s="3">
        <f t="shared" si="160"/>
        <v>6.9487408064010001</v>
      </c>
      <c r="BW222" s="3">
        <f t="shared" si="160"/>
        <v>7.0586919824041008</v>
      </c>
      <c r="BX222" s="3">
        <f t="shared" si="160"/>
        <v>7.1685508026315006</v>
      </c>
      <c r="BY222" s="3">
        <f t="shared" si="160"/>
        <v>7.2781528202433003</v>
      </c>
      <c r="BZ222" s="3">
        <f t="shared" si="160"/>
        <v>7.3875120204854996</v>
      </c>
      <c r="CA222" s="3">
        <f t="shared" si="160"/>
        <v>7.4967735130379003</v>
      </c>
      <c r="CB222" s="3">
        <f t="shared" si="160"/>
        <v>7.6057407323045014</v>
      </c>
      <c r="CC222" s="3">
        <f t="shared" si="160"/>
        <v>7.7143387475661003</v>
      </c>
      <c r="CD222" s="3">
        <f t="shared" si="160"/>
        <v>7.8229581827098</v>
      </c>
    </row>
    <row r="223" spans="1:82" s="3" customFormat="1" x14ac:dyDescent="0.2">
      <c r="C223" s="3" t="s">
        <v>162</v>
      </c>
      <c r="F223" s="3" t="s">
        <v>6</v>
      </c>
      <c r="G223" s="3">
        <f>O425</f>
        <v>174.5145</v>
      </c>
      <c r="H223" s="3">
        <f t="shared" si="159"/>
        <v>174.5145</v>
      </c>
      <c r="I223" s="3">
        <f t="shared" si="159"/>
        <v>173.6217</v>
      </c>
      <c r="J223" s="3">
        <f t="shared" si="159"/>
        <v>173.20320000000001</v>
      </c>
      <c r="K223" s="3">
        <f t="shared" si="159"/>
        <v>172.72890000000001</v>
      </c>
      <c r="L223" s="3">
        <f t="shared" si="159"/>
        <v>172.2825</v>
      </c>
      <c r="M223" s="3">
        <f t="shared" si="159"/>
        <v>171.8082</v>
      </c>
      <c r="N223" s="3">
        <f t="shared" si="159"/>
        <v>167.98589999999999</v>
      </c>
      <c r="O223" s="3">
        <f t="shared" si="159"/>
        <v>164.2473</v>
      </c>
      <c r="P223" s="3">
        <f t="shared" si="159"/>
        <v>160.4529</v>
      </c>
      <c r="Q223" s="3">
        <f t="shared" si="159"/>
        <v>156.6585</v>
      </c>
      <c r="R223" s="3">
        <f t="shared" si="159"/>
        <v>152.8083</v>
      </c>
      <c r="S223" s="3">
        <f t="shared" si="159"/>
        <v>153.00360000000001</v>
      </c>
      <c r="T223" s="3">
        <f t="shared" si="159"/>
        <v>153.19890000000001</v>
      </c>
      <c r="U223" s="3">
        <f t="shared" si="159"/>
        <v>153.3663</v>
      </c>
      <c r="V223" s="3">
        <f t="shared" si="159"/>
        <v>153.58949999999999</v>
      </c>
      <c r="W223" s="3">
        <f t="shared" si="159"/>
        <v>153.7569</v>
      </c>
      <c r="X223" s="3">
        <f t="shared" si="159"/>
        <v>153.9522</v>
      </c>
      <c r="Y223" s="3">
        <f t="shared" si="159"/>
        <v>154.11959999999999</v>
      </c>
      <c r="Z223" s="3">
        <f t="shared" si="159"/>
        <v>154.31489999999999</v>
      </c>
      <c r="AA223" s="3">
        <f t="shared" si="159"/>
        <v>154.92869999999999</v>
      </c>
      <c r="AB223" s="3">
        <f t="shared" si="159"/>
        <v>155.54249999999999</v>
      </c>
      <c r="AC223" s="3">
        <f t="shared" si="159"/>
        <v>156.1842</v>
      </c>
      <c r="AD223" s="3">
        <f t="shared" si="159"/>
        <v>156.85380000000001</v>
      </c>
      <c r="AE223" s="3">
        <f t="shared" si="159"/>
        <v>138.0213</v>
      </c>
      <c r="AF223" s="3">
        <f t="shared" si="159"/>
        <v>105.7851377174905</v>
      </c>
      <c r="AG223" s="3">
        <f t="shared" si="159"/>
        <v>108.8864916194411</v>
      </c>
      <c r="AH223" s="3">
        <f t="shared" si="159"/>
        <v>112.1861745357851</v>
      </c>
      <c r="AI223" s="3">
        <f t="shared" si="159"/>
        <v>115.66597751221251</v>
      </c>
      <c r="AJ223" s="3">
        <f t="shared" si="159"/>
        <v>119.33655572921791</v>
      </c>
      <c r="AK223" s="3">
        <f t="shared" si="159"/>
        <v>123.1653454555959</v>
      </c>
      <c r="AL223" s="3">
        <f t="shared" si="159"/>
        <v>127.2276459958873</v>
      </c>
      <c r="AM223" s="3">
        <f t="shared" si="159"/>
        <v>131.60268531791749</v>
      </c>
      <c r="AN223" s="3">
        <f t="shared" si="159"/>
        <v>136.19668674102601</v>
      </c>
      <c r="AO223" s="3">
        <f t="shared" si="159"/>
        <v>140.9914853439557</v>
      </c>
      <c r="AP223" s="3">
        <f t="shared" si="159"/>
        <v>145.89451086400129</v>
      </c>
      <c r="AQ223" s="3">
        <f t="shared" si="159"/>
        <v>150.67619918475299</v>
      </c>
      <c r="AR223" s="3">
        <f t="shared" si="159"/>
        <v>155.56963084699879</v>
      </c>
      <c r="AS223" s="3">
        <f t="shared" si="159"/>
        <v>160.57553014866701</v>
      </c>
      <c r="AT223" s="3">
        <f t="shared" si="159"/>
        <v>165.69454691789349</v>
      </c>
      <c r="AU223" s="3">
        <f t="shared" si="159"/>
        <v>170.92758139735989</v>
      </c>
      <c r="AV223" s="3">
        <f t="shared" si="159"/>
        <v>176.27523868413419</v>
      </c>
      <c r="AW223" s="3">
        <f t="shared" si="159"/>
        <v>181.73786396171701</v>
      </c>
      <c r="AX223" s="3">
        <f t="shared" si="159"/>
        <v>187.31578800501839</v>
      </c>
      <c r="AY223" s="3">
        <f t="shared" si="159"/>
        <v>193.00925600151771</v>
      </c>
      <c r="AZ223" s="3">
        <f t="shared" si="159"/>
        <v>198.71512482990681</v>
      </c>
      <c r="BA223" s="3">
        <f t="shared" si="159"/>
        <v>204.4233493422972</v>
      </c>
      <c r="BB223" s="3">
        <f t="shared" si="159"/>
        <v>209.76563621588869</v>
      </c>
      <c r="BC223" s="3">
        <f t="shared" si="159"/>
        <v>215.07749684213209</v>
      </c>
      <c r="BD223" s="3">
        <f t="shared" si="159"/>
        <v>220.33835771963629</v>
      </c>
      <c r="BE223" s="3">
        <f t="shared" si="159"/>
        <v>225.5232160295474</v>
      </c>
      <c r="BF223" s="3">
        <f t="shared" si="159"/>
        <v>230.54537198708039</v>
      </c>
      <c r="BG223" s="3">
        <f t="shared" si="159"/>
        <v>235.58565218498239</v>
      </c>
      <c r="BH223" s="3">
        <f t="shared" si="159"/>
        <v>240.63453650324271</v>
      </c>
      <c r="BI223" s="3">
        <f t="shared" si="159"/>
        <v>245.6673500244022</v>
      </c>
      <c r="BJ223" s="3">
        <f t="shared" si="159"/>
        <v>250.6797581120332</v>
      </c>
      <c r="BK223" s="3">
        <f t="shared" si="159"/>
        <v>255.67847835675991</v>
      </c>
      <c r="BL223" s="3">
        <f t="shared" si="159"/>
        <v>260.66681258434608</v>
      </c>
      <c r="BM223" s="3">
        <f t="shared" si="159"/>
        <v>265.64511081928993</v>
      </c>
      <c r="BN223" s="3">
        <f t="shared" si="159"/>
        <v>270.59373256050441</v>
      </c>
      <c r="BO223" s="3">
        <f t="shared" si="159"/>
        <v>275.49767554831652</v>
      </c>
      <c r="BP223" s="3">
        <f t="shared" si="159"/>
        <v>280.35702136348021</v>
      </c>
      <c r="BQ223" s="3">
        <f t="shared" si="159"/>
        <v>285.2327876049136</v>
      </c>
      <c r="BR223" s="3">
        <f t="shared" si="159"/>
        <v>290.12447357704349</v>
      </c>
      <c r="BS223" s="3">
        <f t="shared" si="159"/>
        <v>295.01929969713109</v>
      </c>
      <c r="BT223" s="3">
        <f t="shared" si="160"/>
        <v>299.90185414923673</v>
      </c>
      <c r="BU223" s="3">
        <f t="shared" si="160"/>
        <v>304.79696296497718</v>
      </c>
      <c r="BV223" s="3">
        <f t="shared" si="160"/>
        <v>309.71014147848302</v>
      </c>
      <c r="BW223" s="3">
        <f t="shared" si="160"/>
        <v>314.61074077040541</v>
      </c>
      <c r="BX223" s="3">
        <f t="shared" si="160"/>
        <v>319.50722370209962</v>
      </c>
      <c r="BY223" s="3">
        <f t="shared" si="160"/>
        <v>324.39226076515888</v>
      </c>
      <c r="BZ223" s="3">
        <f t="shared" si="160"/>
        <v>329.26647529159379</v>
      </c>
      <c r="CA223" s="3">
        <f t="shared" si="160"/>
        <v>334.13633491930278</v>
      </c>
      <c r="CB223" s="3">
        <f t="shared" si="160"/>
        <v>338.99307858493393</v>
      </c>
      <c r="CC223" s="3">
        <f t="shared" si="160"/>
        <v>343.83336657495272</v>
      </c>
      <c r="CD223" s="3">
        <f t="shared" si="160"/>
        <v>348.67460926380198</v>
      </c>
    </row>
    <row r="224" spans="1:82" s="3" customFormat="1" x14ac:dyDescent="0.2">
      <c r="C224" s="3" t="s">
        <v>162</v>
      </c>
      <c r="F224" s="3" t="s">
        <v>8</v>
      </c>
      <c r="G224" s="3">
        <f>O426</f>
        <v>102.375</v>
      </c>
      <c r="H224" s="3">
        <f t="shared" si="159"/>
        <v>102.375</v>
      </c>
      <c r="I224" s="3">
        <f t="shared" si="159"/>
        <v>101.82899999999999</v>
      </c>
      <c r="J224" s="3">
        <f t="shared" si="159"/>
        <v>101.556</v>
      </c>
      <c r="K224" s="3">
        <f t="shared" si="159"/>
        <v>101.283</v>
      </c>
      <c r="L224" s="3">
        <f t="shared" si="159"/>
        <v>101.283</v>
      </c>
      <c r="M224" s="3">
        <f t="shared" si="159"/>
        <v>101.01</v>
      </c>
      <c r="N224" s="3">
        <f t="shared" si="159"/>
        <v>98.552999999999997</v>
      </c>
      <c r="O224" s="3">
        <f t="shared" si="159"/>
        <v>96.369</v>
      </c>
      <c r="P224" s="3">
        <f t="shared" si="159"/>
        <v>94.184999999999988</v>
      </c>
      <c r="Q224" s="3">
        <f t="shared" si="159"/>
        <v>92.001000000000005</v>
      </c>
      <c r="R224" s="3">
        <f t="shared" si="159"/>
        <v>89.817000000000007</v>
      </c>
      <c r="S224" s="3">
        <f t="shared" si="159"/>
        <v>89.817000000000007</v>
      </c>
      <c r="T224" s="3">
        <f t="shared" si="159"/>
        <v>89.817000000000007</v>
      </c>
      <c r="U224" s="3">
        <f t="shared" si="159"/>
        <v>90.09</v>
      </c>
      <c r="V224" s="3">
        <f t="shared" si="159"/>
        <v>90.09</v>
      </c>
      <c r="W224" s="3">
        <f t="shared" si="159"/>
        <v>90.363</v>
      </c>
      <c r="X224" s="3">
        <f t="shared" si="159"/>
        <v>90.363</v>
      </c>
      <c r="Y224" s="3">
        <f t="shared" si="159"/>
        <v>90.363</v>
      </c>
      <c r="Z224" s="3">
        <f t="shared" si="159"/>
        <v>90.63600000000001</v>
      </c>
      <c r="AA224" s="3">
        <f t="shared" si="159"/>
        <v>90.909000000000006</v>
      </c>
      <c r="AB224" s="3">
        <f t="shared" si="159"/>
        <v>91.455000000000013</v>
      </c>
      <c r="AC224" s="3">
        <f t="shared" si="159"/>
        <v>91.728000000000009</v>
      </c>
      <c r="AD224" s="3">
        <f t="shared" si="159"/>
        <v>92.001000000000005</v>
      </c>
      <c r="AE224" s="3">
        <f t="shared" si="159"/>
        <v>81.081000000000003</v>
      </c>
      <c r="AF224" s="3">
        <f t="shared" si="159"/>
        <v>83.721153538755104</v>
      </c>
      <c r="AG224" s="3">
        <f t="shared" si="159"/>
        <v>86.175646975221099</v>
      </c>
      <c r="AH224" s="3">
        <f t="shared" si="159"/>
        <v>88.787103234853802</v>
      </c>
      <c r="AI224" s="3">
        <f t="shared" si="159"/>
        <v>91.541111270010219</v>
      </c>
      <c r="AJ224" s="3">
        <f t="shared" si="159"/>
        <v>94.446103872115089</v>
      </c>
      <c r="AK224" s="3">
        <f t="shared" si="159"/>
        <v>97.476309243740701</v>
      </c>
      <c r="AL224" s="3">
        <f t="shared" si="159"/>
        <v>100.6913212444109</v>
      </c>
      <c r="AM224" s="3">
        <f t="shared" si="159"/>
        <v>104.1538429815942</v>
      </c>
      <c r="AN224" s="3">
        <f t="shared" si="159"/>
        <v>107.7896571120112</v>
      </c>
      <c r="AO224" s="3">
        <f t="shared" si="159"/>
        <v>111.58438743693949</v>
      </c>
      <c r="AP224" s="3">
        <f t="shared" si="159"/>
        <v>115.46477140415109</v>
      </c>
      <c r="AQ224" s="3">
        <f t="shared" si="159"/>
        <v>119.24912590530219</v>
      </c>
      <c r="AR224" s="3">
        <f t="shared" si="159"/>
        <v>123.1219170399167</v>
      </c>
      <c r="AS224" s="3">
        <f t="shared" si="159"/>
        <v>127.083718036516</v>
      </c>
      <c r="AT224" s="3">
        <f t="shared" si="159"/>
        <v>131.13504318625911</v>
      </c>
      <c r="AU224" s="3">
        <f t="shared" si="159"/>
        <v>135.27660496499411</v>
      </c>
      <c r="AV224" s="3">
        <f t="shared" si="159"/>
        <v>139.5088822625319</v>
      </c>
      <c r="AW224" s="3">
        <f t="shared" si="159"/>
        <v>143.8321482662169</v>
      </c>
      <c r="AX224" s="3">
        <f t="shared" si="159"/>
        <v>148.2466647600543</v>
      </c>
      <c r="AY224" s="3">
        <f t="shared" si="159"/>
        <v>152.7526257918957</v>
      </c>
      <c r="AZ224" s="3">
        <f t="shared" si="159"/>
        <v>157.268401169806</v>
      </c>
      <c r="BA224" s="3">
        <f t="shared" si="159"/>
        <v>161.786040898289</v>
      </c>
      <c r="BB224" s="3">
        <f t="shared" si="159"/>
        <v>166.01406790891221</v>
      </c>
      <c r="BC224" s="3">
        <f t="shared" si="159"/>
        <v>170.21801478331881</v>
      </c>
      <c r="BD224" s="3">
        <f t="shared" si="159"/>
        <v>174.38159910882081</v>
      </c>
      <c r="BE224" s="3">
        <f t="shared" si="159"/>
        <v>178.48503299383441</v>
      </c>
      <c r="BF224" s="3">
        <f t="shared" si="159"/>
        <v>182.45969993749361</v>
      </c>
      <c r="BG224" s="3">
        <f t="shared" si="159"/>
        <v>186.44871088394541</v>
      </c>
      <c r="BH224" s="3">
        <f t="shared" si="159"/>
        <v>190.44453135862619</v>
      </c>
      <c r="BI224" s="3">
        <f t="shared" si="159"/>
        <v>194.42763297978379</v>
      </c>
      <c r="BJ224" s="3">
        <f t="shared" si="159"/>
        <v>198.3945852015982</v>
      </c>
      <c r="BK224" s="3">
        <f t="shared" si="159"/>
        <v>202.3507045028156</v>
      </c>
      <c r="BL224" s="3">
        <f t="shared" si="159"/>
        <v>206.298604035599</v>
      </c>
      <c r="BM224" s="3">
        <f t="shared" si="159"/>
        <v>210.23856081858841</v>
      </c>
      <c r="BN224" s="3">
        <f t="shared" si="159"/>
        <v>214.15503084018911</v>
      </c>
      <c r="BO224" s="3">
        <f t="shared" si="159"/>
        <v>218.03614091563639</v>
      </c>
      <c r="BP224" s="3">
        <f t="shared" si="159"/>
        <v>221.8819556100955</v>
      </c>
      <c r="BQ224" s="3">
        <f t="shared" si="159"/>
        <v>225.74076586384021</v>
      </c>
      <c r="BR224" s="3">
        <f t="shared" si="159"/>
        <v>229.61217541316449</v>
      </c>
      <c r="BS224" s="3">
        <f>CA426</f>
        <v>233.48607015856621</v>
      </c>
      <c r="BT224" s="3">
        <f>CB426</f>
        <v>237.35025278162701</v>
      </c>
      <c r="BU224" s="3">
        <f>CC426</f>
        <v>241.22437125983981</v>
      </c>
      <c r="BV224" s="3">
        <f>CD426</f>
        <v>245.11279057438369</v>
      </c>
      <c r="BW224" s="3">
        <f>CE426</f>
        <v>248.99125436054121</v>
      </c>
      <c r="BX224" s="3">
        <f>CF426</f>
        <v>252.8664603504327</v>
      </c>
      <c r="BY224" s="3">
        <f>CG426</f>
        <v>256.73260777740961</v>
      </c>
      <c r="BZ224" s="3">
        <f>CH426</f>
        <v>260.59018996289888</v>
      </c>
      <c r="CA224" s="3">
        <f>CI426</f>
        <v>264.44432556645069</v>
      </c>
      <c r="CB224" s="3">
        <f>CJ426</f>
        <v>268.28808085100292</v>
      </c>
      <c r="CC224" s="3">
        <f>CK426</f>
        <v>272.11881267900651</v>
      </c>
      <c r="CD224" s="3">
        <f>CL426</f>
        <v>275.95030008089458</v>
      </c>
    </row>
    <row r="225" spans="1:82" s="7" customFormat="1" x14ac:dyDescent="0.2">
      <c r="B225" s="7" t="s">
        <v>163</v>
      </c>
      <c r="G225" s="7">
        <f>SUM(G226:G228)</f>
        <v>7.4336999999999982</v>
      </c>
      <c r="H225" s="7">
        <f t="shared" ref="H225:BS225" si="161">SUM(H226:H228)</f>
        <v>7.4336999999999982</v>
      </c>
      <c r="I225" s="7">
        <f t="shared" si="161"/>
        <v>7.4556999999999984</v>
      </c>
      <c r="J225" s="7">
        <f t="shared" si="161"/>
        <v>7.4586999999999986</v>
      </c>
      <c r="K225" s="7">
        <f t="shared" si="161"/>
        <v>7.4626999999999981</v>
      </c>
      <c r="L225" s="7">
        <f t="shared" si="161"/>
        <v>7.4976000000000003</v>
      </c>
      <c r="M225" s="7">
        <f t="shared" si="161"/>
        <v>7.4996</v>
      </c>
      <c r="N225" s="7">
        <f t="shared" si="161"/>
        <v>8.0456000000000003</v>
      </c>
      <c r="O225" s="7">
        <f t="shared" si="161"/>
        <v>8.595600000000001</v>
      </c>
      <c r="P225" s="7">
        <f t="shared" si="161"/>
        <v>9.1275999999999993</v>
      </c>
      <c r="Q225" s="7">
        <f t="shared" si="161"/>
        <v>9.9725000000000001</v>
      </c>
      <c r="R225" s="7">
        <f t="shared" si="161"/>
        <v>10.663499999999999</v>
      </c>
      <c r="S225" s="7">
        <f t="shared" si="161"/>
        <v>10.733499999999999</v>
      </c>
      <c r="T225" s="7">
        <f t="shared" si="161"/>
        <v>10.755499999999998</v>
      </c>
      <c r="U225" s="7">
        <f t="shared" si="161"/>
        <v>10.811499999999999</v>
      </c>
      <c r="V225" s="7">
        <f t="shared" si="161"/>
        <v>10.865500000000001</v>
      </c>
      <c r="W225" s="7">
        <f t="shared" si="161"/>
        <v>10.9215</v>
      </c>
      <c r="X225" s="7">
        <f t="shared" si="161"/>
        <v>10.9755</v>
      </c>
      <c r="Y225" s="7">
        <f t="shared" si="161"/>
        <v>7.0045000000000002</v>
      </c>
      <c r="Z225" s="7">
        <f t="shared" si="161"/>
        <v>11.0456</v>
      </c>
      <c r="AA225" s="7">
        <f t="shared" si="161"/>
        <v>11.067600000000001</v>
      </c>
      <c r="AB225" s="7">
        <f t="shared" si="161"/>
        <v>11.073600000000001</v>
      </c>
      <c r="AC225" s="7">
        <f t="shared" si="161"/>
        <v>10.9536</v>
      </c>
      <c r="AD225" s="7">
        <f t="shared" si="161"/>
        <v>11.496599999999999</v>
      </c>
      <c r="AE225" s="7">
        <f t="shared" si="161"/>
        <v>11.092600000000001</v>
      </c>
      <c r="AF225" s="7">
        <f t="shared" si="161"/>
        <v>8.8046139732892321</v>
      </c>
      <c r="AG225" s="7">
        <f t="shared" si="161"/>
        <v>9.0976314523307256</v>
      </c>
      <c r="AH225" s="7">
        <f t="shared" si="161"/>
        <v>9.4658074759832651</v>
      </c>
      <c r="AI225" s="7">
        <f t="shared" si="161"/>
        <v>9.8989850898259704</v>
      </c>
      <c r="AJ225" s="7">
        <f t="shared" si="161"/>
        <v>10.405222316179026</v>
      </c>
      <c r="AK225" s="7">
        <f t="shared" si="161"/>
        <v>10.975544732457754</v>
      </c>
      <c r="AL225" s="7">
        <f t="shared" si="161"/>
        <v>11.637127360915269</v>
      </c>
      <c r="AM225" s="7">
        <f t="shared" si="161"/>
        <v>12.482745148284486</v>
      </c>
      <c r="AN225" s="7">
        <f t="shared" si="161"/>
        <v>13.466118108195104</v>
      </c>
      <c r="AO225" s="7">
        <f t="shared" si="161"/>
        <v>14.58870612201842</v>
      </c>
      <c r="AP225" s="7">
        <f t="shared" si="161"/>
        <v>15.792555947526306</v>
      </c>
      <c r="AQ225" s="7">
        <f t="shared" si="161"/>
        <v>16.890747934709683</v>
      </c>
      <c r="AR225" s="7">
        <f t="shared" si="161"/>
        <v>18.065282180835862</v>
      </c>
      <c r="AS225" s="7">
        <f t="shared" si="161"/>
        <v>19.321199030956794</v>
      </c>
      <c r="AT225" s="7">
        <f t="shared" si="161"/>
        <v>20.663835398952468</v>
      </c>
      <c r="AU225" s="7">
        <f t="shared" si="161"/>
        <v>22.099168254140555</v>
      </c>
      <c r="AV225" s="7">
        <f t="shared" si="161"/>
        <v>23.633248256528322</v>
      </c>
      <c r="AW225" s="7">
        <f t="shared" si="161"/>
        <v>25.27247679861372</v>
      </c>
      <c r="AX225" s="7">
        <f t="shared" si="161"/>
        <v>27.023622757523629</v>
      </c>
      <c r="AY225" s="7">
        <f t="shared" si="161"/>
        <v>28.893839585793458</v>
      </c>
      <c r="AZ225" s="7">
        <f t="shared" si="161"/>
        <v>30.765575558251399</v>
      </c>
      <c r="BA225" s="7">
        <f t="shared" si="161"/>
        <v>32.619127878310373</v>
      </c>
      <c r="BB225" s="7">
        <f t="shared" si="161"/>
        <v>34.422979925464197</v>
      </c>
      <c r="BC225" s="7">
        <f t="shared" si="161"/>
        <v>36.165560278948782</v>
      </c>
      <c r="BD225" s="7">
        <f t="shared" si="161"/>
        <v>37.824364041420893</v>
      </c>
      <c r="BE225" s="7">
        <f t="shared" si="161"/>
        <v>39.37680711297061</v>
      </c>
      <c r="BF225" s="7">
        <f t="shared" si="161"/>
        <v>40.801273644478002</v>
      </c>
      <c r="BG225" s="7">
        <f t="shared" si="161"/>
        <v>42.211451021040581</v>
      </c>
      <c r="BH225" s="7">
        <f t="shared" si="161"/>
        <v>43.601701121468096</v>
      </c>
      <c r="BI225" s="7">
        <f t="shared" si="161"/>
        <v>44.965841019013475</v>
      </c>
      <c r="BJ225" s="7">
        <f t="shared" si="161"/>
        <v>46.298234773308778</v>
      </c>
      <c r="BK225" s="7">
        <f t="shared" si="161"/>
        <v>47.593556429142701</v>
      </c>
      <c r="BL225" s="7">
        <f t="shared" si="161"/>
        <v>48.846407076668939</v>
      </c>
      <c r="BM225" s="7">
        <f t="shared" si="161"/>
        <v>50.051365361778402</v>
      </c>
      <c r="BN225" s="7">
        <f t="shared" si="161"/>
        <v>51.202525216461176</v>
      </c>
      <c r="BO225" s="7">
        <f t="shared" si="161"/>
        <v>52.294271932361518</v>
      </c>
      <c r="BP225" s="7">
        <f t="shared" si="161"/>
        <v>53.321634867592941</v>
      </c>
      <c r="BQ225" s="7">
        <f t="shared" si="161"/>
        <v>54.367152564709968</v>
      </c>
      <c r="BR225" s="7">
        <f t="shared" si="161"/>
        <v>55.431162688060297</v>
      </c>
      <c r="BS225" s="7">
        <f t="shared" si="161"/>
        <v>56.513644118039608</v>
      </c>
      <c r="BT225" s="7">
        <f t="shared" ref="BT225:CD225" si="162">SUM(BT226:BT228)</f>
        <v>57.614504196363903</v>
      </c>
      <c r="BU225" s="7">
        <f t="shared" si="162"/>
        <v>58.734854112339953</v>
      </c>
      <c r="BV225" s="7">
        <f t="shared" si="162"/>
        <v>59.875241678423428</v>
      </c>
      <c r="BW225" s="7">
        <f t="shared" si="162"/>
        <v>61.035142267764485</v>
      </c>
      <c r="BX225" s="7">
        <f t="shared" si="162"/>
        <v>62.215204428419952</v>
      </c>
      <c r="BY225" s="7">
        <f t="shared" si="162"/>
        <v>63.415613810593591</v>
      </c>
      <c r="BZ225" s="7">
        <f t="shared" si="162"/>
        <v>64.636798846250613</v>
      </c>
      <c r="CA225" s="7">
        <f t="shared" si="162"/>
        <v>65.879375010571266</v>
      </c>
      <c r="CB225" s="7">
        <f t="shared" si="162"/>
        <v>67.143509643602897</v>
      </c>
      <c r="CC225" s="7">
        <f t="shared" si="162"/>
        <v>68.429540184400011</v>
      </c>
      <c r="CD225" s="7">
        <f t="shared" si="162"/>
        <v>69.738432183774975</v>
      </c>
    </row>
    <row r="226" spans="1:82" s="3" customFormat="1" x14ac:dyDescent="0.2">
      <c r="C226" s="3" t="s">
        <v>164</v>
      </c>
      <c r="F226" s="3" t="s">
        <v>6</v>
      </c>
      <c r="G226" s="3">
        <f>O427</f>
        <v>2.873699999999999</v>
      </c>
      <c r="H226" s="3">
        <f>P427</f>
        <v>2.873699999999999</v>
      </c>
      <c r="I226" s="3">
        <f>Q427</f>
        <v>2.873699999999999</v>
      </c>
      <c r="J226" s="3">
        <f>R427</f>
        <v>2.873699999999999</v>
      </c>
      <c r="K226" s="3">
        <f>S427</f>
        <v>2.873699999999999</v>
      </c>
      <c r="L226" s="3">
        <f>T427</f>
        <v>2.9016000000000002</v>
      </c>
      <c r="M226" s="3">
        <f>U427</f>
        <v>2.9016000000000002</v>
      </c>
      <c r="N226" s="3">
        <f>V427</f>
        <v>2.9016000000000002</v>
      </c>
      <c r="O226" s="3">
        <f>W427</f>
        <v>2.9016000000000002</v>
      </c>
      <c r="P226" s="3">
        <f>X427</f>
        <v>2.9016000000000002</v>
      </c>
      <c r="Q226" s="3">
        <f>Y427</f>
        <v>2.9295</v>
      </c>
      <c r="R226" s="3">
        <f>Z427</f>
        <v>2.9295</v>
      </c>
      <c r="S226" s="3">
        <f>AA427</f>
        <v>2.9295</v>
      </c>
      <c r="T226" s="3">
        <f>AB427</f>
        <v>2.9295</v>
      </c>
      <c r="U226" s="3">
        <f>AC427</f>
        <v>2.9295</v>
      </c>
      <c r="V226" s="3">
        <f>AD427</f>
        <v>2.9295</v>
      </c>
      <c r="W226" s="3">
        <f>AE427</f>
        <v>2.9295</v>
      </c>
      <c r="X226" s="3">
        <f>AF427</f>
        <v>2.9295</v>
      </c>
      <c r="Y226" s="3">
        <f>AG427</f>
        <v>2.9295</v>
      </c>
      <c r="Z226" s="3">
        <f>AH427</f>
        <v>2.9016000000000002</v>
      </c>
      <c r="AA226" s="3">
        <f>AI427</f>
        <v>2.9016000000000002</v>
      </c>
      <c r="AB226" s="3">
        <f>AJ427</f>
        <v>2.9016000000000002</v>
      </c>
      <c r="AC226" s="3">
        <f>AK427</f>
        <v>2.9016000000000002</v>
      </c>
      <c r="AD226" s="3">
        <f>AL427</f>
        <v>2.9016000000000002</v>
      </c>
      <c r="AE226" s="3">
        <f>AM427</f>
        <v>2.9016000000000002</v>
      </c>
      <c r="AF226" s="3">
        <f>AN427</f>
        <v>0.65165764761709999</v>
      </c>
      <c r="AG226" s="3">
        <f>AO427</f>
        <v>0.67164230802379998</v>
      </c>
      <c r="AH226" s="3">
        <f>AP427</f>
        <v>0.69432787583069999</v>
      </c>
      <c r="AI226" s="3">
        <f>AQ427</f>
        <v>0.71938429374130008</v>
      </c>
      <c r="AJ226" s="3">
        <f>AR427</f>
        <v>0.74705786216369996</v>
      </c>
      <c r="AK226" s="3">
        <f>AS427</f>
        <v>0.77699560663220002</v>
      </c>
      <c r="AL226" s="3">
        <f>AT427</f>
        <v>0.81016144204990004</v>
      </c>
      <c r="AM226" s="3">
        <f>AU427</f>
        <v>0.84923365418740004</v>
      </c>
      <c r="AN226" s="3">
        <f>AV427</f>
        <v>0.89266354241400003</v>
      </c>
      <c r="AO226" s="3">
        <f>AW427</f>
        <v>0.94041282829210004</v>
      </c>
      <c r="AP226" s="3">
        <f>AX427</f>
        <v>0.99064449675040012</v>
      </c>
      <c r="AQ226" s="3">
        <f>AY427</f>
        <v>1.0377184137554001</v>
      </c>
      <c r="AR226" s="3">
        <f>AZ427</f>
        <v>1.0871656535364</v>
      </c>
      <c r="AS226" s="3">
        <f>BA427</f>
        <v>1.1391156887342</v>
      </c>
      <c r="AT226" s="3">
        <f>BB427</f>
        <v>1.193705124559</v>
      </c>
      <c r="AU226" s="3">
        <f>BC427</f>
        <v>1.2510876626555001</v>
      </c>
      <c r="AV226" s="3">
        <f>BD427</f>
        <v>1.3114175859309001</v>
      </c>
      <c r="AW226" s="3">
        <f>BE427</f>
        <v>1.3748569867575999</v>
      </c>
      <c r="AX226" s="3">
        <f>BF427</f>
        <v>1.4415770756984001</v>
      </c>
      <c r="AY226" s="3">
        <f>BG427</f>
        <v>1.5117583555212999</v>
      </c>
      <c r="AZ226" s="3">
        <f>BH427</f>
        <v>1.5820241519335001</v>
      </c>
      <c r="BA226" s="3">
        <f>BI427</f>
        <v>1.6518384065514</v>
      </c>
      <c r="BB226" s="3">
        <f>BJ427</f>
        <v>1.7189109712988999</v>
      </c>
      <c r="BC226" s="3">
        <f>BK427</f>
        <v>1.7843160098107</v>
      </c>
      <c r="BD226" s="3">
        <f>BL427</f>
        <v>1.8474044725651</v>
      </c>
      <c r="BE226" s="3">
        <f>BM427</f>
        <v>1.9075073166747001</v>
      </c>
      <c r="BF226" s="3">
        <f>BN427</f>
        <v>1.9637633172438</v>
      </c>
      <c r="BG226" s="3">
        <f>BO427</f>
        <v>2.0197339139363</v>
      </c>
      <c r="BH226" s="3">
        <f>BP427</f>
        <v>2.0752387036881998</v>
      </c>
      <c r="BI226" s="3">
        <f>BQ427</f>
        <v>2.1300219206525002</v>
      </c>
      <c r="BJ226" s="3">
        <f>BR427</f>
        <v>2.1839243051677002</v>
      </c>
      <c r="BK226" s="3">
        <f>BS427</f>
        <v>2.2368393334548</v>
      </c>
      <c r="BL226" s="3">
        <f>BT427</f>
        <v>2.2886448071626</v>
      </c>
      <c r="BM226" s="3">
        <f>BU427</f>
        <v>2.3392059207789</v>
      </c>
      <c r="BN226" s="3">
        <f>BV427</f>
        <v>2.3882943254926001</v>
      </c>
      <c r="BO226" s="3">
        <f>BW427</f>
        <v>2.4357078582675999</v>
      </c>
      <c r="BP226" s="3">
        <f>BX427</f>
        <v>2.4813218881875998</v>
      </c>
      <c r="BQ226" s="3">
        <f>BY427</f>
        <v>2.5274595640047002</v>
      </c>
      <c r="BR226" s="3">
        <f>BZ427</f>
        <v>2.5741273367569999</v>
      </c>
      <c r="BS226" s="3">
        <f>CA427</f>
        <v>2.6212726645312001</v>
      </c>
      <c r="BT226" s="3">
        <f t="shared" ref="BT226:CD228" si="163">CB427</f>
        <v>2.6688304905531002</v>
      </c>
      <c r="BU226" s="3">
        <f t="shared" si="163"/>
        <v>2.7169297493387998</v>
      </c>
      <c r="BV226" s="3">
        <f t="shared" si="163"/>
        <v>2.7656066895664999</v>
      </c>
      <c r="BW226" s="3">
        <f t="shared" si="163"/>
        <v>2.8147233771120002</v>
      </c>
      <c r="BX226" s="3">
        <f t="shared" si="163"/>
        <v>2.8643305519819</v>
      </c>
      <c r="BY226" s="3">
        <f t="shared" si="163"/>
        <v>2.9144030406505999</v>
      </c>
      <c r="BZ226" s="3">
        <f t="shared" si="163"/>
        <v>2.9649541047966999</v>
      </c>
      <c r="CA226" s="3">
        <f t="shared" si="163"/>
        <v>3.0160255659050001</v>
      </c>
      <c r="CB226" s="3">
        <f t="shared" si="163"/>
        <v>3.0675859590563999</v>
      </c>
      <c r="CC226" s="3">
        <f t="shared" si="163"/>
        <v>3.1196301596331999</v>
      </c>
      <c r="CD226" s="3">
        <f t="shared" si="163"/>
        <v>3.1722532965807999</v>
      </c>
    </row>
    <row r="227" spans="1:82" s="3" customFormat="1" x14ac:dyDescent="0.2">
      <c r="C227" s="3" t="s">
        <v>164</v>
      </c>
      <c r="F227" s="3" t="s">
        <v>7</v>
      </c>
      <c r="G227" s="3">
        <f>O428</f>
        <v>4.2869999999999999</v>
      </c>
      <c r="H227" s="3">
        <f>P428</f>
        <v>4.2869999999999999</v>
      </c>
      <c r="I227" s="3">
        <f>Q428</f>
        <v>4.3090000000000002</v>
      </c>
      <c r="J227" s="3">
        <f>R428</f>
        <v>4.3120000000000003</v>
      </c>
      <c r="K227" s="3">
        <f>S428</f>
        <v>4.3159999999999998</v>
      </c>
      <c r="L227" s="3">
        <f>T428</f>
        <v>4.3230000000000004</v>
      </c>
      <c r="M227" s="3">
        <f>U428</f>
        <v>4.3250000000000002</v>
      </c>
      <c r="N227" s="3">
        <f>V428</f>
        <v>4.8710000000000004</v>
      </c>
      <c r="O227" s="3">
        <f>W428</f>
        <v>5.4210000000000003</v>
      </c>
      <c r="P227" s="3">
        <f>X428</f>
        <v>5.9529999999999994</v>
      </c>
      <c r="Q227" s="3">
        <f>Y428</f>
        <v>6.77</v>
      </c>
      <c r="R227" s="3">
        <f>Z428</f>
        <v>7.4610000000000003</v>
      </c>
      <c r="S227" s="3">
        <f>AA428</f>
        <v>7.5309999999999997</v>
      </c>
      <c r="T227" s="3">
        <f>AB428</f>
        <v>7.552999999999999</v>
      </c>
      <c r="U227" s="3">
        <f>AC428</f>
        <v>7.609</v>
      </c>
      <c r="V227" s="3">
        <f>AD428</f>
        <v>7.6630000000000003</v>
      </c>
      <c r="W227" s="3">
        <f>AE428</f>
        <v>7.7190000000000003</v>
      </c>
      <c r="X227" s="3">
        <f>AF428</f>
        <v>7.7730000000000006</v>
      </c>
      <c r="Y227" s="3">
        <f>AG428</f>
        <v>3.802</v>
      </c>
      <c r="Z227" s="3">
        <f>AH428</f>
        <v>7.8710000000000004</v>
      </c>
      <c r="AA227" s="3">
        <f>AI428</f>
        <v>7.8930000000000007</v>
      </c>
      <c r="AB227" s="3">
        <f>AJ428</f>
        <v>7.8990000000000009</v>
      </c>
      <c r="AC227" s="3">
        <f>AK428</f>
        <v>7.7789999999999999</v>
      </c>
      <c r="AD227" s="3">
        <f>AL428</f>
        <v>8.3219999999999992</v>
      </c>
      <c r="AE227" s="3">
        <f>AM428</f>
        <v>7.918000000000001</v>
      </c>
      <c r="AF227" s="3">
        <f>AN428</f>
        <v>8.149690176524599</v>
      </c>
      <c r="AG227" s="3">
        <f>AO428</f>
        <v>8.4226283660501995</v>
      </c>
      <c r="AH227" s="3">
        <f>AP428</f>
        <v>8.7680115416138005</v>
      </c>
      <c r="AI227" s="3">
        <f>AQ428</f>
        <v>9.1760145027223992</v>
      </c>
      <c r="AJ227" s="3">
        <f>AR428</f>
        <v>9.6544478642287999</v>
      </c>
      <c r="AK227" s="3">
        <f>AS428</f>
        <v>10.1946941876507</v>
      </c>
      <c r="AL227" s="3">
        <f>AT428</f>
        <v>10.822949683864</v>
      </c>
      <c r="AM227" s="3">
        <f>AU428</f>
        <v>11.629305521889901</v>
      </c>
      <c r="AN227" s="3">
        <f>AV428</f>
        <v>12.569037919416299</v>
      </c>
      <c r="AO227" s="3">
        <f>AW428</f>
        <v>13.643645235837701</v>
      </c>
      <c r="AP227" s="3">
        <f>AX428</f>
        <v>14.7970201210057</v>
      </c>
      <c r="AQ227" s="3">
        <f>AY428</f>
        <v>15.8479103323735</v>
      </c>
      <c r="AR227" s="3">
        <f>AZ428</f>
        <v>16.972758161729299</v>
      </c>
      <c r="AS227" s="3">
        <f>BA428</f>
        <v>18.176473865857201</v>
      </c>
      <c r="AT227" s="3">
        <f>BB428</f>
        <v>19.4642571036349</v>
      </c>
      <c r="AU227" s="3">
        <f>BC428</f>
        <v>20.841930410740499</v>
      </c>
      <c r="AV227" s="3">
        <f>BD428</f>
        <v>22.315389414937599</v>
      </c>
      <c r="AW227" s="3">
        <f>BE428</f>
        <v>23.890872657949899</v>
      </c>
      <c r="AX227" s="3">
        <f>BF428</f>
        <v>25.574976990588201</v>
      </c>
      <c r="AY227" s="3">
        <f>BG428</f>
        <v>27.3746745022422</v>
      </c>
      <c r="AZ227" s="3">
        <f>BH428</f>
        <v>29.175806428958701</v>
      </c>
      <c r="BA227" s="3">
        <f>BI428</f>
        <v>30.959208591456001</v>
      </c>
      <c r="BB227" s="3">
        <f>BJ428</f>
        <v>32.695665811873702</v>
      </c>
      <c r="BC227" s="3">
        <f>BK428</f>
        <v>34.372527097763196</v>
      </c>
      <c r="BD227" s="3">
        <f>BL428</f>
        <v>35.967939734650102</v>
      </c>
      <c r="BE227" s="3">
        <f>BM428</f>
        <v>37.459991894676101</v>
      </c>
      <c r="BF227" s="3">
        <f>BN428</f>
        <v>38.827932988531707</v>
      </c>
      <c r="BG227" s="3">
        <f>BO428</f>
        <v>40.181871886456598</v>
      </c>
      <c r="BH227" s="3">
        <f>BP428</f>
        <v>41.516351743183797</v>
      </c>
      <c r="BI227" s="3">
        <f>BQ428</f>
        <v>42.825446640529599</v>
      </c>
      <c r="BJ227" s="3">
        <f>BR428</f>
        <v>44.1036806634038</v>
      </c>
      <c r="BK227" s="3">
        <f>BS428</f>
        <v>45.345834874649597</v>
      </c>
      <c r="BL227" s="3">
        <f>BT428</f>
        <v>46.546633156057197</v>
      </c>
      <c r="BM227" s="3">
        <f>BU428</f>
        <v>47.700789603371</v>
      </c>
      <c r="BN227" s="3">
        <f>BV428</f>
        <v>48.8026276006415</v>
      </c>
      <c r="BO227" s="3">
        <f>BW428</f>
        <v>49.846735575989698</v>
      </c>
      <c r="BP227" s="3">
        <f>BX428</f>
        <v>50.828268098752098</v>
      </c>
      <c r="BQ227" s="3">
        <f>BY428</f>
        <v>51.8274293964474</v>
      </c>
      <c r="BR227" s="3">
        <f>BZ428</f>
        <v>52.844550653647097</v>
      </c>
      <c r="BS227" s="3">
        <f>CA428</f>
        <v>53.8796635526258</v>
      </c>
      <c r="BT227" s="3">
        <f t="shared" si="163"/>
        <v>54.932740812345301</v>
      </c>
      <c r="BU227" s="3">
        <f t="shared" si="163"/>
        <v>56.0047640462614</v>
      </c>
      <c r="BV227" s="3">
        <f t="shared" si="163"/>
        <v>57.096244656132001</v>
      </c>
      <c r="BW227" s="3">
        <f t="shared" si="163"/>
        <v>58.206796625537713</v>
      </c>
      <c r="BX227" s="3">
        <f t="shared" si="163"/>
        <v>59.337017516586897</v>
      </c>
      <c r="BY227" s="3">
        <f t="shared" si="163"/>
        <v>60.487118277724512</v>
      </c>
      <c r="BZ227" s="3">
        <f t="shared" si="163"/>
        <v>61.657514002743703</v>
      </c>
      <c r="CA227" s="3">
        <f t="shared" si="163"/>
        <v>62.848778156411598</v>
      </c>
      <c r="CB227" s="3">
        <f t="shared" si="163"/>
        <v>64.061109698731102</v>
      </c>
      <c r="CC227" s="3">
        <f t="shared" si="163"/>
        <v>65.294851219805395</v>
      </c>
      <c r="CD227" s="3">
        <f t="shared" si="163"/>
        <v>66.5508726805067</v>
      </c>
    </row>
    <row r="228" spans="1:82" s="3" customFormat="1" x14ac:dyDescent="0.2">
      <c r="C228" s="3" t="s">
        <v>164</v>
      </c>
      <c r="F228" s="3" t="s">
        <v>8</v>
      </c>
      <c r="G228" s="3">
        <f>O429</f>
        <v>0.27300000000000002</v>
      </c>
      <c r="H228" s="3">
        <f>P429</f>
        <v>0.27300000000000002</v>
      </c>
      <c r="I228" s="3">
        <f>Q429</f>
        <v>0.27300000000000002</v>
      </c>
      <c r="J228" s="3">
        <f>R429</f>
        <v>0.27300000000000002</v>
      </c>
      <c r="K228" s="3">
        <f>S429</f>
        <v>0.27300000000000002</v>
      </c>
      <c r="L228" s="3">
        <f>T429</f>
        <v>0.27300000000000002</v>
      </c>
      <c r="M228" s="3">
        <f>U429</f>
        <v>0.27300000000000002</v>
      </c>
      <c r="N228" s="3">
        <f>V429</f>
        <v>0.27300000000000002</v>
      </c>
      <c r="O228" s="3">
        <f>W429</f>
        <v>0.27300000000000002</v>
      </c>
      <c r="P228" s="3">
        <f>X429</f>
        <v>0.27300000000000002</v>
      </c>
      <c r="Q228" s="3">
        <f>Y429</f>
        <v>0.27300000000000002</v>
      </c>
      <c r="R228" s="3">
        <f>Z429</f>
        <v>0.27300000000000002</v>
      </c>
      <c r="S228" s="3">
        <f>AA429</f>
        <v>0.27300000000000002</v>
      </c>
      <c r="T228" s="3">
        <f>AB429</f>
        <v>0.27300000000000002</v>
      </c>
      <c r="U228" s="3">
        <f>AC429</f>
        <v>0.27300000000000002</v>
      </c>
      <c r="V228" s="3">
        <f>AD429</f>
        <v>0.27300000000000002</v>
      </c>
      <c r="W228" s="3">
        <f>AE429</f>
        <v>0.27300000000000002</v>
      </c>
      <c r="X228" s="3">
        <f>AF429</f>
        <v>0.27300000000000002</v>
      </c>
      <c r="Y228" s="3">
        <f>AG429</f>
        <v>0.27300000000000002</v>
      </c>
      <c r="Z228" s="3">
        <f>AH429</f>
        <v>0.27300000000000002</v>
      </c>
      <c r="AA228" s="3">
        <f>AI429</f>
        <v>0.27300000000000002</v>
      </c>
      <c r="AB228" s="3">
        <f>AJ429</f>
        <v>0.27300000000000002</v>
      </c>
      <c r="AC228" s="3">
        <f>AK429</f>
        <v>0.27300000000000002</v>
      </c>
      <c r="AD228" s="3">
        <f>AL429</f>
        <v>0.27300000000000002</v>
      </c>
      <c r="AE228" s="3">
        <f>AM429</f>
        <v>0.27300000000000002</v>
      </c>
      <c r="AF228" s="3">
        <f>AN429</f>
        <v>3.2661491475333201E-3</v>
      </c>
      <c r="AG228" s="3">
        <f>AO429</f>
        <v>3.3607782567253099E-3</v>
      </c>
      <c r="AH228" s="3">
        <f>AP429</f>
        <v>3.4680585387650699E-3</v>
      </c>
      <c r="AI228" s="3">
        <f>AQ429</f>
        <v>3.5862933622715898E-3</v>
      </c>
      <c r="AJ228" s="3">
        <f>AR429</f>
        <v>3.71658978652611E-3</v>
      </c>
      <c r="AK228" s="3">
        <f>AS429</f>
        <v>3.8549381748541499E-3</v>
      </c>
      <c r="AL228" s="3">
        <f>AT429</f>
        <v>4.0162350013688806E-3</v>
      </c>
      <c r="AM228" s="3">
        <f>AU429</f>
        <v>4.2059722071859304E-3</v>
      </c>
      <c r="AN228" s="3">
        <f>AV429</f>
        <v>4.4166463648042508E-3</v>
      </c>
      <c r="AO228" s="3">
        <f>AW429</f>
        <v>4.6480578886205102E-3</v>
      </c>
      <c r="AP228" s="3">
        <f>AX429</f>
        <v>4.8913297702058199E-3</v>
      </c>
      <c r="AQ228" s="3">
        <f>AY429</f>
        <v>5.1191885807801204E-3</v>
      </c>
      <c r="AR228" s="3">
        <f>AZ429</f>
        <v>5.35836557016543E-3</v>
      </c>
      <c r="AS228" s="3">
        <f>BA429</f>
        <v>5.6094763653945102E-3</v>
      </c>
      <c r="AT228" s="3">
        <f>BB429</f>
        <v>5.8731707585690804E-3</v>
      </c>
      <c r="AU228" s="3">
        <f>BC429</f>
        <v>6.1501807445541699E-3</v>
      </c>
      <c r="AV228" s="3">
        <f>BD429</f>
        <v>6.4412556598227996E-3</v>
      </c>
      <c r="AW228" s="3">
        <f>BE429</f>
        <v>6.7471539062213502E-3</v>
      </c>
      <c r="AX228" s="3">
        <f>BF429</f>
        <v>7.0686912370261203E-3</v>
      </c>
      <c r="AY228" s="3">
        <f>BG429</f>
        <v>7.40672802995717E-3</v>
      </c>
      <c r="AZ228" s="3">
        <f>BH429</f>
        <v>7.7449773591988002E-3</v>
      </c>
      <c r="BA228" s="3">
        <f>BI429</f>
        <v>8.0808803029728399E-3</v>
      </c>
      <c r="BB228" s="3">
        <f>BJ429</f>
        <v>8.4031422916005204E-3</v>
      </c>
      <c r="BC228" s="3">
        <f>BK429</f>
        <v>8.7171713748842306E-3</v>
      </c>
      <c r="BD228" s="3">
        <f>BL429</f>
        <v>9.0198342056880803E-3</v>
      </c>
      <c r="BE228" s="3">
        <f>BM429</f>
        <v>9.3079016198084497E-3</v>
      </c>
      <c r="BF228" s="3">
        <f>BN429</f>
        <v>9.5773387024915193E-3</v>
      </c>
      <c r="BG228" s="3">
        <f>BO429</f>
        <v>9.8452206476854608E-3</v>
      </c>
      <c r="BH228" s="3">
        <f>BP429</f>
        <v>1.01106745960965E-2</v>
      </c>
      <c r="BI228" s="3">
        <f>BQ429</f>
        <v>1.0372457831374301E-2</v>
      </c>
      <c r="BJ228" s="3">
        <f>BR429</f>
        <v>1.06298047372756E-2</v>
      </c>
      <c r="BK228" s="3">
        <f>BS429</f>
        <v>1.08822210383024E-2</v>
      </c>
      <c r="BL228" s="3">
        <f>BT429</f>
        <v>1.11291134491425E-2</v>
      </c>
      <c r="BM228" s="3">
        <f>BU429</f>
        <v>1.13698376285027E-2</v>
      </c>
      <c r="BN228" s="3">
        <f>BV429</f>
        <v>1.16032903270731E-2</v>
      </c>
      <c r="BO228" s="3">
        <f>BW429</f>
        <v>1.18284981042239E-2</v>
      </c>
      <c r="BP228" s="3">
        <f>BX429</f>
        <v>1.20448806532457E-2</v>
      </c>
      <c r="BQ228" s="3">
        <f>BY429</f>
        <v>1.2263604257868099E-2</v>
      </c>
      <c r="BR228" s="3">
        <f>BZ429</f>
        <v>1.24846976562009E-2</v>
      </c>
      <c r="BS228" s="3">
        <f>CA429</f>
        <v>1.2707900882607599E-2</v>
      </c>
      <c r="BT228" s="3">
        <f t="shared" si="163"/>
        <v>1.2932893465506599E-2</v>
      </c>
      <c r="BU228" s="3">
        <f t="shared" si="163"/>
        <v>1.31603167397529E-2</v>
      </c>
      <c r="BV228" s="3">
        <f t="shared" si="163"/>
        <v>1.3390332724934E-2</v>
      </c>
      <c r="BW228" s="3">
        <f t="shared" si="163"/>
        <v>1.3622265114772301E-2</v>
      </c>
      <c r="BX228" s="3">
        <f t="shared" si="163"/>
        <v>1.38563598511542E-2</v>
      </c>
      <c r="BY228" s="3">
        <f t="shared" si="163"/>
        <v>1.40924922184821E-2</v>
      </c>
      <c r="BZ228" s="3">
        <f t="shared" si="163"/>
        <v>1.4330738710209401E-2</v>
      </c>
      <c r="CA228" s="3">
        <f t="shared" si="163"/>
        <v>1.45712882546779E-2</v>
      </c>
      <c r="CB228" s="3">
        <f t="shared" si="163"/>
        <v>1.4813985815391E-2</v>
      </c>
      <c r="CC228" s="3">
        <f t="shared" si="163"/>
        <v>1.5058804961415E-2</v>
      </c>
      <c r="CD228" s="3">
        <f t="shared" si="163"/>
        <v>1.53062066874669E-2</v>
      </c>
    </row>
    <row r="229" spans="1:82" s="7" customFormat="1" x14ac:dyDescent="0.2">
      <c r="B229" s="7" t="s">
        <v>165</v>
      </c>
      <c r="G229" s="7">
        <f>SUM(G230:G231)</f>
        <v>3346.6647000000003</v>
      </c>
      <c r="H229" s="7">
        <f t="shared" ref="H229:BS229" si="164">SUM(H230:H231)</f>
        <v>3417.7493999999997</v>
      </c>
      <c r="I229" s="7">
        <f t="shared" si="164"/>
        <v>3556.798499999999</v>
      </c>
      <c r="J229" s="7">
        <f t="shared" si="164"/>
        <v>3663.6231000000002</v>
      </c>
      <c r="K229" s="7">
        <f t="shared" si="164"/>
        <v>3771.7031999999999</v>
      </c>
      <c r="L229" s="7">
        <f t="shared" si="164"/>
        <v>4353.8321999999998</v>
      </c>
      <c r="M229" s="7">
        <f t="shared" si="164"/>
        <v>3914.4564</v>
      </c>
      <c r="N229" s="7">
        <f t="shared" si="164"/>
        <v>4192.2281999999996</v>
      </c>
      <c r="O229" s="7">
        <f t="shared" si="164"/>
        <v>4318.0784999999996</v>
      </c>
      <c r="P229" s="7">
        <f t="shared" si="164"/>
        <v>4445.1624000000002</v>
      </c>
      <c r="Q229" s="7">
        <f t="shared" si="164"/>
        <v>4635.6630000000005</v>
      </c>
      <c r="R229" s="7">
        <f t="shared" si="164"/>
        <v>4803.4848000000002</v>
      </c>
      <c r="S229" s="7">
        <f t="shared" si="164"/>
        <v>4987.2653999999993</v>
      </c>
      <c r="T229" s="7">
        <f t="shared" si="164"/>
        <v>5367.9921000000004</v>
      </c>
      <c r="U229" s="7">
        <f t="shared" si="164"/>
        <v>5905.7460000000001</v>
      </c>
      <c r="V229" s="7">
        <f t="shared" si="164"/>
        <v>5889.4277999999995</v>
      </c>
      <c r="W229" s="7">
        <f t="shared" si="164"/>
        <v>5991.1244999999999</v>
      </c>
      <c r="X229" s="7">
        <f t="shared" si="164"/>
        <v>6321.8522999999996</v>
      </c>
      <c r="Y229" s="7">
        <f t="shared" si="164"/>
        <v>6502.8905999999988</v>
      </c>
      <c r="Z229" s="7">
        <f t="shared" si="164"/>
        <v>7051.2662999999993</v>
      </c>
      <c r="AA229" s="7">
        <f t="shared" si="164"/>
        <v>7153.046699999999</v>
      </c>
      <c r="AB229" s="7">
        <f t="shared" si="164"/>
        <v>7441.4837999999982</v>
      </c>
      <c r="AC229" s="7">
        <f t="shared" si="164"/>
        <v>7751.2154999999993</v>
      </c>
      <c r="AD229" s="7">
        <f t="shared" si="164"/>
        <v>8041.6544999999996</v>
      </c>
      <c r="AE229" s="7">
        <f t="shared" si="164"/>
        <v>5679.6474000000007</v>
      </c>
      <c r="AF229" s="7">
        <f t="shared" si="164"/>
        <v>5860.0846919302612</v>
      </c>
      <c r="AG229" s="7">
        <f t="shared" si="164"/>
        <v>6163.2521861233072</v>
      </c>
      <c r="AH229" s="7">
        <f t="shared" si="164"/>
        <v>6497.5658146449832</v>
      </c>
      <c r="AI229" s="7">
        <f t="shared" si="164"/>
        <v>6869.3113613946489</v>
      </c>
      <c r="AJ229" s="7">
        <f t="shared" si="164"/>
        <v>7282.4884560376313</v>
      </c>
      <c r="AK229" s="7">
        <f t="shared" si="164"/>
        <v>7746.3019200251856</v>
      </c>
      <c r="AL229" s="7">
        <f t="shared" si="164"/>
        <v>8127.167762639795</v>
      </c>
      <c r="AM229" s="7">
        <f t="shared" si="164"/>
        <v>8574.2497974224716</v>
      </c>
      <c r="AN229" s="7">
        <f t="shared" si="164"/>
        <v>9068.2193529676242</v>
      </c>
      <c r="AO229" s="7">
        <f t="shared" si="164"/>
        <v>9606.8556386404725</v>
      </c>
      <c r="AP229" s="7">
        <f t="shared" si="164"/>
        <v>10169.364272636605</v>
      </c>
      <c r="AQ229" s="7">
        <f t="shared" si="164"/>
        <v>10698.588111295132</v>
      </c>
      <c r="AR229" s="7">
        <f t="shared" si="164"/>
        <v>11251.834556641397</v>
      </c>
      <c r="AS229" s="7">
        <f t="shared" si="164"/>
        <v>11829.990124333572</v>
      </c>
      <c r="AT229" s="7">
        <f t="shared" si="164"/>
        <v>12433.96313115149</v>
      </c>
      <c r="AU229" s="7">
        <f t="shared" si="164"/>
        <v>13064.775790981337</v>
      </c>
      <c r="AV229" s="7">
        <f t="shared" si="164"/>
        <v>13723.159711864553</v>
      </c>
      <c r="AW229" s="7">
        <f t="shared" si="164"/>
        <v>14410.319429209512</v>
      </c>
      <c r="AX229" s="7">
        <f t="shared" si="164"/>
        <v>15127.265292735681</v>
      </c>
      <c r="AY229" s="7">
        <f t="shared" si="164"/>
        <v>15875.030764460345</v>
      </c>
      <c r="AZ229" s="7">
        <f t="shared" si="164"/>
        <v>16623.062341476216</v>
      </c>
      <c r="BA229" s="7">
        <f t="shared" si="164"/>
        <v>17366.883058548083</v>
      </c>
      <c r="BB229" s="7">
        <f t="shared" si="164"/>
        <v>18079.042438413984</v>
      </c>
      <c r="BC229" s="7">
        <f t="shared" si="164"/>
        <v>18777.532288324779</v>
      </c>
      <c r="BD229" s="7">
        <f t="shared" si="164"/>
        <v>19457.28071351321</v>
      </c>
      <c r="BE229" s="7">
        <f t="shared" si="164"/>
        <v>20112.85296489151</v>
      </c>
      <c r="BF229" s="7">
        <f t="shared" si="164"/>
        <v>20768.081800681666</v>
      </c>
      <c r="BG229" s="7">
        <f t="shared" si="164"/>
        <v>21426.127301856515</v>
      </c>
      <c r="BH229" s="7">
        <f t="shared" si="164"/>
        <v>22085.415912563902</v>
      </c>
      <c r="BI229" s="7">
        <f t="shared" si="164"/>
        <v>22743.244330255318</v>
      </c>
      <c r="BJ229" s="7">
        <f t="shared" si="164"/>
        <v>23398.27995620776</v>
      </c>
      <c r="BK229" s="7">
        <f t="shared" si="164"/>
        <v>24049.781341932758</v>
      </c>
      <c r="BL229" s="7">
        <f t="shared" si="164"/>
        <v>24697.119365388055</v>
      </c>
      <c r="BM229" s="7">
        <f t="shared" si="164"/>
        <v>25339.272526912107</v>
      </c>
      <c r="BN229" s="7">
        <f t="shared" si="164"/>
        <v>25973.733355376844</v>
      </c>
      <c r="BO229" s="7">
        <f t="shared" si="164"/>
        <v>26598.297773818143</v>
      </c>
      <c r="BP229" s="7">
        <f t="shared" si="164"/>
        <v>27211.675217890239</v>
      </c>
      <c r="BQ229" s="7">
        <f t="shared" si="164"/>
        <v>27834.077498185627</v>
      </c>
      <c r="BR229" s="7">
        <f t="shared" si="164"/>
        <v>28465.584995066627</v>
      </c>
      <c r="BS229" s="7">
        <f t="shared" si="164"/>
        <v>29105.336953091995</v>
      </c>
      <c r="BT229" s="7">
        <f t="shared" ref="BT229:CD229" si="165">SUM(BT230:BT231)</f>
        <v>29752.243283514148</v>
      </c>
      <c r="BU229" s="7">
        <f t="shared" si="165"/>
        <v>30408.104209868357</v>
      </c>
      <c r="BV229" s="7">
        <f t="shared" si="165"/>
        <v>31073.668664428264</v>
      </c>
      <c r="BW229" s="7">
        <f t="shared" si="165"/>
        <v>31746.647349891333</v>
      </c>
      <c r="BX229" s="7">
        <f t="shared" si="165"/>
        <v>32427.790335204874</v>
      </c>
      <c r="BY229" s="7">
        <f t="shared" si="165"/>
        <v>33116.60424057956</v>
      </c>
      <c r="BZ229" s="7">
        <f t="shared" si="165"/>
        <v>33813.002589346754</v>
      </c>
      <c r="CA229" s="7">
        <f t="shared" si="165"/>
        <v>34517.803832347483</v>
      </c>
      <c r="CB229" s="7">
        <f t="shared" si="165"/>
        <v>35230.387109325849</v>
      </c>
      <c r="CC229" s="7">
        <f t="shared" si="165"/>
        <v>35950.557870158867</v>
      </c>
      <c r="CD229" s="7">
        <f t="shared" si="165"/>
        <v>36679.833655339848</v>
      </c>
    </row>
    <row r="230" spans="1:82" s="3" customFormat="1" x14ac:dyDescent="0.2">
      <c r="C230" s="3" t="s">
        <v>166</v>
      </c>
      <c r="F230" s="3" t="s">
        <v>6</v>
      </c>
      <c r="G230" s="3">
        <f t="shared" ref="G230:G231" si="166">O430</f>
        <v>3142.4607000000001</v>
      </c>
      <c r="H230" s="3">
        <f t="shared" ref="H230:BR230" si="167">P430</f>
        <v>3206.9933999999998</v>
      </c>
      <c r="I230" s="3">
        <f t="shared" si="167"/>
        <v>3339.490499999999</v>
      </c>
      <c r="J230" s="3">
        <f t="shared" si="167"/>
        <v>3439.7631000000001</v>
      </c>
      <c r="K230" s="3">
        <f t="shared" si="167"/>
        <v>3541.2912000000001</v>
      </c>
      <c r="L230" s="3">
        <f t="shared" si="167"/>
        <v>4116.8681999999999</v>
      </c>
      <c r="M230" s="3">
        <f t="shared" si="167"/>
        <v>3669.5754000000002</v>
      </c>
      <c r="N230" s="3">
        <f t="shared" si="167"/>
        <v>3939.7031999999999</v>
      </c>
      <c r="O230" s="3">
        <f t="shared" si="167"/>
        <v>4057.6365000000001</v>
      </c>
      <c r="P230" s="3">
        <f t="shared" si="167"/>
        <v>4177.0763999999999</v>
      </c>
      <c r="Q230" s="3">
        <f t="shared" si="167"/>
        <v>4359.933</v>
      </c>
      <c r="R230" s="3">
        <f t="shared" si="167"/>
        <v>4519.0187999999998</v>
      </c>
      <c r="S230" s="3">
        <f t="shared" si="167"/>
        <v>4694.0633999999991</v>
      </c>
      <c r="T230" s="3">
        <f t="shared" si="167"/>
        <v>5066.0541000000003</v>
      </c>
      <c r="U230" s="3">
        <f t="shared" si="167"/>
        <v>5595.3450000000003</v>
      </c>
      <c r="V230" s="3">
        <f t="shared" si="167"/>
        <v>5570.2907999999998</v>
      </c>
      <c r="W230" s="3">
        <f t="shared" si="167"/>
        <v>5661.8864999999996</v>
      </c>
      <c r="X230" s="3">
        <f t="shared" si="167"/>
        <v>5982.5132999999996</v>
      </c>
      <c r="Y230" s="3">
        <f t="shared" si="167"/>
        <v>6153.1775999999991</v>
      </c>
      <c r="Z230" s="3">
        <f t="shared" si="167"/>
        <v>6691.452299999999</v>
      </c>
      <c r="AA230" s="3">
        <f t="shared" si="167"/>
        <v>6783.131699999999</v>
      </c>
      <c r="AB230" s="3">
        <f t="shared" si="167"/>
        <v>7057.9187999999986</v>
      </c>
      <c r="AC230" s="3">
        <f t="shared" si="167"/>
        <v>7340.3504999999996</v>
      </c>
      <c r="AD230" s="3">
        <f t="shared" si="167"/>
        <v>7630.7894999999999</v>
      </c>
      <c r="AE230" s="3">
        <f t="shared" si="167"/>
        <v>5255.1324000000004</v>
      </c>
      <c r="AF230" s="3">
        <f t="shared" si="167"/>
        <v>5417.9332995434443</v>
      </c>
      <c r="AG230" s="3">
        <f t="shared" si="167"/>
        <v>5698.3380581722513</v>
      </c>
      <c r="AH230" s="3">
        <f t="shared" si="167"/>
        <v>6015.9106852396744</v>
      </c>
      <c r="AI230" s="3">
        <f t="shared" si="167"/>
        <v>6368.7319411292128</v>
      </c>
      <c r="AJ230" s="3">
        <f t="shared" si="167"/>
        <v>6760.5761862795034</v>
      </c>
      <c r="AK230" s="3">
        <f t="shared" si="167"/>
        <v>7194.4839374251069</v>
      </c>
      <c r="AL230" s="3">
        <f t="shared" si="167"/>
        <v>7539.6241034169907</v>
      </c>
      <c r="AM230" s="3">
        <f t="shared" si="167"/>
        <v>7943.901387641301</v>
      </c>
      <c r="AN230" s="3">
        <f t="shared" si="167"/>
        <v>8389.7572553970422</v>
      </c>
      <c r="AO230" s="3">
        <f t="shared" si="167"/>
        <v>8875.0500191809006</v>
      </c>
      <c r="AP230" s="3">
        <f t="shared" si="167"/>
        <v>9381.1216629084502</v>
      </c>
      <c r="AQ230" s="3">
        <f t="shared" si="167"/>
        <v>9857.2041531536379</v>
      </c>
      <c r="AR230" s="3">
        <f t="shared" si="167"/>
        <v>10354.342179415011</v>
      </c>
      <c r="AS230" s="3">
        <f t="shared" si="167"/>
        <v>10873.306169470899</v>
      </c>
      <c r="AT230" s="3">
        <f t="shared" si="167"/>
        <v>11414.887313087849</v>
      </c>
      <c r="AU230" s="3">
        <f t="shared" si="167"/>
        <v>11979.979799139661</v>
      </c>
      <c r="AV230" s="3">
        <f t="shared" si="167"/>
        <v>12569.190346707121</v>
      </c>
      <c r="AW230" s="3">
        <f t="shared" si="167"/>
        <v>13183.60848950957</v>
      </c>
      <c r="AX230" s="3">
        <f t="shared" si="167"/>
        <v>13824.125816582229</v>
      </c>
      <c r="AY230" s="3">
        <f t="shared" si="167"/>
        <v>14491.657374225089</v>
      </c>
      <c r="AZ230" s="3">
        <f t="shared" si="167"/>
        <v>15159.393573694149</v>
      </c>
      <c r="BA230" s="3">
        <f t="shared" si="167"/>
        <v>15823.44854109034</v>
      </c>
      <c r="BB230" s="3">
        <f t="shared" si="167"/>
        <v>16461.136494882841</v>
      </c>
      <c r="BC230" s="3">
        <f t="shared" si="167"/>
        <v>17087.278527334631</v>
      </c>
      <c r="BD230" s="3">
        <f t="shared" si="167"/>
        <v>17697.580722719271</v>
      </c>
      <c r="BE230" s="3">
        <f t="shared" si="167"/>
        <v>18287.448696466581</v>
      </c>
      <c r="BF230" s="3">
        <f t="shared" si="167"/>
        <v>18855.326883433059</v>
      </c>
      <c r="BG230" s="3">
        <f t="shared" si="167"/>
        <v>19424.385412887212</v>
      </c>
      <c r="BH230" s="3">
        <f t="shared" si="167"/>
        <v>19993.285378954319</v>
      </c>
      <c r="BI230" s="3">
        <f t="shared" si="167"/>
        <v>20559.777952790111</v>
      </c>
      <c r="BJ230" s="3">
        <f t="shared" si="167"/>
        <v>21122.746754668049</v>
      </c>
      <c r="BK230" s="3">
        <f t="shared" si="167"/>
        <v>21681.520560533489</v>
      </c>
      <c r="BL230" s="3">
        <f t="shared" si="167"/>
        <v>22235.595031113229</v>
      </c>
      <c r="BM230" s="3">
        <f t="shared" si="167"/>
        <v>22784.113889916309</v>
      </c>
      <c r="BN230" s="3">
        <f t="shared" si="167"/>
        <v>23325.032401751821</v>
      </c>
      <c r="BO230" s="3">
        <f t="shared" si="167"/>
        <v>23856.565175292712</v>
      </c>
      <c r="BP230" s="3">
        <f t="shared" si="167"/>
        <v>24377.62553612683</v>
      </c>
      <c r="BQ230" s="3">
        <f t="shared" si="167"/>
        <v>24905.596742177549</v>
      </c>
      <c r="BR230" s="3">
        <f t="shared" si="167"/>
        <v>25440.53352550312</v>
      </c>
      <c r="BS230" s="3">
        <f t="shared" ref="BS230:CD231" si="168">CA430</f>
        <v>25981.74450891414</v>
      </c>
      <c r="BT230" s="3">
        <f t="shared" si="168"/>
        <v>26528.364107252772</v>
      </c>
      <c r="BU230" s="3">
        <f t="shared" si="168"/>
        <v>27081.7660416609</v>
      </c>
      <c r="BV230" s="3">
        <f t="shared" si="168"/>
        <v>27642.579656580441</v>
      </c>
      <c r="BW230" s="3">
        <f t="shared" si="168"/>
        <v>28208.997042416209</v>
      </c>
      <c r="BX230" s="3">
        <f t="shared" si="168"/>
        <v>28781.608438415311</v>
      </c>
      <c r="BY230" s="3">
        <f t="shared" si="168"/>
        <v>29360.02731210347</v>
      </c>
      <c r="BZ230" s="3">
        <f t="shared" si="168"/>
        <v>29944.133537158799</v>
      </c>
      <c r="CA230" s="3">
        <f t="shared" si="168"/>
        <v>30534.61877478625</v>
      </c>
      <c r="CB230" s="3">
        <f t="shared" si="168"/>
        <v>31130.999525185609</v>
      </c>
      <c r="CC230" s="3">
        <f t="shared" si="168"/>
        <v>31733.127376185072</v>
      </c>
      <c r="CD230" s="3">
        <f t="shared" si="168"/>
        <v>32342.17964663565</v>
      </c>
    </row>
    <row r="231" spans="1:82" s="3" customFormat="1" x14ac:dyDescent="0.2">
      <c r="C231" s="3" t="s">
        <v>166</v>
      </c>
      <c r="F231" s="3" t="s">
        <v>8</v>
      </c>
      <c r="G231" s="3">
        <f t="shared" si="166"/>
        <v>204.20400000000001</v>
      </c>
      <c r="H231" s="3">
        <f t="shared" ref="H231:BS231" si="169">P431</f>
        <v>210.756</v>
      </c>
      <c r="I231" s="3">
        <f t="shared" si="169"/>
        <v>217.30799999999999</v>
      </c>
      <c r="J231" s="3">
        <f t="shared" si="169"/>
        <v>223.86</v>
      </c>
      <c r="K231" s="3">
        <f t="shared" si="169"/>
        <v>230.41200000000001</v>
      </c>
      <c r="L231" s="3">
        <f t="shared" si="169"/>
        <v>236.964</v>
      </c>
      <c r="M231" s="3">
        <f t="shared" si="169"/>
        <v>244.881</v>
      </c>
      <c r="N231" s="3">
        <f t="shared" si="169"/>
        <v>252.52500000000001</v>
      </c>
      <c r="O231" s="3">
        <f t="shared" si="169"/>
        <v>260.44200000000001</v>
      </c>
      <c r="P231" s="3">
        <f t="shared" si="169"/>
        <v>268.08600000000001</v>
      </c>
      <c r="Q231" s="3">
        <f t="shared" si="169"/>
        <v>275.73</v>
      </c>
      <c r="R231" s="3">
        <f t="shared" si="169"/>
        <v>284.46600000000001</v>
      </c>
      <c r="S231" s="3">
        <f t="shared" si="169"/>
        <v>293.202</v>
      </c>
      <c r="T231" s="3">
        <f t="shared" si="169"/>
        <v>301.93799999999999</v>
      </c>
      <c r="U231" s="3">
        <f t="shared" si="169"/>
        <v>310.40100000000001</v>
      </c>
      <c r="V231" s="3">
        <f t="shared" si="169"/>
        <v>319.137</v>
      </c>
      <c r="W231" s="3">
        <f t="shared" si="169"/>
        <v>329.238</v>
      </c>
      <c r="X231" s="3">
        <f t="shared" si="169"/>
        <v>339.33900000000011</v>
      </c>
      <c r="Y231" s="3">
        <f t="shared" si="169"/>
        <v>349.71300000000002</v>
      </c>
      <c r="Z231" s="3">
        <f t="shared" si="169"/>
        <v>359.81400000000002</v>
      </c>
      <c r="AA231" s="3">
        <f t="shared" si="169"/>
        <v>369.91500000000002</v>
      </c>
      <c r="AB231" s="3">
        <f t="shared" si="169"/>
        <v>383.565</v>
      </c>
      <c r="AC231" s="3">
        <f t="shared" si="169"/>
        <v>410.86500000000001</v>
      </c>
      <c r="AD231" s="3">
        <f t="shared" si="169"/>
        <v>410.86500000000001</v>
      </c>
      <c r="AE231" s="3">
        <f t="shared" si="169"/>
        <v>424.51499999999999</v>
      </c>
      <c r="AF231" s="3">
        <f t="shared" si="169"/>
        <v>442.15139238681678</v>
      </c>
      <c r="AG231" s="3">
        <f t="shared" si="169"/>
        <v>464.91412795105578</v>
      </c>
      <c r="AH231" s="3">
        <f t="shared" si="169"/>
        <v>481.65512940530863</v>
      </c>
      <c r="AI231" s="3">
        <f t="shared" si="169"/>
        <v>500.57942026543572</v>
      </c>
      <c r="AJ231" s="3">
        <f t="shared" si="169"/>
        <v>521.91226975812788</v>
      </c>
      <c r="AK231" s="3">
        <f t="shared" si="169"/>
        <v>551.81798260007849</v>
      </c>
      <c r="AL231" s="3">
        <f t="shared" si="169"/>
        <v>587.54365922280397</v>
      </c>
      <c r="AM231" s="3">
        <f t="shared" si="169"/>
        <v>630.34840978117052</v>
      </c>
      <c r="AN231" s="3">
        <f t="shared" si="169"/>
        <v>678.46209757058273</v>
      </c>
      <c r="AO231" s="3">
        <f t="shared" si="169"/>
        <v>731.80561945957243</v>
      </c>
      <c r="AP231" s="3">
        <f t="shared" si="169"/>
        <v>788.24260972815534</v>
      </c>
      <c r="AQ231" s="3">
        <f t="shared" si="169"/>
        <v>841.38395814149328</v>
      </c>
      <c r="AR231" s="3">
        <f t="shared" si="169"/>
        <v>897.49237722638679</v>
      </c>
      <c r="AS231" s="3">
        <f t="shared" si="169"/>
        <v>956.68395486267298</v>
      </c>
      <c r="AT231" s="3">
        <f t="shared" si="169"/>
        <v>1019.075818063641</v>
      </c>
      <c r="AU231" s="3">
        <f t="shared" si="169"/>
        <v>1084.7959918416759</v>
      </c>
      <c r="AV231" s="3">
        <f t="shared" si="169"/>
        <v>1153.969365157433</v>
      </c>
      <c r="AW231" s="3">
        <f t="shared" si="169"/>
        <v>1226.7109396999419</v>
      </c>
      <c r="AX231" s="3">
        <f t="shared" si="169"/>
        <v>1303.1394761534521</v>
      </c>
      <c r="AY231" s="3">
        <f t="shared" si="169"/>
        <v>1383.3733902352551</v>
      </c>
      <c r="AZ231" s="3">
        <f t="shared" si="169"/>
        <v>1463.6687677820651</v>
      </c>
      <c r="BA231" s="3">
        <f t="shared" si="169"/>
        <v>1543.4345174577411</v>
      </c>
      <c r="BB231" s="3">
        <f t="shared" si="169"/>
        <v>1617.905943531144</v>
      </c>
      <c r="BC231" s="3">
        <f t="shared" si="169"/>
        <v>1690.2537609901469</v>
      </c>
      <c r="BD231" s="3">
        <f t="shared" si="169"/>
        <v>1759.6999907939389</v>
      </c>
      <c r="BE231" s="3">
        <f t="shared" si="169"/>
        <v>1825.4042684249289</v>
      </c>
      <c r="BF231" s="3">
        <f t="shared" si="169"/>
        <v>1912.7549172486069</v>
      </c>
      <c r="BG231" s="3">
        <f t="shared" si="169"/>
        <v>2001.741888969302</v>
      </c>
      <c r="BH231" s="3">
        <f t="shared" si="169"/>
        <v>2092.1305336095829</v>
      </c>
      <c r="BI231" s="3">
        <f t="shared" si="169"/>
        <v>2183.4663774652081</v>
      </c>
      <c r="BJ231" s="3">
        <f t="shared" si="169"/>
        <v>2275.5332015397098</v>
      </c>
      <c r="BK231" s="3">
        <f t="shared" si="169"/>
        <v>2368.260781399269</v>
      </c>
      <c r="BL231" s="3">
        <f t="shared" si="169"/>
        <v>2461.5243342748272</v>
      </c>
      <c r="BM231" s="3">
        <f t="shared" si="169"/>
        <v>2555.1586369957981</v>
      </c>
      <c r="BN231" s="3">
        <f t="shared" si="169"/>
        <v>2648.7009536250239</v>
      </c>
      <c r="BO231" s="3">
        <f t="shared" si="169"/>
        <v>2741.732598525432</v>
      </c>
      <c r="BP231" s="3">
        <f t="shared" si="169"/>
        <v>2834.0496817634071</v>
      </c>
      <c r="BQ231" s="3">
        <f t="shared" si="169"/>
        <v>2928.4807560080772</v>
      </c>
      <c r="BR231" s="3">
        <f t="shared" si="169"/>
        <v>3025.0514695635079</v>
      </c>
      <c r="BS231" s="3">
        <f t="shared" si="169"/>
        <v>3123.5924441778561</v>
      </c>
      <c r="BT231" s="3">
        <f t="shared" si="168"/>
        <v>3223.879176261376</v>
      </c>
      <c r="BU231" s="3">
        <f t="shared" si="168"/>
        <v>3326.3381682074569</v>
      </c>
      <c r="BV231" s="3">
        <f t="shared" si="168"/>
        <v>3431.089007847821</v>
      </c>
      <c r="BW231" s="3">
        <f t="shared" si="168"/>
        <v>3537.6503074751231</v>
      </c>
      <c r="BX231" s="3">
        <f t="shared" si="168"/>
        <v>3646.1818967895651</v>
      </c>
      <c r="BY231" s="3">
        <f t="shared" si="168"/>
        <v>3756.57692847609</v>
      </c>
      <c r="BZ231" s="3">
        <f t="shared" si="168"/>
        <v>3868.8690521879562</v>
      </c>
      <c r="CA231" s="3">
        <f t="shared" si="168"/>
        <v>3983.1850575612302</v>
      </c>
      <c r="CB231" s="3">
        <f t="shared" si="168"/>
        <v>4099.3875841402414</v>
      </c>
      <c r="CC231" s="3">
        <f t="shared" si="168"/>
        <v>4217.4304939737976</v>
      </c>
      <c r="CD231" s="3">
        <f t="shared" si="168"/>
        <v>4337.6540087041949</v>
      </c>
    </row>
    <row r="232" spans="1:82" s="9" customFormat="1" ht="31" customHeight="1" x14ac:dyDescent="0.2">
      <c r="A232" s="10" t="s">
        <v>186</v>
      </c>
      <c r="G232" s="9">
        <f>G217+G139+G100+G3</f>
        <v>39565.045300000005</v>
      </c>
      <c r="H232" s="9">
        <f t="shared" ref="H232:BS232" si="170">H217+H139+H100+H3</f>
        <v>42385.919700000006</v>
      </c>
      <c r="I232" s="9">
        <f t="shared" si="170"/>
        <v>48011.617199999993</v>
      </c>
      <c r="J232" s="9">
        <f t="shared" si="170"/>
        <v>48872.111700000001</v>
      </c>
      <c r="K232" s="9">
        <f t="shared" si="170"/>
        <v>58079.940699999992</v>
      </c>
      <c r="L232" s="9">
        <f t="shared" si="170"/>
        <v>56918.652300000002</v>
      </c>
      <c r="M232" s="9">
        <f t="shared" si="170"/>
        <v>63532.820600000006</v>
      </c>
      <c r="N232" s="9">
        <f t="shared" si="170"/>
        <v>58484.565500000004</v>
      </c>
      <c r="O232" s="9">
        <f t="shared" si="170"/>
        <v>61744.610800000002</v>
      </c>
      <c r="P232" s="9">
        <f t="shared" si="170"/>
        <v>60726.744299999991</v>
      </c>
      <c r="Q232" s="9">
        <f t="shared" si="170"/>
        <v>62160.5098</v>
      </c>
      <c r="R232" s="9">
        <f t="shared" si="170"/>
        <v>73560.110499999981</v>
      </c>
      <c r="S232" s="9">
        <f t="shared" si="170"/>
        <v>71752.98550000001</v>
      </c>
      <c r="T232" s="9">
        <f t="shared" si="170"/>
        <v>76585.913900000014</v>
      </c>
      <c r="U232" s="9">
        <f t="shared" si="170"/>
        <v>80841.417100000006</v>
      </c>
      <c r="V232" s="9">
        <f t="shared" si="170"/>
        <v>83598.355299999996</v>
      </c>
      <c r="W232" s="9">
        <f t="shared" si="170"/>
        <v>86682.920200000008</v>
      </c>
      <c r="X232" s="9">
        <f t="shared" si="170"/>
        <v>90308.287100000001</v>
      </c>
      <c r="Y232" s="9">
        <f t="shared" si="170"/>
        <v>97608.378800000006</v>
      </c>
      <c r="Z232" s="9">
        <f t="shared" si="170"/>
        <v>101532.56269999999</v>
      </c>
      <c r="AA232" s="9">
        <f t="shared" si="170"/>
        <v>104076.7144</v>
      </c>
      <c r="AB232" s="9">
        <f t="shared" si="170"/>
        <v>106248.9189</v>
      </c>
      <c r="AC232" s="9">
        <f t="shared" si="170"/>
        <v>105491.2066</v>
      </c>
      <c r="AD232" s="9">
        <f t="shared" si="170"/>
        <v>110623.4617</v>
      </c>
      <c r="AE232" s="9">
        <f t="shared" si="170"/>
        <v>111467.95989999999</v>
      </c>
      <c r="AF232" s="9">
        <f t="shared" si="170"/>
        <v>117343.47742967206</v>
      </c>
      <c r="AG232" s="9">
        <f t="shared" si="170"/>
        <v>116207.39265960323</v>
      </c>
      <c r="AH232" s="9">
        <f t="shared" si="170"/>
        <v>117952.63666707698</v>
      </c>
      <c r="AI232" s="9">
        <f t="shared" si="170"/>
        <v>119747.99236720086</v>
      </c>
      <c r="AJ232" s="9">
        <f t="shared" si="170"/>
        <v>123146.1231244379</v>
      </c>
      <c r="AK232" s="9">
        <f t="shared" si="170"/>
        <v>127039.30051252039</v>
      </c>
      <c r="AL232" s="9">
        <f t="shared" si="170"/>
        <v>129994.22549167965</v>
      </c>
      <c r="AM232" s="9">
        <f t="shared" si="170"/>
        <v>134297.24013988493</v>
      </c>
      <c r="AN232" s="9">
        <f t="shared" si="170"/>
        <v>140895.65425688203</v>
      </c>
      <c r="AO232" s="9">
        <f t="shared" si="170"/>
        <v>147811.90783857266</v>
      </c>
      <c r="AP232" s="9">
        <f t="shared" si="170"/>
        <v>154540.36444489667</v>
      </c>
      <c r="AQ232" s="9">
        <f t="shared" si="170"/>
        <v>160098.92106087564</v>
      </c>
      <c r="AR232" s="9">
        <f t="shared" si="170"/>
        <v>164804.20598929154</v>
      </c>
      <c r="AS232" s="9">
        <f t="shared" si="170"/>
        <v>168366.55939851821</v>
      </c>
      <c r="AT232" s="9">
        <f t="shared" si="170"/>
        <v>170615.04239208382</v>
      </c>
      <c r="AU232" s="9">
        <f t="shared" si="170"/>
        <v>171647.2121833472</v>
      </c>
      <c r="AV232" s="9">
        <f t="shared" si="170"/>
        <v>171805.81313664321</v>
      </c>
      <c r="AW232" s="9">
        <f t="shared" si="170"/>
        <v>171677.08159030371</v>
      </c>
      <c r="AX232" s="9">
        <f t="shared" si="170"/>
        <v>171916.85646366255</v>
      </c>
      <c r="AY232" s="9">
        <f t="shared" si="170"/>
        <v>172988.83949385397</v>
      </c>
      <c r="AZ232" s="9">
        <f t="shared" si="170"/>
        <v>174906.95395622769</v>
      </c>
      <c r="BA232" s="9">
        <f t="shared" si="170"/>
        <v>177587.73508792213</v>
      </c>
      <c r="BB232" s="9">
        <f t="shared" si="170"/>
        <v>180858.04196749517</v>
      </c>
      <c r="BC232" s="9">
        <f t="shared" si="170"/>
        <v>184568.28076902678</v>
      </c>
      <c r="BD232" s="9">
        <f t="shared" si="170"/>
        <v>188404.98623236298</v>
      </c>
      <c r="BE232" s="9">
        <f t="shared" si="170"/>
        <v>191908.00570492609</v>
      </c>
      <c r="BF232" s="9">
        <f t="shared" si="170"/>
        <v>195157.20542893565</v>
      </c>
      <c r="BG232" s="9">
        <f t="shared" si="170"/>
        <v>200398.93802307331</v>
      </c>
      <c r="BH232" s="9">
        <f t="shared" si="170"/>
        <v>206107.87701721926</v>
      </c>
      <c r="BI232" s="9">
        <f t="shared" si="170"/>
        <v>211860.01334731712</v>
      </c>
      <c r="BJ232" s="9">
        <f t="shared" si="170"/>
        <v>217517.51246623165</v>
      </c>
      <c r="BK232" s="9">
        <f t="shared" si="170"/>
        <v>222985.61991367053</v>
      </c>
      <c r="BL232" s="9">
        <f t="shared" si="170"/>
        <v>228234.89974711358</v>
      </c>
      <c r="BM232" s="9">
        <f t="shared" si="170"/>
        <v>233242.03927393432</v>
      </c>
      <c r="BN232" s="9">
        <f t="shared" si="170"/>
        <v>237949.46742279304</v>
      </c>
      <c r="BO232" s="9">
        <f t="shared" si="170"/>
        <v>242295.63762696867</v>
      </c>
      <c r="BP232" s="9">
        <f t="shared" si="170"/>
        <v>246382.48982747522</v>
      </c>
      <c r="BQ232" s="9">
        <f t="shared" si="170"/>
        <v>250441.18904804834</v>
      </c>
      <c r="BR232" s="9">
        <f t="shared" si="170"/>
        <v>254521.75308070506</v>
      </c>
      <c r="BS232" s="9">
        <f t="shared" si="170"/>
        <v>258549.11541606346</v>
      </c>
      <c r="BT232" s="9">
        <f t="shared" ref="BT232:CD232" si="171">BT217+BT139+BT100+BT3</f>
        <v>262204.66064315994</v>
      </c>
      <c r="BU232" s="9">
        <f t="shared" si="171"/>
        <v>264837.70684078499</v>
      </c>
      <c r="BV232" s="9">
        <f t="shared" si="171"/>
        <v>268757.02723410126</v>
      </c>
      <c r="BW232" s="9">
        <f t="shared" si="171"/>
        <v>272637.23333835864</v>
      </c>
      <c r="BX232" s="9">
        <f t="shared" si="171"/>
        <v>276483.61148721626</v>
      </c>
      <c r="BY232" s="9">
        <f t="shared" si="171"/>
        <v>280303.75164862361</v>
      </c>
      <c r="BZ232" s="9">
        <f t="shared" si="171"/>
        <v>285120.31187464122</v>
      </c>
      <c r="CA232" s="9">
        <f t="shared" si="171"/>
        <v>292514.12003951718</v>
      </c>
      <c r="CB232" s="9">
        <f t="shared" si="171"/>
        <v>300176.44571297069</v>
      </c>
      <c r="CC232" s="9">
        <f t="shared" si="171"/>
        <v>308039.97712557472</v>
      </c>
      <c r="CD232" s="9">
        <f t="shared" si="171"/>
        <v>310485.74836792157</v>
      </c>
    </row>
    <row r="233" spans="1:82" s="6" customFormat="1" x14ac:dyDescent="0.2"/>
    <row r="234" spans="1:82" x14ac:dyDescent="0.2">
      <c r="B234" t="s">
        <v>169</v>
      </c>
    </row>
    <row r="235" spans="1:82" ht="127" customHeight="1" x14ac:dyDescent="0.2">
      <c r="C235" s="13" t="s">
        <v>175</v>
      </c>
      <c r="D235" s="12"/>
      <c r="E235" s="12"/>
      <c r="F235" s="12"/>
      <c r="G235" s="12"/>
      <c r="H235" s="12"/>
      <c r="I235" s="12"/>
      <c r="J235" s="12"/>
      <c r="K235" s="12"/>
      <c r="L235" s="12"/>
      <c r="M235" s="12"/>
      <c r="N235" s="12"/>
    </row>
    <row r="237" spans="1:82" x14ac:dyDescent="0.2">
      <c r="B237" t="s">
        <v>170</v>
      </c>
    </row>
    <row r="238" spans="1:82" x14ac:dyDescent="0.2">
      <c r="C238" t="s">
        <v>171</v>
      </c>
      <c r="F238">
        <v>-99999</v>
      </c>
    </row>
    <row r="247" spans="2:90" x14ac:dyDescent="0.2">
      <c r="B247" s="1" t="s">
        <v>187</v>
      </c>
      <c r="C247" s="1"/>
      <c r="D247" s="1"/>
      <c r="E247" s="1"/>
      <c r="F247" s="1"/>
      <c r="G247" s="1"/>
    </row>
    <row r="248" spans="2:90" x14ac:dyDescent="0.2">
      <c r="B248" s="1"/>
      <c r="C248" s="1"/>
      <c r="D248" s="1"/>
      <c r="E248" s="1"/>
      <c r="F248" s="1"/>
      <c r="G248" s="1"/>
    </row>
    <row r="249" spans="2:90" x14ac:dyDescent="0.2">
      <c r="B249" s="1"/>
      <c r="C249" s="1"/>
      <c r="D249" s="1"/>
      <c r="E249" s="1"/>
      <c r="F249" s="1"/>
      <c r="G249" s="1"/>
    </row>
    <row r="250" spans="2:90" x14ac:dyDescent="0.2">
      <c r="B250" s="1"/>
      <c r="C250" s="1"/>
      <c r="D250" s="1"/>
      <c r="E250" s="1"/>
      <c r="F250" s="1"/>
      <c r="G250" s="1"/>
    </row>
    <row r="254" spans="2:90" x14ac:dyDescent="0.2">
      <c r="D254" t="s">
        <v>0</v>
      </c>
      <c r="F254" t="s">
        <v>1</v>
      </c>
      <c r="G254" t="s">
        <v>2</v>
      </c>
      <c r="H254" t="s">
        <v>3</v>
      </c>
      <c r="I254" t="s">
        <v>4</v>
      </c>
      <c r="L254" t="s">
        <v>5</v>
      </c>
      <c r="N254" t="s">
        <v>6</v>
      </c>
      <c r="O254">
        <v>0</v>
      </c>
      <c r="P254">
        <v>0</v>
      </c>
      <c r="Q254">
        <v>0</v>
      </c>
      <c r="R254">
        <v>0</v>
      </c>
      <c r="S254">
        <v>0</v>
      </c>
      <c r="T254">
        <v>0</v>
      </c>
      <c r="U254">
        <v>0</v>
      </c>
      <c r="V254">
        <v>0</v>
      </c>
      <c r="W254">
        <v>0</v>
      </c>
      <c r="X254">
        <v>0</v>
      </c>
      <c r="Y254">
        <v>0.1116</v>
      </c>
      <c r="Z254">
        <v>0.13950000000000001</v>
      </c>
      <c r="AA254">
        <v>0.1953</v>
      </c>
      <c r="AB254">
        <v>0.22320000000000001</v>
      </c>
      <c r="AC254">
        <v>0.16739999999999999</v>
      </c>
      <c r="AD254">
        <v>0.22320000000000001</v>
      </c>
      <c r="AE254">
        <v>0.30690000000000001</v>
      </c>
      <c r="AF254">
        <v>0.25109999999999999</v>
      </c>
      <c r="AG254">
        <v>8.3699999999999997E-2</v>
      </c>
      <c r="AH254">
        <v>5.5800000000000002E-2</v>
      </c>
      <c r="AI254">
        <v>5.5800000000000002E-2</v>
      </c>
      <c r="AJ254">
        <v>5.5800000000000002E-2</v>
      </c>
      <c r="AK254">
        <v>0.13950000000000001</v>
      </c>
      <c r="AL254">
        <v>0.25109999999999999</v>
      </c>
      <c r="AM254">
        <v>8.3699999999999997E-2</v>
      </c>
      <c r="AN254">
        <v>0.1022902378170501</v>
      </c>
      <c r="AO254">
        <v>0.15214537854862259</v>
      </c>
      <c r="AP254">
        <v>0.1985826144809249</v>
      </c>
      <c r="AQ254">
        <v>0.21833879725717381</v>
      </c>
      <c r="AR254">
        <v>0.20180341566743229</v>
      </c>
      <c r="AS254">
        <v>0.25545154881886217</v>
      </c>
      <c r="AT254">
        <v>0.31483244845377822</v>
      </c>
      <c r="AU254">
        <v>0.39255447323193687</v>
      </c>
      <c r="AV254">
        <v>0.62813463123955282</v>
      </c>
      <c r="AW254">
        <v>0.868651839569197</v>
      </c>
      <c r="AX254">
        <v>1.098785853720333</v>
      </c>
      <c r="AY254">
        <v>1.19265540790637</v>
      </c>
      <c r="AZ254">
        <v>1.263630510975464</v>
      </c>
      <c r="BA254">
        <v>1.310390545730417</v>
      </c>
      <c r="BB254">
        <v>1.347601762506925</v>
      </c>
      <c r="BC254">
        <v>1.377079532151849</v>
      </c>
      <c r="BD254">
        <v>1.405478817666014</v>
      </c>
      <c r="BE254">
        <v>1.4351436116227141</v>
      </c>
      <c r="BF254">
        <v>1.4694308164945309</v>
      </c>
      <c r="BG254">
        <v>1.5131824246229579</v>
      </c>
      <c r="BH254">
        <v>1.567902277329019</v>
      </c>
      <c r="BI254">
        <v>1.612876557723689</v>
      </c>
      <c r="BJ254">
        <v>1.6603758649337761</v>
      </c>
      <c r="BK254">
        <v>1.702917827843204</v>
      </c>
      <c r="BL254">
        <v>1.741125152198751</v>
      </c>
      <c r="BM254">
        <v>1.7757923076260189</v>
      </c>
      <c r="BN254">
        <v>1.7919750857544621</v>
      </c>
      <c r="BO254">
        <v>1.812899274051895</v>
      </c>
      <c r="BP254">
        <v>1.8392037818726239</v>
      </c>
      <c r="BQ254">
        <v>1.88420764930387</v>
      </c>
      <c r="BR254">
        <v>1.9515787943868681</v>
      </c>
      <c r="BS254">
        <v>1.967047243983874</v>
      </c>
      <c r="BT254">
        <v>1.9713369760312021</v>
      </c>
      <c r="BU254">
        <v>1.9722186986397661</v>
      </c>
      <c r="BV254">
        <v>1.965829861875293</v>
      </c>
      <c r="BW254">
        <v>1.956197432432508</v>
      </c>
      <c r="BX254">
        <v>1.9374219649867159</v>
      </c>
      <c r="BY254">
        <v>1.9143983472766679</v>
      </c>
      <c r="BZ254">
        <v>1.8860324675090701</v>
      </c>
      <c r="CA254">
        <v>1.853133391026045</v>
      </c>
      <c r="CB254">
        <v>1.814713939732876</v>
      </c>
      <c r="CC254">
        <v>1.7733020804755499</v>
      </c>
      <c r="CD254">
        <v>1.725635669230319</v>
      </c>
      <c r="CE254">
        <v>1.672267350322836</v>
      </c>
      <c r="CF254">
        <v>1.6117299065896851</v>
      </c>
      <c r="CG254">
        <v>1.543551333493576</v>
      </c>
      <c r="CH254">
        <v>1.4672379112760821</v>
      </c>
      <c r="CI254">
        <v>1.382281412644875</v>
      </c>
      <c r="CJ254">
        <v>1.288174535686657</v>
      </c>
      <c r="CK254">
        <v>1.184419834254353</v>
      </c>
      <c r="CL254">
        <v>1.070567911121427</v>
      </c>
    </row>
    <row r="255" spans="2:90" x14ac:dyDescent="0.2">
      <c r="D255" t="s">
        <v>0</v>
      </c>
      <c r="F255" t="s">
        <v>1</v>
      </c>
      <c r="G255" t="s">
        <v>2</v>
      </c>
      <c r="H255" t="s">
        <v>3</v>
      </c>
      <c r="I255" t="s">
        <v>4</v>
      </c>
      <c r="L255" t="s">
        <v>5</v>
      </c>
      <c r="N255" t="s">
        <v>7</v>
      </c>
      <c r="O255">
        <v>0.874</v>
      </c>
      <c r="P255">
        <v>0.874</v>
      </c>
      <c r="Q255">
        <v>0.95599999999999996</v>
      </c>
      <c r="R255">
        <v>0.90300000000000002</v>
      </c>
      <c r="S255">
        <v>0.97899999999999998</v>
      </c>
      <c r="T255">
        <v>0.98599999999999999</v>
      </c>
      <c r="U255">
        <v>1.054</v>
      </c>
      <c r="V255">
        <v>1.052</v>
      </c>
      <c r="W255">
        <v>1.129</v>
      </c>
      <c r="X255">
        <v>1.129</v>
      </c>
      <c r="Y255">
        <v>105.96299999999999</v>
      </c>
      <c r="Z255">
        <v>121.288</v>
      </c>
      <c r="AA255">
        <v>171.29</v>
      </c>
      <c r="AB255">
        <v>199.06399999999999</v>
      </c>
      <c r="AC255">
        <v>147.363</v>
      </c>
      <c r="AD255">
        <v>207.17599999999999</v>
      </c>
      <c r="AE255">
        <v>277.76400000000001</v>
      </c>
      <c r="AF255">
        <v>235.387</v>
      </c>
      <c r="AG255">
        <v>84.366</v>
      </c>
      <c r="AH255">
        <v>42.957000000000001</v>
      </c>
      <c r="AI255">
        <v>52.786999999999999</v>
      </c>
      <c r="AJ255">
        <v>43.420999999999999</v>
      </c>
      <c r="AK255">
        <v>122.776</v>
      </c>
      <c r="AL255">
        <v>223.33699999999999</v>
      </c>
      <c r="AM255">
        <v>74.471000000000004</v>
      </c>
      <c r="AN255">
        <v>86.844756360416113</v>
      </c>
      <c r="AO255">
        <v>102.84550483486881</v>
      </c>
      <c r="AP255">
        <v>113.79619812860849</v>
      </c>
      <c r="AQ255">
        <v>108.3738988506492</v>
      </c>
      <c r="AR255">
        <v>103.1956085815312</v>
      </c>
      <c r="AS255">
        <v>108.06516560702759</v>
      </c>
      <c r="AT255">
        <v>113.7649349930148</v>
      </c>
      <c r="AU255">
        <v>122.71345699148679</v>
      </c>
      <c r="AV255">
        <v>159.43229149568299</v>
      </c>
      <c r="AW255">
        <v>190.81165303365569</v>
      </c>
      <c r="AX255">
        <v>216.05055208224701</v>
      </c>
      <c r="AY255">
        <v>225.28934075603451</v>
      </c>
      <c r="AZ255">
        <v>229.7554445652431</v>
      </c>
      <c r="BA255">
        <v>229.59373889462461</v>
      </c>
      <c r="BB255">
        <v>227.11545290617931</v>
      </c>
      <c r="BC255">
        <v>222.70066399243569</v>
      </c>
      <c r="BD255">
        <v>217.2621359519697</v>
      </c>
      <c r="BE255">
        <v>211.07292670200459</v>
      </c>
      <c r="BF255">
        <v>204.4481197649219</v>
      </c>
      <c r="BG255">
        <v>197.7390546500138</v>
      </c>
      <c r="BH255">
        <v>190.84770132289111</v>
      </c>
      <c r="BI255">
        <v>182.08893735310289</v>
      </c>
      <c r="BJ255">
        <v>172.5747934678659</v>
      </c>
      <c r="BK255">
        <v>162.0193728595884</v>
      </c>
      <c r="BL255">
        <v>150.78439639095529</v>
      </c>
      <c r="BM255">
        <v>139.24249832885459</v>
      </c>
      <c r="BN255">
        <v>127.3457682748637</v>
      </c>
      <c r="BO255">
        <v>116.2514328392988</v>
      </c>
      <c r="BP255">
        <v>106.1065754560798</v>
      </c>
      <c r="BQ255">
        <v>97.113419581409914</v>
      </c>
      <c r="BR255">
        <v>89.187044540604802</v>
      </c>
      <c r="BS255">
        <v>91.274012957917492</v>
      </c>
      <c r="BT255">
        <v>93.349350293405408</v>
      </c>
      <c r="BU255">
        <v>95.41212879110509</v>
      </c>
      <c r="BV255">
        <v>97.459532200301311</v>
      </c>
      <c r="BW255">
        <v>99.488383252615904</v>
      </c>
      <c r="BX255">
        <v>101.4964426891901</v>
      </c>
      <c r="BY255">
        <v>103.5047113514856</v>
      </c>
      <c r="BZ255">
        <v>105.5148563771635</v>
      </c>
      <c r="CA255">
        <v>107.5271064484494</v>
      </c>
      <c r="CB255">
        <v>109.540717360339</v>
      </c>
      <c r="CC255">
        <v>111.5579900525086</v>
      </c>
      <c r="CD255">
        <v>113.58040909613641</v>
      </c>
      <c r="CE255">
        <v>115.6061543475017</v>
      </c>
      <c r="CF255">
        <v>117.63569352038419</v>
      </c>
      <c r="CG255">
        <v>119.6684141388084</v>
      </c>
      <c r="CH255">
        <v>121.70415584950079</v>
      </c>
      <c r="CI255">
        <v>123.74337279980369</v>
      </c>
      <c r="CJ255">
        <v>125.7853894284578</v>
      </c>
      <c r="CK255">
        <v>127.8296799183</v>
      </c>
      <c r="CL255">
        <v>129.8775729605529</v>
      </c>
    </row>
    <row r="256" spans="2:90" x14ac:dyDescent="0.2">
      <c r="D256" t="s">
        <v>0</v>
      </c>
      <c r="F256" t="s">
        <v>1</v>
      </c>
      <c r="G256" t="s">
        <v>2</v>
      </c>
      <c r="H256" t="s">
        <v>3</v>
      </c>
      <c r="I256" t="s">
        <v>4</v>
      </c>
      <c r="L256" t="s">
        <v>5</v>
      </c>
      <c r="N256" t="s">
        <v>8</v>
      </c>
      <c r="O256">
        <v>0</v>
      </c>
      <c r="P256">
        <v>0</v>
      </c>
      <c r="Q256">
        <v>0</v>
      </c>
      <c r="R256">
        <v>0</v>
      </c>
      <c r="S256">
        <v>0</v>
      </c>
      <c r="T256">
        <v>0</v>
      </c>
      <c r="U256">
        <v>0</v>
      </c>
      <c r="V256">
        <v>0</v>
      </c>
      <c r="W256">
        <v>0</v>
      </c>
      <c r="X256">
        <v>0</v>
      </c>
      <c r="Y256">
        <v>0.27300000000000002</v>
      </c>
      <c r="Z256">
        <v>0.27300000000000002</v>
      </c>
      <c r="AA256">
        <v>0.27300000000000002</v>
      </c>
      <c r="AB256">
        <v>0.54600000000000004</v>
      </c>
      <c r="AC256">
        <v>0.27300000000000002</v>
      </c>
      <c r="AD256">
        <v>0.54600000000000004</v>
      </c>
      <c r="AE256">
        <v>0.54600000000000004</v>
      </c>
      <c r="AF256">
        <v>0.54600000000000004</v>
      </c>
      <c r="AG256">
        <v>0.27300000000000002</v>
      </c>
      <c r="AH256">
        <v>0</v>
      </c>
      <c r="AI256">
        <v>0</v>
      </c>
      <c r="AJ256">
        <v>0</v>
      </c>
      <c r="AK256">
        <v>0.27300000000000002</v>
      </c>
      <c r="AL256">
        <v>0.54600000000000004</v>
      </c>
      <c r="AM256">
        <v>0.27300000000000002</v>
      </c>
      <c r="AN256">
        <v>0.32633992139991108</v>
      </c>
      <c r="AO256">
        <v>0.47431257857559322</v>
      </c>
      <c r="AP256">
        <v>0.61843240490944973</v>
      </c>
      <c r="AQ256">
        <v>0.6712785040026561</v>
      </c>
      <c r="AR256">
        <v>0.61686352255955634</v>
      </c>
      <c r="AS256">
        <v>0.77723695776255153</v>
      </c>
      <c r="AT256">
        <v>0.95499717027569997</v>
      </c>
      <c r="AU256">
        <v>1.1890793832795929</v>
      </c>
      <c r="AV256">
        <v>1.910256984110706</v>
      </c>
      <c r="AW256">
        <v>2.6417886798050838</v>
      </c>
      <c r="AX256">
        <v>3.3378790274854468</v>
      </c>
      <c r="AY256">
        <v>3.6193498075428749</v>
      </c>
      <c r="AZ256">
        <v>3.8294412698312672</v>
      </c>
      <c r="BA256">
        <v>3.9643543517216981</v>
      </c>
      <c r="BB256">
        <v>4.0691614126352853</v>
      </c>
      <c r="BC256">
        <v>4.14950670531565</v>
      </c>
      <c r="BD256">
        <v>4.2257369280260706</v>
      </c>
      <c r="BE256">
        <v>4.3049780213131408</v>
      </c>
      <c r="BF256">
        <v>4.3973807047638616</v>
      </c>
      <c r="BG256">
        <v>4.5175117495389996</v>
      </c>
      <c r="BH256">
        <v>4.6698943390938892</v>
      </c>
      <c r="BI256">
        <v>4.7920722809429606</v>
      </c>
      <c r="BJ256">
        <v>4.9212609409310764</v>
      </c>
      <c r="BK256">
        <v>5.0350854615564362</v>
      </c>
      <c r="BL256">
        <v>5.135687502382269</v>
      </c>
      <c r="BM256">
        <v>5.2257259512946241</v>
      </c>
      <c r="BN256">
        <v>5.2610296101120584</v>
      </c>
      <c r="BO256">
        <v>5.3109622390470141</v>
      </c>
      <c r="BP256">
        <v>5.3775290654258283</v>
      </c>
      <c r="BQ256">
        <v>5.5002592172963292</v>
      </c>
      <c r="BR256">
        <v>5.689937456139706</v>
      </c>
      <c r="BS256">
        <v>5.7337409244156934</v>
      </c>
      <c r="BT256">
        <v>5.7445447659181053</v>
      </c>
      <c r="BU256">
        <v>5.745321738017342</v>
      </c>
      <c r="BV256">
        <v>5.7246638990435121</v>
      </c>
      <c r="BW256">
        <v>5.6944811514541582</v>
      </c>
      <c r="BX256">
        <v>5.6373413448921186</v>
      </c>
      <c r="BY256">
        <v>5.5676250712112454</v>
      </c>
      <c r="BZ256">
        <v>5.4820983122609306</v>
      </c>
      <c r="CA256">
        <v>5.3831543640647954</v>
      </c>
      <c r="CB256">
        <v>5.2678778422660759</v>
      </c>
      <c r="CC256">
        <v>5.1437358962069197</v>
      </c>
      <c r="CD256">
        <v>5.0010853548898027</v>
      </c>
      <c r="CE256">
        <v>4.8415647268613586</v>
      </c>
      <c r="CF256">
        <v>4.6608355109484334</v>
      </c>
      <c r="CG256">
        <v>4.4575035237035729</v>
      </c>
      <c r="CH256">
        <v>4.2301090184308414</v>
      </c>
      <c r="CI256">
        <v>3.9771482492881272</v>
      </c>
      <c r="CJ256">
        <v>3.6971229389734162</v>
      </c>
      <c r="CK256">
        <v>3.388562961443228</v>
      </c>
      <c r="CL256">
        <v>3.0501365295364069</v>
      </c>
    </row>
    <row r="257" spans="4:90" x14ac:dyDescent="0.2">
      <c r="D257" t="s">
        <v>0</v>
      </c>
      <c r="F257" t="s">
        <v>1</v>
      </c>
      <c r="G257" t="s">
        <v>2</v>
      </c>
      <c r="H257" t="s">
        <v>9</v>
      </c>
      <c r="L257" t="s">
        <v>10</v>
      </c>
      <c r="N257" t="s">
        <v>6</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1.92487349314935E-2</v>
      </c>
      <c r="AV257">
        <v>4.1292444866770597E-2</v>
      </c>
      <c r="AW257">
        <v>6.6535906873790199E-2</v>
      </c>
      <c r="AX257">
        <v>9.48986885526866E-2</v>
      </c>
      <c r="AY257">
        <v>9.9856845755262311E-2</v>
      </c>
      <c r="AZ257">
        <v>0.10474088479889999</v>
      </c>
      <c r="BA257">
        <v>0.10953109113539999</v>
      </c>
      <c r="BB257">
        <v>0.1142471931964</v>
      </c>
      <c r="BC257">
        <v>0.1189472864689</v>
      </c>
      <c r="BD257">
        <v>0.1237387374912</v>
      </c>
      <c r="BE257">
        <v>0.12875364098850001</v>
      </c>
      <c r="BF257">
        <v>0.1341220560743</v>
      </c>
      <c r="BG257">
        <v>0.13995496593039999</v>
      </c>
      <c r="BH257">
        <v>0.14558408023309999</v>
      </c>
      <c r="BI257">
        <v>0.15319152112109999</v>
      </c>
      <c r="BJ257">
        <v>0.16056351562339999</v>
      </c>
      <c r="BK257">
        <v>0.1675258258175</v>
      </c>
      <c r="BL257">
        <v>0.17393660581100001</v>
      </c>
      <c r="BM257">
        <v>0.1796520229644</v>
      </c>
      <c r="BN257">
        <v>0.18458504951990001</v>
      </c>
      <c r="BO257">
        <v>0.18933475780510001</v>
      </c>
      <c r="BP257">
        <v>0.19386219506989999</v>
      </c>
      <c r="BQ257">
        <v>0.19812882415909999</v>
      </c>
      <c r="BR257">
        <v>0.20209560830420001</v>
      </c>
      <c r="BS257">
        <v>0.20624776825419999</v>
      </c>
      <c r="BT257">
        <v>0.21004499545239999</v>
      </c>
      <c r="BU257">
        <v>0.2134527616571</v>
      </c>
      <c r="BV257">
        <v>0.21644540693059999</v>
      </c>
      <c r="BW257">
        <v>0.21900099781320001</v>
      </c>
      <c r="BX257">
        <v>0.22109985780950001</v>
      </c>
      <c r="BY257">
        <v>0.22318357250010001</v>
      </c>
      <c r="BZ257">
        <v>0.22525287881559999</v>
      </c>
      <c r="CA257">
        <v>0.2273109046007</v>
      </c>
      <c r="CB257">
        <v>0.22936062817069999</v>
      </c>
      <c r="CC257">
        <v>0.23140744048129999</v>
      </c>
      <c r="CD257">
        <v>0.2334520662714</v>
      </c>
      <c r="CE257">
        <v>0.23550824874330001</v>
      </c>
      <c r="CF257">
        <v>0.23758662954400001</v>
      </c>
      <c r="CG257">
        <v>0.23970335088360001</v>
      </c>
      <c r="CH257">
        <v>0.24187737398270001</v>
      </c>
      <c r="CI257">
        <v>0.2441305124698</v>
      </c>
      <c r="CJ257">
        <v>0.24648936137380001</v>
      </c>
      <c r="CK257">
        <v>0.24898118481039999</v>
      </c>
      <c r="CL257">
        <v>0.25162813874029999</v>
      </c>
    </row>
    <row r="258" spans="4:90" x14ac:dyDescent="0.2">
      <c r="D258" t="s">
        <v>0</v>
      </c>
      <c r="F258" t="s">
        <v>1</v>
      </c>
      <c r="G258" t="s">
        <v>2</v>
      </c>
      <c r="H258" t="s">
        <v>9</v>
      </c>
      <c r="L258" t="s">
        <v>10</v>
      </c>
      <c r="N258" t="s">
        <v>7</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16.856988277452</v>
      </c>
      <c r="AV258">
        <v>36.161662651794899</v>
      </c>
      <c r="AW258">
        <v>58.268504719551501</v>
      </c>
      <c r="AX258">
        <v>83.107076188206108</v>
      </c>
      <c r="AY258">
        <v>87.449158830989902</v>
      </c>
      <c r="AZ258">
        <v>91.726332847839302</v>
      </c>
      <c r="BA258">
        <v>95.921333316569104</v>
      </c>
      <c r="BB258">
        <v>100.051437317777</v>
      </c>
      <c r="BC258">
        <v>104.16752169837601</v>
      </c>
      <c r="BD258">
        <v>108.363612194816</v>
      </c>
      <c r="BE258">
        <v>112.7553901359</v>
      </c>
      <c r="BF258">
        <v>117.456754173148</v>
      </c>
      <c r="BG258">
        <v>122.56489730144099</v>
      </c>
      <c r="BH258">
        <v>127.494567440818</v>
      </c>
      <c r="BI258">
        <v>134.156747699774</v>
      </c>
      <c r="BJ258">
        <v>140.61273690369401</v>
      </c>
      <c r="BK258">
        <v>146.70994701868401</v>
      </c>
      <c r="BL258">
        <v>152.324157177671</v>
      </c>
      <c r="BM258">
        <v>157.329406629039</v>
      </c>
      <c r="BN258">
        <v>161.64948122693499</v>
      </c>
      <c r="BO258">
        <v>165.809015719483</v>
      </c>
      <c r="BP258">
        <v>169.773897420569</v>
      </c>
      <c r="BQ258">
        <v>173.51037759951899</v>
      </c>
      <c r="BR258">
        <v>176.98426999144601</v>
      </c>
      <c r="BS258">
        <v>180.62050436493399</v>
      </c>
      <c r="BT258">
        <v>183.94590806518701</v>
      </c>
      <c r="BU258">
        <v>186.93024314850001</v>
      </c>
      <c r="BV258">
        <v>189.55103804611301</v>
      </c>
      <c r="BW258">
        <v>191.78908463479601</v>
      </c>
      <c r="BX258">
        <v>193.62715131705701</v>
      </c>
      <c r="BY258">
        <v>195.45195456975901</v>
      </c>
      <c r="BZ258">
        <v>197.264139756275</v>
      </c>
      <c r="CA258">
        <v>199.06644607190199</v>
      </c>
      <c r="CB258">
        <v>200.86148176194999</v>
      </c>
      <c r="CC258">
        <v>202.65396793047799</v>
      </c>
      <c r="CD258">
        <v>204.44453926401201</v>
      </c>
      <c r="CE258">
        <v>206.245231306862</v>
      </c>
      <c r="CF258">
        <v>208.06536343078801</v>
      </c>
      <c r="CG258">
        <v>209.919072099701</v>
      </c>
      <c r="CH258">
        <v>211.822962512597</v>
      </c>
      <c r="CI258">
        <v>213.79613785112099</v>
      </c>
      <c r="CJ258">
        <v>215.861888585619</v>
      </c>
      <c r="CK258">
        <v>218.04409113605999</v>
      </c>
      <c r="CL258">
        <v>220.36214847984999</v>
      </c>
    </row>
    <row r="259" spans="4:90" x14ac:dyDescent="0.2">
      <c r="D259" t="s">
        <v>0</v>
      </c>
      <c r="F259" t="s">
        <v>1</v>
      </c>
      <c r="G259" t="s">
        <v>2</v>
      </c>
      <c r="H259" t="s">
        <v>9</v>
      </c>
      <c r="L259" t="s">
        <v>10</v>
      </c>
      <c r="N259" t="s">
        <v>8</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3.7688339255032198E-2</v>
      </c>
      <c r="AV259">
        <v>8.0849140286219201E-2</v>
      </c>
      <c r="AW259">
        <v>0.1302749422144</v>
      </c>
      <c r="AX259">
        <v>0.1858082612577</v>
      </c>
      <c r="AY259">
        <v>0.19551615693989999</v>
      </c>
      <c r="AZ259">
        <v>0.20507893189990001</v>
      </c>
      <c r="BA259">
        <v>0.21445798575210001</v>
      </c>
      <c r="BB259">
        <v>0.22369194606539999</v>
      </c>
      <c r="BC259">
        <v>0.23289456173940001</v>
      </c>
      <c r="BD259">
        <v>0.24227605264230001</v>
      </c>
      <c r="BE259">
        <v>0.25209505555380002</v>
      </c>
      <c r="BF259">
        <v>0.2626062215985</v>
      </c>
      <c r="BG259">
        <v>0.27402685190409998</v>
      </c>
      <c r="BH259">
        <v>0.28504845775499998</v>
      </c>
      <c r="BI259">
        <v>0.2999435567873</v>
      </c>
      <c r="BJ259">
        <v>0.31437766015969998</v>
      </c>
      <c r="BK259">
        <v>0.32800961620899999</v>
      </c>
      <c r="BL259">
        <v>0.34056169571680001</v>
      </c>
      <c r="BM259">
        <v>0.35175227948389998</v>
      </c>
      <c r="BN259">
        <v>0.36141097025199997</v>
      </c>
      <c r="BO259">
        <v>0.37071073035840002</v>
      </c>
      <c r="BP259">
        <v>0.3795752917022</v>
      </c>
      <c r="BQ259">
        <v>0.38792919990250002</v>
      </c>
      <c r="BR259">
        <v>0.39569602235309997</v>
      </c>
      <c r="BS259">
        <v>0.40382580404500001</v>
      </c>
      <c r="BT259">
        <v>0.41126064001649998</v>
      </c>
      <c r="BU259">
        <v>0.41793292519690001</v>
      </c>
      <c r="BV259">
        <v>0.42379241833969999</v>
      </c>
      <c r="BW259">
        <v>0.42879617450980001</v>
      </c>
      <c r="BX259">
        <v>0.4329056678282</v>
      </c>
      <c r="BY259">
        <v>0.43698550717610002</v>
      </c>
      <c r="BZ259">
        <v>0.44103713543720002</v>
      </c>
      <c r="CA259">
        <v>0.4450666768207</v>
      </c>
      <c r="CB259">
        <v>0.44907996276169998</v>
      </c>
      <c r="CC259">
        <v>0.45308754856040001</v>
      </c>
      <c r="CD259">
        <v>0.45709085322949999</v>
      </c>
      <c r="CE259">
        <v>0.4611167854712</v>
      </c>
      <c r="CF259">
        <v>0.46518618125220002</v>
      </c>
      <c r="CG259">
        <v>0.46933064644630001</v>
      </c>
      <c r="CH259">
        <v>0.4735873064501</v>
      </c>
      <c r="CI259">
        <v>0.47799887157339999</v>
      </c>
      <c r="CJ259">
        <v>0.48261741393789998</v>
      </c>
      <c r="CK259">
        <v>0.48749631571390001</v>
      </c>
      <c r="CL259">
        <v>0.49267895748520002</v>
      </c>
    </row>
    <row r="260" spans="4:90" x14ac:dyDescent="0.2">
      <c r="D260" t="s">
        <v>0</v>
      </c>
      <c r="F260" t="s">
        <v>1</v>
      </c>
      <c r="G260" t="s">
        <v>2</v>
      </c>
      <c r="H260" t="s">
        <v>11</v>
      </c>
      <c r="I260" t="s">
        <v>12</v>
      </c>
      <c r="L260" t="s">
        <v>10</v>
      </c>
      <c r="N260" t="s">
        <v>6</v>
      </c>
      <c r="O260">
        <v>54.823500000000003</v>
      </c>
      <c r="P260">
        <v>54.823500000000003</v>
      </c>
      <c r="Q260">
        <v>59.817599999999999</v>
      </c>
      <c r="R260">
        <v>62.496000000000002</v>
      </c>
      <c r="S260">
        <v>77.617800000000003</v>
      </c>
      <c r="T260">
        <v>77.896799999999985</v>
      </c>
      <c r="U260">
        <v>89.447399999999988</v>
      </c>
      <c r="V260">
        <v>105.82470000000001</v>
      </c>
      <c r="W260">
        <v>114.13890000000001</v>
      </c>
      <c r="X260">
        <v>122.45310000000001</v>
      </c>
      <c r="Y260">
        <v>128.70269999999999</v>
      </c>
      <c r="Z260">
        <v>128.98169999999999</v>
      </c>
      <c r="AA260">
        <v>141.2577</v>
      </c>
      <c r="AB260">
        <v>147.8142</v>
      </c>
      <c r="AC260">
        <v>154.28700000000001</v>
      </c>
      <c r="AD260">
        <v>160.62029999999999</v>
      </c>
      <c r="AE260">
        <v>160.62029999999999</v>
      </c>
      <c r="AF260">
        <v>160.62029999999999</v>
      </c>
      <c r="AG260">
        <v>199.90350000000001</v>
      </c>
      <c r="AH260">
        <v>125.2431</v>
      </c>
      <c r="AI260">
        <v>461.80079999999998</v>
      </c>
      <c r="AJ260">
        <v>309.35520000000002</v>
      </c>
      <c r="AK260">
        <v>309.35520000000002</v>
      </c>
      <c r="AL260">
        <v>1030.4865</v>
      </c>
      <c r="AM260">
        <v>1288.1987999999999</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row>
    <row r="261" spans="4:90" x14ac:dyDescent="0.2">
      <c r="D261" t="s">
        <v>0</v>
      </c>
      <c r="F261" t="s">
        <v>1</v>
      </c>
      <c r="G261" t="s">
        <v>2</v>
      </c>
      <c r="H261" t="s">
        <v>11</v>
      </c>
      <c r="I261" t="s">
        <v>12</v>
      </c>
      <c r="L261" t="s">
        <v>10</v>
      </c>
      <c r="N261" t="s">
        <v>7</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row>
    <row r="262" spans="4:90" x14ac:dyDescent="0.2">
      <c r="D262" t="s">
        <v>0</v>
      </c>
      <c r="F262" t="s">
        <v>1</v>
      </c>
      <c r="G262" t="s">
        <v>2</v>
      </c>
      <c r="H262" t="s">
        <v>11</v>
      </c>
      <c r="I262" t="s">
        <v>12</v>
      </c>
      <c r="L262" t="s">
        <v>10</v>
      </c>
      <c r="N262" t="s">
        <v>8</v>
      </c>
      <c r="O262">
        <v>10.647</v>
      </c>
      <c r="P262">
        <v>10.647</v>
      </c>
      <c r="Q262">
        <v>11.739000000000001</v>
      </c>
      <c r="R262">
        <v>12.285</v>
      </c>
      <c r="S262">
        <v>15.288</v>
      </c>
      <c r="T262">
        <v>15.288</v>
      </c>
      <c r="U262">
        <v>17.472000000000001</v>
      </c>
      <c r="V262">
        <v>20.748000000000001</v>
      </c>
      <c r="W262">
        <v>22.385999999999999</v>
      </c>
      <c r="X262">
        <v>24.024000000000001</v>
      </c>
      <c r="Y262">
        <v>25.116</v>
      </c>
      <c r="Z262">
        <v>25.116</v>
      </c>
      <c r="AA262">
        <v>27.573</v>
      </c>
      <c r="AB262">
        <v>28.937999999999999</v>
      </c>
      <c r="AC262">
        <v>30.303000000000001</v>
      </c>
      <c r="AD262">
        <v>31.395</v>
      </c>
      <c r="AE262">
        <v>31.395</v>
      </c>
      <c r="AF262">
        <v>31.395</v>
      </c>
      <c r="AG262">
        <v>39.038999999999987</v>
      </c>
      <c r="AH262">
        <v>24.57</v>
      </c>
      <c r="AI262">
        <v>90.363</v>
      </c>
      <c r="AJ262">
        <v>60.606000000000002</v>
      </c>
      <c r="AK262">
        <v>60.606000000000002</v>
      </c>
      <c r="AL262">
        <v>251.97900000000001</v>
      </c>
      <c r="AM262">
        <v>315.04199999999997</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row>
    <row r="263" spans="4:90" x14ac:dyDescent="0.2">
      <c r="D263" t="s">
        <v>0</v>
      </c>
      <c r="F263" t="s">
        <v>1</v>
      </c>
      <c r="G263" t="s">
        <v>2</v>
      </c>
      <c r="H263" t="s">
        <v>11</v>
      </c>
      <c r="I263" t="s">
        <v>13</v>
      </c>
      <c r="L263" t="s">
        <v>10</v>
      </c>
      <c r="N263" t="s">
        <v>6</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5.0832101700803697E-2</v>
      </c>
      <c r="AV263">
        <v>0.45312746983169999</v>
      </c>
      <c r="AW263">
        <v>0.70756601376169992</v>
      </c>
      <c r="AX263">
        <v>0.85071841987859997</v>
      </c>
      <c r="AY263">
        <v>0.97139420018613554</v>
      </c>
      <c r="AZ263">
        <v>1.0234389272039111</v>
      </c>
      <c r="BA263">
        <v>1.026985894455491</v>
      </c>
      <c r="BB263">
        <v>1.007666723821572</v>
      </c>
      <c r="BC263">
        <v>0.97785679835970785</v>
      </c>
      <c r="BD263">
        <v>0.9491877487371001</v>
      </c>
      <c r="BE263">
        <v>0.92627336734230004</v>
      </c>
      <c r="BF263">
        <v>0.91633352785790001</v>
      </c>
      <c r="BG263">
        <v>0.94344032205237949</v>
      </c>
      <c r="BH263">
        <v>1.0397338688621509</v>
      </c>
      <c r="BI263">
        <v>1.136650792934633</v>
      </c>
      <c r="BJ263">
        <v>1.22833665187728</v>
      </c>
      <c r="BK263">
        <v>1.316534275030498</v>
      </c>
      <c r="BL263">
        <v>1.401635120111715</v>
      </c>
      <c r="BM263">
        <v>1.4838911077338279</v>
      </c>
      <c r="BN263">
        <v>1.490609257750438</v>
      </c>
      <c r="BO263">
        <v>1.4974757272791701</v>
      </c>
      <c r="BP263">
        <v>1.5044022771282639</v>
      </c>
      <c r="BQ263">
        <v>1.5113096198174081</v>
      </c>
      <c r="BR263">
        <v>1.5201099378151259</v>
      </c>
      <c r="BS263">
        <v>1.524924549204409</v>
      </c>
      <c r="BT263">
        <v>1.531521416826507</v>
      </c>
      <c r="BU263">
        <v>1.5378726709652391</v>
      </c>
      <c r="BV263">
        <v>1.5439374557655909</v>
      </c>
      <c r="BW263">
        <v>1.5496774758701819</v>
      </c>
      <c r="BX263">
        <v>1.5550568094808901</v>
      </c>
      <c r="BY263">
        <v>1.560741412561931</v>
      </c>
      <c r="BZ263">
        <v>1.566743741738359</v>
      </c>
      <c r="CA263">
        <v>1.573084639991968</v>
      </c>
      <c r="CB263">
        <v>1.578103126152465</v>
      </c>
      <c r="CC263">
        <v>1.5867896347623831</v>
      </c>
      <c r="CD263">
        <v>1.593961382074349</v>
      </c>
      <c r="CE263">
        <v>1.601319336067057</v>
      </c>
      <c r="CF263">
        <v>1.6088700287621811</v>
      </c>
      <c r="CG263">
        <v>1.616622129116458</v>
      </c>
      <c r="CH263">
        <v>1.624584436933008</v>
      </c>
      <c r="CI263">
        <v>1.632765936984786</v>
      </c>
      <c r="CJ263">
        <v>1.641177603378235</v>
      </c>
      <c r="CK263">
        <v>1.6498305131222859</v>
      </c>
      <c r="CL263">
        <v>1.6591403912763989</v>
      </c>
    </row>
    <row r="264" spans="4:90" x14ac:dyDescent="0.2">
      <c r="D264" t="s">
        <v>0</v>
      </c>
      <c r="F264" t="s">
        <v>1</v>
      </c>
      <c r="G264" t="s">
        <v>2</v>
      </c>
      <c r="H264" t="s">
        <v>11</v>
      </c>
      <c r="I264" t="s">
        <v>13</v>
      </c>
      <c r="L264" t="s">
        <v>10</v>
      </c>
      <c r="N264" t="s">
        <v>7</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44.855691481406197</v>
      </c>
      <c r="AV264">
        <v>399.85255986777202</v>
      </c>
      <c r="AW264">
        <v>624.37636363798197</v>
      </c>
      <c r="AX264">
        <v>750.69811601005597</v>
      </c>
      <c r="AY264">
        <v>860.9984087162743</v>
      </c>
      <c r="AZ264">
        <v>910.29675806732291</v>
      </c>
      <c r="BA264">
        <v>916.92640329948392</v>
      </c>
      <c r="BB264">
        <v>903.60399963969473</v>
      </c>
      <c r="BC264">
        <v>881.26186258683992</v>
      </c>
      <c r="BD264">
        <v>860.12056200564098</v>
      </c>
      <c r="BE264">
        <v>844.16849840197108</v>
      </c>
      <c r="BF264">
        <v>839.68066679069705</v>
      </c>
      <c r="BG264">
        <v>867.81830588031198</v>
      </c>
      <c r="BH264">
        <v>956.87535247252276</v>
      </c>
      <c r="BI264">
        <v>1046.3235664894551</v>
      </c>
      <c r="BJ264">
        <v>1130.9991120112049</v>
      </c>
      <c r="BK264">
        <v>1212.4493918800299</v>
      </c>
      <c r="BL264">
        <v>1291.037636899156</v>
      </c>
      <c r="BM264">
        <v>1366.9983939253179</v>
      </c>
      <c r="BN264">
        <v>1373.255502460793</v>
      </c>
      <c r="BO264">
        <v>1379.6421679633249</v>
      </c>
      <c r="BP264">
        <v>1386.0788883002419</v>
      </c>
      <c r="BQ264">
        <v>1392.494072179808</v>
      </c>
      <c r="BR264">
        <v>1400.573402337315</v>
      </c>
      <c r="BS264">
        <v>1405.127647574124</v>
      </c>
      <c r="BT264">
        <v>1411.2449239316761</v>
      </c>
      <c r="BU264">
        <v>1417.134105217194</v>
      </c>
      <c r="BV264">
        <v>1422.7575323925601</v>
      </c>
      <c r="BW264">
        <v>1428.0798219664621</v>
      </c>
      <c r="BX264">
        <v>1433.0676847402949</v>
      </c>
      <c r="BY264">
        <v>1438.331568730151</v>
      </c>
      <c r="BZ264">
        <v>1443.8825821183891</v>
      </c>
      <c r="CA264">
        <v>1449.739261691853</v>
      </c>
      <c r="CB264">
        <v>1454.4360604990029</v>
      </c>
      <c r="CC264">
        <v>1462.376734541278</v>
      </c>
      <c r="CD264">
        <v>1468.9879520764521</v>
      </c>
      <c r="CE264">
        <v>1475.7708860110149</v>
      </c>
      <c r="CF264">
        <v>1482.731404413609</v>
      </c>
      <c r="CG264">
        <v>1489.877302142932</v>
      </c>
      <c r="CH264">
        <v>1497.2164733930299</v>
      </c>
      <c r="CI264">
        <v>1504.756964778112</v>
      </c>
      <c r="CJ264">
        <v>1512.508630362687</v>
      </c>
      <c r="CK264">
        <v>1520.481429537954</v>
      </c>
      <c r="CL264">
        <v>1529.0423349603111</v>
      </c>
    </row>
    <row r="265" spans="4:90" x14ac:dyDescent="0.2">
      <c r="D265" t="s">
        <v>0</v>
      </c>
      <c r="F265" t="s">
        <v>1</v>
      </c>
      <c r="G265" t="s">
        <v>2</v>
      </c>
      <c r="H265" t="s">
        <v>11</v>
      </c>
      <c r="I265" t="s">
        <v>13</v>
      </c>
      <c r="L265" t="s">
        <v>10</v>
      </c>
      <c r="N265" t="s">
        <v>8</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9.9477876446734004E-2</v>
      </c>
      <c r="AV265">
        <v>0.88676558612240008</v>
      </c>
      <c r="AW265">
        <v>1.3846990806949</v>
      </c>
      <c r="AX265">
        <v>1.6648468001925001</v>
      </c>
      <c r="AY265">
        <v>1.89622197128741</v>
      </c>
      <c r="AZ265">
        <v>1.9938391951294829</v>
      </c>
      <c r="BA265">
        <v>1.9963872743829281</v>
      </c>
      <c r="BB265">
        <v>1.9539032621378001</v>
      </c>
      <c r="BC265">
        <v>1.8905906792053</v>
      </c>
      <c r="BD265">
        <v>1.8292671234689999</v>
      </c>
      <c r="BE265">
        <v>1.7790658558471</v>
      </c>
      <c r="BF265">
        <v>1.7542366372741001</v>
      </c>
      <c r="BG265">
        <v>1.8019895470109999</v>
      </c>
      <c r="BH265">
        <v>1.9853070841091001</v>
      </c>
      <c r="BI265">
        <v>2.1700440596717998</v>
      </c>
      <c r="BJ265">
        <v>2.3447405175873999</v>
      </c>
      <c r="BK265">
        <v>2.5127952546887</v>
      </c>
      <c r="BL265">
        <v>2.674952007832601</v>
      </c>
      <c r="BM265">
        <v>2.8316884114367999</v>
      </c>
      <c r="BN265">
        <v>2.8444229769325999</v>
      </c>
      <c r="BO265">
        <v>2.8574494646679001</v>
      </c>
      <c r="BP265">
        <v>2.8705972469313998</v>
      </c>
      <c r="BQ265">
        <v>2.8837131998569001</v>
      </c>
      <c r="BR265">
        <v>2.9005415547324001</v>
      </c>
      <c r="BS265">
        <v>2.9095799473706712</v>
      </c>
      <c r="BT265">
        <v>2.922118351002541</v>
      </c>
      <c r="BU265">
        <v>2.934190350731376</v>
      </c>
      <c r="BV265">
        <v>2.945718008998099</v>
      </c>
      <c r="BW265">
        <v>2.9566283789101662</v>
      </c>
      <c r="BX265">
        <v>2.9668531588612619</v>
      </c>
      <c r="BY265">
        <v>2.977667008995081</v>
      </c>
      <c r="BZ265">
        <v>2.9890941610454149</v>
      </c>
      <c r="CA265">
        <v>3.0011752232994331</v>
      </c>
      <c r="CB265">
        <v>3.0106594851063049</v>
      </c>
      <c r="CC265">
        <v>3.0273131045336181</v>
      </c>
      <c r="CD265">
        <v>3.040993299010466</v>
      </c>
      <c r="CE265">
        <v>3.0550286055515352</v>
      </c>
      <c r="CF265">
        <v>3.069431676664589</v>
      </c>
      <c r="CG265">
        <v>3.0842192952237668</v>
      </c>
      <c r="CH265">
        <v>3.0994085204149329</v>
      </c>
      <c r="CI265">
        <v>3.1150167869665881</v>
      </c>
      <c r="CJ265">
        <v>3.131065357428084</v>
      </c>
      <c r="CK265">
        <v>3.147575677496707</v>
      </c>
      <c r="CL265">
        <v>3.165361159667893</v>
      </c>
    </row>
    <row r="266" spans="4:90" x14ac:dyDescent="0.2">
      <c r="D266" t="s">
        <v>0</v>
      </c>
      <c r="F266" t="s">
        <v>1</v>
      </c>
      <c r="G266" t="s">
        <v>14</v>
      </c>
      <c r="H266" t="s">
        <v>15</v>
      </c>
      <c r="L266" t="s">
        <v>16</v>
      </c>
      <c r="N266" t="s">
        <v>6</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4.2085303946490507E-3</v>
      </c>
      <c r="AV266">
        <v>1.0662125557794401E-2</v>
      </c>
      <c r="AW266">
        <v>2.0475607661181301E-2</v>
      </c>
      <c r="AX266">
        <v>3.4992785312218E-2</v>
      </c>
      <c r="AY266">
        <v>5.6111397778282501E-2</v>
      </c>
      <c r="AZ266">
        <v>8.5947556736127501E-2</v>
      </c>
      <c r="BA266">
        <v>0.12623293518010001</v>
      </c>
      <c r="BB266">
        <v>0.17750527764310001</v>
      </c>
      <c r="BC266">
        <v>0.2382385127236</v>
      </c>
      <c r="BD266">
        <v>0.30459576643469999</v>
      </c>
      <c r="BE266">
        <v>0.37128873264840001</v>
      </c>
      <c r="BF266">
        <v>0.43321664696189999</v>
      </c>
      <c r="BG266">
        <v>0.48687934728089999</v>
      </c>
      <c r="BH266">
        <v>0.53083751583209993</v>
      </c>
      <c r="BI266">
        <v>0.56530097794619993</v>
      </c>
      <c r="BJ266">
        <v>0.59246326956490003</v>
      </c>
      <c r="BK266">
        <v>0.61379444464220001</v>
      </c>
      <c r="BL266">
        <v>0.63074566439940005</v>
      </c>
      <c r="BM266">
        <v>0.64434561058000006</v>
      </c>
      <c r="BN266">
        <v>0.65121335071520003</v>
      </c>
      <c r="BO266">
        <v>0.65802816357670002</v>
      </c>
      <c r="BP266">
        <v>0.66476452055189994</v>
      </c>
      <c r="BQ266">
        <v>0.67139643300779994</v>
      </c>
      <c r="BR266">
        <v>0.67789637385159995</v>
      </c>
      <c r="BS266">
        <v>0.68423561108120001</v>
      </c>
      <c r="BT266">
        <v>0.69038470783209993</v>
      </c>
      <c r="BU266">
        <v>0.69631358055409998</v>
      </c>
      <c r="BV266">
        <v>0.70199210993869998</v>
      </c>
      <c r="BW266">
        <v>0.7073894579783</v>
      </c>
      <c r="BX266">
        <v>0.7124738437382</v>
      </c>
      <c r="BY266">
        <v>0.71772470091840002</v>
      </c>
      <c r="BZ266">
        <v>0.72314519896679996</v>
      </c>
      <c r="CA266">
        <v>0.72873900796250002</v>
      </c>
      <c r="CB266">
        <v>0.73450999876930001</v>
      </c>
      <c r="CC266">
        <v>0.74046089980880003</v>
      </c>
      <c r="CD266">
        <v>0.74659516572079998</v>
      </c>
      <c r="CE266">
        <v>0.75291752024049996</v>
      </c>
      <c r="CF266">
        <v>0.75943158771200003</v>
      </c>
      <c r="CG266">
        <v>0.76614162526840002</v>
      </c>
      <c r="CH266">
        <v>0.7730517818739</v>
      </c>
      <c r="CI266">
        <v>0.78016616031789998</v>
      </c>
      <c r="CJ266">
        <v>0.78748949418809999</v>
      </c>
      <c r="CK266">
        <v>0.7950264988457999</v>
      </c>
      <c r="CL266">
        <v>0.80278139174570007</v>
      </c>
    </row>
    <row r="267" spans="4:90" x14ac:dyDescent="0.2">
      <c r="D267" t="s">
        <v>0</v>
      </c>
      <c r="F267" t="s">
        <v>1</v>
      </c>
      <c r="G267" t="s">
        <v>14</v>
      </c>
      <c r="H267" t="s">
        <v>15</v>
      </c>
      <c r="L267" t="s">
        <v>16</v>
      </c>
      <c r="N267" t="s">
        <v>7</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3.8449947723895002</v>
      </c>
      <c r="AV267">
        <v>9.7411241426234003</v>
      </c>
      <c r="AW267">
        <v>18.706911210345901</v>
      </c>
      <c r="AX267">
        <v>31.970085512011298</v>
      </c>
      <c r="AY267">
        <v>51.264458349470701</v>
      </c>
      <c r="AZ267">
        <v>78.523350281666296</v>
      </c>
      <c r="BA267">
        <v>115.328851251336</v>
      </c>
      <c r="BB267">
        <v>162.17225506496101</v>
      </c>
      <c r="BC267">
        <v>217.659313372052</v>
      </c>
      <c r="BD267">
        <v>278.28458388306802</v>
      </c>
      <c r="BE267">
        <v>339.21656782984599</v>
      </c>
      <c r="BF267">
        <v>395.79510819244001</v>
      </c>
      <c r="BG267">
        <v>444.82238917890101</v>
      </c>
      <c r="BH267">
        <v>484.983422231681</v>
      </c>
      <c r="BI267">
        <v>516.46990783154899</v>
      </c>
      <c r="BJ267">
        <v>541.28590284315908</v>
      </c>
      <c r="BK267">
        <v>560.7744769936171</v>
      </c>
      <c r="BL267">
        <v>576.26143924428891</v>
      </c>
      <c r="BM267">
        <v>588.686613132856</v>
      </c>
      <c r="BN267">
        <v>594.96111336019294</v>
      </c>
      <c r="BO267">
        <v>601.18725820649399</v>
      </c>
      <c r="BP267">
        <v>607.34172423767393</v>
      </c>
      <c r="BQ267">
        <v>613.40076773562703</v>
      </c>
      <c r="BR267">
        <v>619.33923941621401</v>
      </c>
      <c r="BS267">
        <v>625.13088916634092</v>
      </c>
      <c r="BT267">
        <v>630.74882289733205</v>
      </c>
      <c r="BU267">
        <v>636.16555569580999</v>
      </c>
      <c r="BV267">
        <v>641.35356997910901</v>
      </c>
      <c r="BW267">
        <v>646.28469154670302</v>
      </c>
      <c r="BX267">
        <v>650.92988472204502</v>
      </c>
      <c r="BY267">
        <v>655.72716940704606</v>
      </c>
      <c r="BZ267">
        <v>660.67944127051908</v>
      </c>
      <c r="CA267">
        <v>665.79005336772207</v>
      </c>
      <c r="CB267">
        <v>671.06254219453297</v>
      </c>
      <c r="CC267">
        <v>676.49940049009206</v>
      </c>
      <c r="CD267">
        <v>682.10378447986898</v>
      </c>
      <c r="CE267">
        <v>687.88000985970598</v>
      </c>
      <c r="CF267">
        <v>693.83138790044597</v>
      </c>
      <c r="CG267">
        <v>699.96180800145805</v>
      </c>
      <c r="CH267">
        <v>706.27506073641803</v>
      </c>
      <c r="CI267">
        <v>712.77489449334496</v>
      </c>
      <c r="CJ267">
        <v>719.46563396935608</v>
      </c>
      <c r="CK267">
        <v>726.35158720977699</v>
      </c>
      <c r="CL267">
        <v>733.43660736277104</v>
      </c>
    </row>
    <row r="268" spans="4:90" x14ac:dyDescent="0.2">
      <c r="D268" t="s">
        <v>0</v>
      </c>
      <c r="F268" t="s">
        <v>1</v>
      </c>
      <c r="G268" t="s">
        <v>14</v>
      </c>
      <c r="H268" t="s">
        <v>15</v>
      </c>
      <c r="L268" t="s">
        <v>16</v>
      </c>
      <c r="N268" t="s">
        <v>8</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3.4384740620608298E-2</v>
      </c>
      <c r="AV268">
        <v>8.7112219086085407E-2</v>
      </c>
      <c r="AW268">
        <v>0.167290809964</v>
      </c>
      <c r="AX268">
        <v>0.28589976398479999</v>
      </c>
      <c r="AY268">
        <v>0.45844408321680002</v>
      </c>
      <c r="AZ268">
        <v>0.70221292665560009</v>
      </c>
      <c r="BA268">
        <v>1.0313544935939001</v>
      </c>
      <c r="BB268">
        <v>1.4502622906821001</v>
      </c>
      <c r="BC268">
        <v>1.9464679348070999</v>
      </c>
      <c r="BD268">
        <v>2.4886232106852</v>
      </c>
      <c r="BE268">
        <v>3.0335213412508</v>
      </c>
      <c r="BF268">
        <v>3.5394878120066</v>
      </c>
      <c r="BG268">
        <v>3.9779254276199998</v>
      </c>
      <c r="BH268">
        <v>4.3370746037104002</v>
      </c>
      <c r="BI268">
        <v>4.6186496654453002</v>
      </c>
      <c r="BJ268">
        <v>4.8405723473288003</v>
      </c>
      <c r="BK268">
        <v>5.0148533559901001</v>
      </c>
      <c r="BL268">
        <v>5.1533490397330004</v>
      </c>
      <c r="BM268">
        <v>5.2644639843857002</v>
      </c>
      <c r="BN268">
        <v>5.3205751303335003</v>
      </c>
      <c r="BO268">
        <v>5.3762538472835999</v>
      </c>
      <c r="BP268">
        <v>5.43129156012</v>
      </c>
      <c r="BQ268">
        <v>5.4854759352410998</v>
      </c>
      <c r="BR268">
        <v>5.5385820694510999</v>
      </c>
      <c r="BS268">
        <v>5.5903752151412993</v>
      </c>
      <c r="BT268">
        <v>5.6406148658036006</v>
      </c>
      <c r="BU268">
        <v>5.6890552313470986</v>
      </c>
      <c r="BV268">
        <v>5.7354502295270002</v>
      </c>
      <c r="BW268">
        <v>5.7795479061448001</v>
      </c>
      <c r="BX268">
        <v>5.8210886030565998</v>
      </c>
      <c r="BY268">
        <v>5.8639894128996</v>
      </c>
      <c r="BZ268">
        <v>5.9082762308507997</v>
      </c>
      <c r="CA268">
        <v>5.9539790423699994</v>
      </c>
      <c r="CB268">
        <v>6.0011294733760998</v>
      </c>
      <c r="CC268">
        <v>6.0497498157561997</v>
      </c>
      <c r="CD268">
        <v>6.0998682947749003</v>
      </c>
      <c r="CE268">
        <v>6.1515235045239001</v>
      </c>
      <c r="CF268">
        <v>6.2047450567964999</v>
      </c>
      <c r="CG268">
        <v>6.259567733431</v>
      </c>
      <c r="CH268">
        <v>6.3160254324954996</v>
      </c>
      <c r="CI268">
        <v>6.3741516748026994</v>
      </c>
      <c r="CJ268">
        <v>6.4339851349402997</v>
      </c>
      <c r="CK268">
        <v>6.4955643385836002</v>
      </c>
      <c r="CL268">
        <v>6.5589237433875001</v>
      </c>
    </row>
    <row r="269" spans="4:90" x14ac:dyDescent="0.2">
      <c r="D269" t="s">
        <v>0</v>
      </c>
      <c r="F269" t="s">
        <v>1</v>
      </c>
      <c r="G269" t="s">
        <v>14</v>
      </c>
      <c r="H269" t="s">
        <v>17</v>
      </c>
      <c r="L269" t="s">
        <v>16</v>
      </c>
      <c r="N269" t="s">
        <v>6</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2.0530815363860571</v>
      </c>
      <c r="AO269">
        <v>1.7731667372451809</v>
      </c>
      <c r="AP269">
        <v>1.768813229018976</v>
      </c>
      <c r="AQ269">
        <v>1.7672423767600931</v>
      </c>
      <c r="AR269">
        <v>1.763953917310169</v>
      </c>
      <c r="AS269">
        <v>1.7591882032896971</v>
      </c>
      <c r="AT269">
        <v>1.752702993992191</v>
      </c>
      <c r="AU269">
        <v>1.752972929304389</v>
      </c>
      <c r="AV269">
        <v>1.745571795429413</v>
      </c>
      <c r="AW269">
        <v>1.737651847466366</v>
      </c>
      <c r="AX269">
        <v>1.710740636928497</v>
      </c>
      <c r="AY269">
        <v>1.676498278752619</v>
      </c>
      <c r="AZ269">
        <v>1.62909872162012</v>
      </c>
      <c r="BA269">
        <v>1.560801124953449</v>
      </c>
      <c r="BB269">
        <v>1.467406732366934</v>
      </c>
      <c r="BC269">
        <v>1.3506739931478571</v>
      </c>
      <c r="BD269">
        <v>1.219027761191495</v>
      </c>
      <c r="BE269">
        <v>1.085171459634747</v>
      </c>
      <c r="BF269">
        <v>0.96152281750877766</v>
      </c>
      <c r="BG269">
        <v>0.85628971806768195</v>
      </c>
      <c r="BH269">
        <v>0.77267430218402844</v>
      </c>
      <c r="BI269">
        <v>0.70910542385732045</v>
      </c>
      <c r="BJ269">
        <v>0.66540372013318694</v>
      </c>
      <c r="BK269">
        <v>0.63587197647464333</v>
      </c>
      <c r="BL269">
        <v>0.61606108991105424</v>
      </c>
      <c r="BM269">
        <v>0.60280870713906742</v>
      </c>
      <c r="BN269">
        <v>0.60407408077858871</v>
      </c>
      <c r="BO269">
        <v>0.60519421687368757</v>
      </c>
      <c r="BP269">
        <v>0.6061476889388836</v>
      </c>
      <c r="BQ269">
        <v>0.6069424648469548</v>
      </c>
      <c r="BR269">
        <v>0.60754375222999157</v>
      </c>
      <c r="BS269">
        <v>0.60789298554057902</v>
      </c>
      <c r="BT269">
        <v>0.60793693470550836</v>
      </c>
      <c r="BU269">
        <v>0.6076273471141842</v>
      </c>
      <c r="BV269">
        <v>0.60695577348070484</v>
      </c>
      <c r="BW269">
        <v>0.60590348026792262</v>
      </c>
      <c r="BX269">
        <v>0.60442039582211748</v>
      </c>
      <c r="BY269">
        <v>0.60316511668817285</v>
      </c>
      <c r="BZ269">
        <v>0.60214377400729446</v>
      </c>
      <c r="CA269">
        <v>0.60138780391310309</v>
      </c>
      <c r="CB269">
        <v>0.60093424884527469</v>
      </c>
      <c r="CC269">
        <v>0.60073820479075013</v>
      </c>
      <c r="CD269">
        <v>0.60079411359572332</v>
      </c>
      <c r="CE269">
        <v>0.60117083740843624</v>
      </c>
      <c r="CF269">
        <v>0.60185741200821241</v>
      </c>
      <c r="CG269">
        <v>0.60287543751198436</v>
      </c>
      <c r="CH269">
        <v>0.6042306430355856</v>
      </c>
      <c r="CI269">
        <v>0.605916653571685</v>
      </c>
      <c r="CJ269">
        <v>0.60795873546677226</v>
      </c>
      <c r="CK269">
        <v>0.61037130795950589</v>
      </c>
      <c r="CL269">
        <v>0.61312645513896646</v>
      </c>
    </row>
    <row r="270" spans="4:90" x14ac:dyDescent="0.2">
      <c r="D270" t="s">
        <v>0</v>
      </c>
      <c r="F270" t="s">
        <v>1</v>
      </c>
      <c r="G270" t="s">
        <v>14</v>
      </c>
      <c r="H270" t="s">
        <v>17</v>
      </c>
      <c r="L270" t="s">
        <v>16</v>
      </c>
      <c r="N270" t="s">
        <v>7</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386.62702530482119</v>
      </c>
      <c r="AO270">
        <v>336.08441656743202</v>
      </c>
      <c r="AP270">
        <v>334.97758720706042</v>
      </c>
      <c r="AQ270">
        <v>334.81089403121922</v>
      </c>
      <c r="AR270">
        <v>334.33148047500072</v>
      </c>
      <c r="AS270">
        <v>333.58329402450158</v>
      </c>
      <c r="AT270">
        <v>332.52206793886211</v>
      </c>
      <c r="AU270">
        <v>334.56872383568901</v>
      </c>
      <c r="AV270">
        <v>336.1091191382896</v>
      </c>
      <c r="AW270">
        <v>338.93180334826161</v>
      </c>
      <c r="AX270">
        <v>340.06991048546331</v>
      </c>
      <c r="AY270">
        <v>342.49352115815111</v>
      </c>
      <c r="AZ270">
        <v>345.97824688716139</v>
      </c>
      <c r="BA270">
        <v>349.76346134310307</v>
      </c>
      <c r="BB270">
        <v>353.24584984959063</v>
      </c>
      <c r="BC270">
        <v>356.06798398494408</v>
      </c>
      <c r="BD270">
        <v>358.14877935961181</v>
      </c>
      <c r="BE270">
        <v>359.5974508212019</v>
      </c>
      <c r="BF270">
        <v>360.54754439406048</v>
      </c>
      <c r="BG270">
        <v>361.01775780160011</v>
      </c>
      <c r="BH270">
        <v>361.08065496994658</v>
      </c>
      <c r="BI270">
        <v>360.52952454310969</v>
      </c>
      <c r="BJ270">
        <v>361.09061851409689</v>
      </c>
      <c r="BK270">
        <v>362.0509271576903</v>
      </c>
      <c r="BL270">
        <v>362.9643565999915</v>
      </c>
      <c r="BM270">
        <v>363.65617412029269</v>
      </c>
      <c r="BN270">
        <v>364.35338925911537</v>
      </c>
      <c r="BO270">
        <v>364.96176917502243</v>
      </c>
      <c r="BP270">
        <v>365.46841941915108</v>
      </c>
      <c r="BQ270">
        <v>365.87855980244541</v>
      </c>
      <c r="BR270">
        <v>366.17108557822041</v>
      </c>
      <c r="BS270">
        <v>366.31026065899039</v>
      </c>
      <c r="BT270">
        <v>366.26364437032441</v>
      </c>
      <c r="BU270">
        <v>366.00187019502459</v>
      </c>
      <c r="BV270">
        <v>365.52009335652951</v>
      </c>
      <c r="BW270">
        <v>364.80714192724651</v>
      </c>
      <c r="BX270">
        <v>363.83254901952978</v>
      </c>
      <c r="BY270">
        <v>362.99630653557477</v>
      </c>
      <c r="BZ270">
        <v>362.30215369899469</v>
      </c>
      <c r="CA270">
        <v>361.76941319182822</v>
      </c>
      <c r="CB270">
        <v>361.42085912789969</v>
      </c>
      <c r="CC270">
        <v>361.22879518230559</v>
      </c>
      <c r="CD270">
        <v>361.18975583700251</v>
      </c>
      <c r="CE270">
        <v>361.34610792197242</v>
      </c>
      <c r="CF270">
        <v>361.69105341704579</v>
      </c>
      <c r="CG270">
        <v>362.23784838776203</v>
      </c>
      <c r="CH270">
        <v>362.98997267161081</v>
      </c>
      <c r="CI270">
        <v>363.94344976738512</v>
      </c>
      <c r="CJ270">
        <v>365.11378866796809</v>
      </c>
      <c r="CK270">
        <v>366.50981609267728</v>
      </c>
      <c r="CL270">
        <v>368.11428363584292</v>
      </c>
    </row>
    <row r="271" spans="4:90" x14ac:dyDescent="0.2">
      <c r="D271" t="s">
        <v>0</v>
      </c>
      <c r="F271" t="s">
        <v>1</v>
      </c>
      <c r="G271" t="s">
        <v>14</v>
      </c>
      <c r="H271" t="s">
        <v>17</v>
      </c>
      <c r="L271" t="s">
        <v>16</v>
      </c>
      <c r="N271" t="s">
        <v>8</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2.9789657431088989</v>
      </c>
      <c r="AO271">
        <v>2.5843593272275349</v>
      </c>
      <c r="AP271">
        <v>2.576515725380915</v>
      </c>
      <c r="AQ271">
        <v>2.574923374877554</v>
      </c>
      <c r="AR271">
        <v>2.5708959135662011</v>
      </c>
      <c r="AS271">
        <v>2.564775092943</v>
      </c>
      <c r="AT271">
        <v>2.5562166150671</v>
      </c>
      <c r="AU271">
        <v>2.5652385838249998</v>
      </c>
      <c r="AV271">
        <v>2.5671186092916001</v>
      </c>
      <c r="AW271">
        <v>2.5740912734918</v>
      </c>
      <c r="AX271">
        <v>2.5615309047335999</v>
      </c>
      <c r="AY271">
        <v>2.5496033223242001</v>
      </c>
      <c r="AZ271">
        <v>2.5335654524355999</v>
      </c>
      <c r="BA271">
        <v>2.5051411272984998</v>
      </c>
      <c r="BB271">
        <v>2.4590326777563001</v>
      </c>
      <c r="BC271">
        <v>2.3948731248483002</v>
      </c>
      <c r="BD271">
        <v>2.3178182837233998</v>
      </c>
      <c r="BE271">
        <v>2.2366232717651</v>
      </c>
      <c r="BF271">
        <v>2.1599594615198998</v>
      </c>
      <c r="BG271">
        <v>2.0932629632108002</v>
      </c>
      <c r="BH271">
        <v>2.0389324812303999</v>
      </c>
      <c r="BI271">
        <v>1.9950668813049</v>
      </c>
      <c r="BJ271">
        <v>1.9688920859514001</v>
      </c>
      <c r="BK271">
        <v>1.9536637575906</v>
      </c>
      <c r="BL271">
        <v>1.9445822762274001</v>
      </c>
      <c r="BM271">
        <v>1.9388410130641001</v>
      </c>
      <c r="BN271">
        <v>1.9426106177589</v>
      </c>
      <c r="BO271">
        <v>1.9459075599735001</v>
      </c>
      <c r="BP271">
        <v>1.9486630677196</v>
      </c>
      <c r="BQ271">
        <v>1.9509046434202999</v>
      </c>
      <c r="BR271">
        <v>1.9525198581742</v>
      </c>
      <c r="BS271">
        <v>1.9533185052019</v>
      </c>
      <c r="BT271">
        <v>1.9531278865587001</v>
      </c>
      <c r="BU271">
        <v>1.9517916376868001</v>
      </c>
      <c r="BV271">
        <v>1.9492837286399001</v>
      </c>
      <c r="BW271">
        <v>1.9455444935171999</v>
      </c>
      <c r="BX271">
        <v>1.9404117034849</v>
      </c>
      <c r="BY271">
        <v>1.9360158013021</v>
      </c>
      <c r="BZ271">
        <v>1.9323766906530999</v>
      </c>
      <c r="CA271">
        <v>1.9295971071478999</v>
      </c>
      <c r="CB271">
        <v>1.927798132882</v>
      </c>
      <c r="CC271">
        <v>1.9268325850913</v>
      </c>
      <c r="CD271">
        <v>1.9266820763496999</v>
      </c>
      <c r="CE271">
        <v>1.9275718334567999</v>
      </c>
      <c r="CF271">
        <v>1.9294657580554</v>
      </c>
      <c r="CG271">
        <v>1.9324343466647</v>
      </c>
      <c r="CH271">
        <v>1.9364961333971999</v>
      </c>
      <c r="CI271">
        <v>1.9416300209223001</v>
      </c>
      <c r="CJ271">
        <v>1.9479184846605</v>
      </c>
      <c r="CK271">
        <v>1.9554084830645999</v>
      </c>
      <c r="CL271">
        <v>1.964008378675</v>
      </c>
    </row>
    <row r="272" spans="4:90" x14ac:dyDescent="0.2">
      <c r="D272" t="s">
        <v>0</v>
      </c>
      <c r="F272" t="s">
        <v>1</v>
      </c>
      <c r="G272" t="s">
        <v>14</v>
      </c>
      <c r="H272" t="s">
        <v>18</v>
      </c>
      <c r="L272" t="s">
        <v>16</v>
      </c>
      <c r="N272" t="s">
        <v>6</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row>
    <row r="273" spans="4:90" x14ac:dyDescent="0.2">
      <c r="D273" t="s">
        <v>0</v>
      </c>
      <c r="F273" t="s">
        <v>1</v>
      </c>
      <c r="G273" t="s">
        <v>14</v>
      </c>
      <c r="H273" t="s">
        <v>18</v>
      </c>
      <c r="L273" t="s">
        <v>16</v>
      </c>
      <c r="N273" t="s">
        <v>7</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row>
    <row r="274" spans="4:90" x14ac:dyDescent="0.2">
      <c r="D274" t="s">
        <v>0</v>
      </c>
      <c r="F274" t="s">
        <v>1</v>
      </c>
      <c r="G274" t="s">
        <v>14</v>
      </c>
      <c r="H274" t="s">
        <v>18</v>
      </c>
      <c r="L274" t="s">
        <v>16</v>
      </c>
      <c r="N274" t="s">
        <v>8</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row>
    <row r="275" spans="4:90" x14ac:dyDescent="0.2">
      <c r="D275" t="s">
        <v>0</v>
      </c>
      <c r="F275" t="s">
        <v>1</v>
      </c>
      <c r="G275" t="s">
        <v>14</v>
      </c>
      <c r="H275" t="s">
        <v>19</v>
      </c>
      <c r="L275" t="s">
        <v>16</v>
      </c>
      <c r="N275" t="s">
        <v>6</v>
      </c>
      <c r="O275">
        <v>11.6343</v>
      </c>
      <c r="P275">
        <v>11.6343</v>
      </c>
      <c r="Q275">
        <v>12.945600000000001</v>
      </c>
      <c r="R275">
        <v>13.587300000000001</v>
      </c>
      <c r="S275">
        <v>13.0014</v>
      </c>
      <c r="T275">
        <v>13.6152</v>
      </c>
      <c r="U275">
        <v>36.660600000000002</v>
      </c>
      <c r="V275">
        <v>22.375800000000002</v>
      </c>
      <c r="W275">
        <v>24.663599999999999</v>
      </c>
      <c r="X275">
        <v>26.9514</v>
      </c>
      <c r="Y275">
        <v>28.932300000000001</v>
      </c>
      <c r="Z275">
        <v>29.267099999999999</v>
      </c>
      <c r="AA275">
        <v>32.921999999999997</v>
      </c>
      <c r="AB275">
        <v>43.747199999999999</v>
      </c>
      <c r="AC275">
        <v>38.083500000000001</v>
      </c>
      <c r="AD275">
        <v>39.534300000000002</v>
      </c>
      <c r="AE275">
        <v>39.394799999999996</v>
      </c>
      <c r="AF275">
        <v>39.645899999999997</v>
      </c>
      <c r="AG275">
        <v>78.566399999999987</v>
      </c>
      <c r="AH275">
        <v>80.826299999999989</v>
      </c>
      <c r="AI275">
        <v>87.159599999999998</v>
      </c>
      <c r="AJ275">
        <v>81.551699999999997</v>
      </c>
      <c r="AK275">
        <v>57.473999999999997</v>
      </c>
      <c r="AL275">
        <v>62.942399999999992</v>
      </c>
      <c r="AM275">
        <v>1587.0356999999999</v>
      </c>
      <c r="AN275">
        <v>395.85013302909499</v>
      </c>
      <c r="AO275">
        <v>395.86936404971692</v>
      </c>
      <c r="AP275">
        <v>397.70747334773012</v>
      </c>
      <c r="AQ275">
        <v>399.9900298589634</v>
      </c>
      <c r="AR275">
        <v>424.16303780345589</v>
      </c>
      <c r="AS275">
        <v>451.9106485161301</v>
      </c>
      <c r="AT275">
        <v>484.84887053400308</v>
      </c>
      <c r="AU275">
        <v>524.10627300736451</v>
      </c>
      <c r="AV275">
        <v>568.18454590336501</v>
      </c>
      <c r="AW275">
        <v>615.21172766113466</v>
      </c>
      <c r="AX275">
        <v>658.98071619871746</v>
      </c>
      <c r="AY275">
        <v>685.73214057190603</v>
      </c>
      <c r="AZ275">
        <v>701.20062381092464</v>
      </c>
      <c r="BA275">
        <v>700.98422814505045</v>
      </c>
      <c r="BB275">
        <v>681.8546366284321</v>
      </c>
      <c r="BC275">
        <v>643.52912602630158</v>
      </c>
      <c r="BD275">
        <v>589.78084939781809</v>
      </c>
      <c r="BE275">
        <v>527.84419499883745</v>
      </c>
      <c r="BF275">
        <v>466.08142137557547</v>
      </c>
      <c r="BG275">
        <v>411.36713912781522</v>
      </c>
      <c r="BH275">
        <v>365.89919842068008</v>
      </c>
      <c r="BI275">
        <v>331.35468597907243</v>
      </c>
      <c r="BJ275">
        <v>307.22838143403771</v>
      </c>
      <c r="BK275">
        <v>291.87982137973091</v>
      </c>
      <c r="BL275">
        <v>283.31850767728099</v>
      </c>
      <c r="BM275">
        <v>279.64165247238742</v>
      </c>
      <c r="BN275">
        <v>290.54378398036789</v>
      </c>
      <c r="BO275">
        <v>301.3192592423743</v>
      </c>
      <c r="BP275">
        <v>311.9221871163183</v>
      </c>
      <c r="BQ275">
        <v>322.30587556979623</v>
      </c>
      <c r="BR275">
        <v>332.42314200625839</v>
      </c>
      <c r="BS275">
        <v>342.22665731621299</v>
      </c>
      <c r="BT275">
        <v>351.66930575211882</v>
      </c>
      <c r="BU275">
        <v>360.70454992605931</v>
      </c>
      <c r="BV275">
        <v>369.286808858538</v>
      </c>
      <c r="BW275">
        <v>377.37182328867141</v>
      </c>
      <c r="BX275">
        <v>384.91702472055852</v>
      </c>
      <c r="BY275">
        <v>392.61319436809009</v>
      </c>
      <c r="BZ275">
        <v>400.46335212450629</v>
      </c>
      <c r="CA275">
        <v>408.47058287069251</v>
      </c>
      <c r="CB275">
        <v>416.63803411239138</v>
      </c>
      <c r="CC275">
        <v>424.96890133934318</v>
      </c>
      <c r="CD275">
        <v>433.46645127384431</v>
      </c>
      <c r="CE275">
        <v>442.13402951277192</v>
      </c>
      <c r="CF275">
        <v>450.97503387037727</v>
      </c>
      <c r="CG275">
        <v>459.99293609009408</v>
      </c>
      <c r="CH275">
        <v>469.19127442448041</v>
      </c>
      <c r="CI275">
        <v>478.5736557069925</v>
      </c>
      <c r="CJ275">
        <v>488.14376469994352</v>
      </c>
      <c r="CK275">
        <v>497.90535783617491</v>
      </c>
      <c r="CL275">
        <v>507.86225898415222</v>
      </c>
    </row>
    <row r="276" spans="4:90" x14ac:dyDescent="0.2">
      <c r="D276" t="s">
        <v>0</v>
      </c>
      <c r="F276" t="s">
        <v>1</v>
      </c>
      <c r="G276" t="s">
        <v>14</v>
      </c>
      <c r="H276" t="s">
        <v>19</v>
      </c>
      <c r="L276" t="s">
        <v>16</v>
      </c>
      <c r="N276" t="s">
        <v>7</v>
      </c>
      <c r="O276">
        <v>151.40600000000001</v>
      </c>
      <c r="P276">
        <v>151.40600000000001</v>
      </c>
      <c r="Q276">
        <v>185.87299999999999</v>
      </c>
      <c r="R276">
        <v>216.286</v>
      </c>
      <c r="S276">
        <v>170.49199999999999</v>
      </c>
      <c r="T276">
        <v>150.95400000000001</v>
      </c>
      <c r="U276">
        <v>148.203</v>
      </c>
      <c r="V276">
        <v>144.13200000000001</v>
      </c>
      <c r="W276">
        <v>185.02199999999999</v>
      </c>
      <c r="X276">
        <v>224.358</v>
      </c>
      <c r="Y276">
        <v>209.20699999999999</v>
      </c>
      <c r="Z276">
        <v>232.65700000000001</v>
      </c>
      <c r="AA276">
        <v>198.518</v>
      </c>
      <c r="AB276">
        <v>186.86799999999999</v>
      </c>
      <c r="AC276">
        <v>814.41499999999996</v>
      </c>
      <c r="AD276">
        <v>378.85899999999998</v>
      </c>
      <c r="AE276">
        <v>244.435</v>
      </c>
      <c r="AF276">
        <v>485.38099999999997</v>
      </c>
      <c r="AG276">
        <v>578.72900000000004</v>
      </c>
      <c r="AH276">
        <v>661.58799999999997</v>
      </c>
      <c r="AI276">
        <v>1022.672</v>
      </c>
      <c r="AJ276">
        <v>941.85400000000004</v>
      </c>
      <c r="AK276">
        <v>928.00800000000004</v>
      </c>
      <c r="AL276">
        <v>927.82799999999997</v>
      </c>
      <c r="AM276">
        <v>1005.206</v>
      </c>
      <c r="AN276">
        <v>59.905842623902601</v>
      </c>
      <c r="AO276">
        <v>93.362450773578999</v>
      </c>
      <c r="AP276">
        <v>134.2891420660132</v>
      </c>
      <c r="AQ276">
        <v>182.95796778913231</v>
      </c>
      <c r="AR276">
        <v>194.01067860642459</v>
      </c>
      <c r="AS276">
        <v>206.6977766792169</v>
      </c>
      <c r="AT276">
        <v>221.75815202720281</v>
      </c>
      <c r="AU276">
        <v>257.10678286363321</v>
      </c>
      <c r="AV276">
        <v>307.3563841517859</v>
      </c>
      <c r="AW276">
        <v>379.78730747467841</v>
      </c>
      <c r="AX276">
        <v>482.94694301780919</v>
      </c>
      <c r="AY276">
        <v>622.01841914244471</v>
      </c>
      <c r="AZ276">
        <v>819.2649997960699</v>
      </c>
      <c r="BA276">
        <v>1091.5519784188359</v>
      </c>
      <c r="BB276">
        <v>1451.631404328446</v>
      </c>
      <c r="BC276">
        <v>1901.916915198969</v>
      </c>
      <c r="BD276">
        <v>2430.4042717533471</v>
      </c>
      <c r="BE276">
        <v>3012.8635044261268</v>
      </c>
      <c r="BF276">
        <v>3621.1566379891301</v>
      </c>
      <c r="BG276">
        <v>4232.5534805954976</v>
      </c>
      <c r="BH276">
        <v>4811.2631470406332</v>
      </c>
      <c r="BI276">
        <v>5346.5710822298524</v>
      </c>
      <c r="BJ276">
        <v>5835.3936113139043</v>
      </c>
      <c r="BK276">
        <v>6278.2751283172893</v>
      </c>
      <c r="BL276">
        <v>6676.9095108623087</v>
      </c>
      <c r="BM276">
        <v>7032.7074198638566</v>
      </c>
      <c r="BN276">
        <v>7305.9684854893003</v>
      </c>
      <c r="BO276">
        <v>7576.0559018771601</v>
      </c>
      <c r="BP276">
        <v>7841.8183286000358</v>
      </c>
      <c r="BQ276">
        <v>8102.0855681047806</v>
      </c>
      <c r="BR276">
        <v>8355.6732580986536</v>
      </c>
      <c r="BS276">
        <v>8601.3923018982932</v>
      </c>
      <c r="BT276">
        <v>8838.0591281806628</v>
      </c>
      <c r="BU276">
        <v>9064.5048213992286</v>
      </c>
      <c r="BV276">
        <v>9279.5860825727941</v>
      </c>
      <c r="BW276">
        <v>9482.1922453796487</v>
      </c>
      <c r="BX276">
        <v>9671.2536266827465</v>
      </c>
      <c r="BY276">
        <v>9864.1129631411259</v>
      </c>
      <c r="BZ276">
        <v>10060.846351700049</v>
      </c>
      <c r="CA276">
        <v>10261.532607368021</v>
      </c>
      <c r="CB276">
        <v>10466.25236309872</v>
      </c>
      <c r="CC276">
        <v>10675.083964241479</v>
      </c>
      <c r="CD276">
        <v>10888.10923141083</v>
      </c>
      <c r="CE276">
        <v>11105.415150274661</v>
      </c>
      <c r="CF276">
        <v>11327.086616721441</v>
      </c>
      <c r="CG276">
        <v>11553.211781130791</v>
      </c>
      <c r="CH276">
        <v>11783.87979442297</v>
      </c>
      <c r="CI276">
        <v>12019.181021333699</v>
      </c>
      <c r="CJ276">
        <v>12259.209143371771</v>
      </c>
      <c r="CK276">
        <v>12504.05918802345</v>
      </c>
      <c r="CL276">
        <v>12753.82607847241</v>
      </c>
    </row>
    <row r="277" spans="4:90" x14ac:dyDescent="0.2">
      <c r="D277" t="s">
        <v>0</v>
      </c>
      <c r="F277" t="s">
        <v>1</v>
      </c>
      <c r="G277" t="s">
        <v>14</v>
      </c>
      <c r="H277" t="s">
        <v>19</v>
      </c>
      <c r="L277" t="s">
        <v>16</v>
      </c>
      <c r="N277" t="s">
        <v>8</v>
      </c>
      <c r="O277">
        <v>15.288</v>
      </c>
      <c r="P277">
        <v>15.288</v>
      </c>
      <c r="Q277">
        <v>16.925999999999998</v>
      </c>
      <c r="R277">
        <v>18.018000000000001</v>
      </c>
      <c r="S277">
        <v>17.199000000000002</v>
      </c>
      <c r="T277">
        <v>18.018000000000001</v>
      </c>
      <c r="U277">
        <v>48.047999999999988</v>
      </c>
      <c r="V277">
        <v>29.210999999999999</v>
      </c>
      <c r="W277">
        <v>32.213999999999999</v>
      </c>
      <c r="X277">
        <v>35.216999999999999</v>
      </c>
      <c r="Y277">
        <v>37.947000000000003</v>
      </c>
      <c r="Z277">
        <v>38.220000000000013</v>
      </c>
      <c r="AA277">
        <v>43.134</v>
      </c>
      <c r="AB277">
        <v>57.33</v>
      </c>
      <c r="AC277">
        <v>50.231999999999999</v>
      </c>
      <c r="AD277">
        <v>51.87</v>
      </c>
      <c r="AE277">
        <v>51.597000000000001</v>
      </c>
      <c r="AF277">
        <v>52.143000000000001</v>
      </c>
      <c r="AG277">
        <v>102.92100000000001</v>
      </c>
      <c r="AH277">
        <v>105.92400000000001</v>
      </c>
      <c r="AI277">
        <v>114.387</v>
      </c>
      <c r="AJ277">
        <v>107.01600000000001</v>
      </c>
      <c r="AK277">
        <v>75.621000000000009</v>
      </c>
      <c r="AL277">
        <v>82.718999999999994</v>
      </c>
      <c r="AM277">
        <v>382.2</v>
      </c>
      <c r="AN277">
        <v>104.2377725251811</v>
      </c>
      <c r="AO277">
        <v>104.42777474788249</v>
      </c>
      <c r="AP277">
        <v>105.13656884580161</v>
      </c>
      <c r="AQ277">
        <v>106.00472756528841</v>
      </c>
      <c r="AR277">
        <v>112.4107503642358</v>
      </c>
      <c r="AS277">
        <v>119.7640662204106</v>
      </c>
      <c r="AT277">
        <v>128.49292892589239</v>
      </c>
      <c r="AU277">
        <v>139.04221192910271</v>
      </c>
      <c r="AV277">
        <v>150.97539642709211</v>
      </c>
      <c r="AW277">
        <v>163.8645560012142</v>
      </c>
      <c r="AX277">
        <v>176.16006898667391</v>
      </c>
      <c r="AY277">
        <v>184.31173409463909</v>
      </c>
      <c r="AZ277">
        <v>190.00373848330781</v>
      </c>
      <c r="BA277">
        <v>192.22760071307169</v>
      </c>
      <c r="BB277">
        <v>190.24690527793601</v>
      </c>
      <c r="BC277">
        <v>184.00797353986249</v>
      </c>
      <c r="BD277">
        <v>174.39569102207349</v>
      </c>
      <c r="BE277">
        <v>163.09656976291649</v>
      </c>
      <c r="BF277">
        <v>152.058988081667</v>
      </c>
      <c r="BG277">
        <v>142.88808780354071</v>
      </c>
      <c r="BH277">
        <v>135.8582557039567</v>
      </c>
      <c r="BI277">
        <v>131.317820194105</v>
      </c>
      <c r="BJ277">
        <v>129.10913782079919</v>
      </c>
      <c r="BK277">
        <v>128.8083217833827</v>
      </c>
      <c r="BL277">
        <v>129.9096887998324</v>
      </c>
      <c r="BM277">
        <v>131.92809851596391</v>
      </c>
      <c r="BN277">
        <v>137.0631484307014</v>
      </c>
      <c r="BO277">
        <v>142.13855043769769</v>
      </c>
      <c r="BP277">
        <v>147.13267938083391</v>
      </c>
      <c r="BQ277">
        <v>152.02354390741351</v>
      </c>
      <c r="BR277">
        <v>156.78890466154539</v>
      </c>
      <c r="BS277">
        <v>161.40644365004951</v>
      </c>
      <c r="BT277">
        <v>165.85394498479059</v>
      </c>
      <c r="BU277">
        <v>170.10946663628181</v>
      </c>
      <c r="BV277">
        <v>174.151531961769</v>
      </c>
      <c r="BW277">
        <v>177.9592823683015</v>
      </c>
      <c r="BX277">
        <v>181.5126429835378</v>
      </c>
      <c r="BY277">
        <v>185.13723809774609</v>
      </c>
      <c r="BZ277">
        <v>188.834493779421</v>
      </c>
      <c r="CA277">
        <v>192.60587658048499</v>
      </c>
      <c r="CB277">
        <v>196.45288480051011</v>
      </c>
      <c r="CC277">
        <v>200.37700769977599</v>
      </c>
      <c r="CD277">
        <v>204.37978340864819</v>
      </c>
      <c r="CE277">
        <v>208.46281610890989</v>
      </c>
      <c r="CF277">
        <v>212.6277037684454</v>
      </c>
      <c r="CG277">
        <v>216.87609188128971</v>
      </c>
      <c r="CH277">
        <v>221.2096512261746</v>
      </c>
      <c r="CI277">
        <v>225.63008030498361</v>
      </c>
      <c r="CJ277">
        <v>230.1391266854518</v>
      </c>
      <c r="CK277">
        <v>234.73856760978379</v>
      </c>
      <c r="CL277">
        <v>239.43019581514059</v>
      </c>
    </row>
    <row r="278" spans="4:90" x14ac:dyDescent="0.2">
      <c r="D278" t="s">
        <v>0</v>
      </c>
      <c r="F278" t="s">
        <v>1</v>
      </c>
      <c r="G278" t="s">
        <v>14</v>
      </c>
      <c r="H278" t="s">
        <v>20</v>
      </c>
      <c r="L278" t="s">
        <v>16</v>
      </c>
      <c r="N278" t="s">
        <v>6</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18.7405742169258</v>
      </c>
      <c r="AO278">
        <v>17.436799668493599</v>
      </c>
      <c r="AP278">
        <v>16.959780773560301</v>
      </c>
      <c r="AQ278">
        <v>16.351641896969898</v>
      </c>
      <c r="AR278">
        <v>16.52066729177</v>
      </c>
      <c r="AS278">
        <v>16.691439886286801</v>
      </c>
      <c r="AT278">
        <v>16.863977741160401</v>
      </c>
      <c r="AU278">
        <v>17.014525472637001</v>
      </c>
      <c r="AV278">
        <v>17.0856838402492</v>
      </c>
      <c r="AW278">
        <v>17.095562854166602</v>
      </c>
      <c r="AX278">
        <v>16.894377079247899</v>
      </c>
      <c r="AY278">
        <v>16.4962157334941</v>
      </c>
      <c r="AZ278">
        <v>15.8381335187949</v>
      </c>
      <c r="BA278">
        <v>14.8357067411046</v>
      </c>
      <c r="BB278">
        <v>13.4505819199847</v>
      </c>
      <c r="BC278">
        <v>11.723270055189801</v>
      </c>
      <c r="BD278">
        <v>9.7825843702027004</v>
      </c>
      <c r="BE278">
        <v>7.8133525183805013</v>
      </c>
      <c r="BF278">
        <v>5.9947333028146996</v>
      </c>
      <c r="BG278">
        <v>4.4471809825445998</v>
      </c>
      <c r="BH278">
        <v>3.2157086786617</v>
      </c>
      <c r="BI278">
        <v>2.2857076699115999</v>
      </c>
      <c r="BJ278">
        <v>1.6147120025227999</v>
      </c>
      <c r="BK278">
        <v>1.1427802766766999</v>
      </c>
      <c r="BL278">
        <v>0.81652598087600003</v>
      </c>
      <c r="BM278">
        <v>0.59396201800219994</v>
      </c>
      <c r="BN278">
        <v>0.60131139529169997</v>
      </c>
      <c r="BO278">
        <v>0.60867033354840006</v>
      </c>
      <c r="BP278">
        <v>0.61600781496020007</v>
      </c>
      <c r="BQ278">
        <v>0.62329139262960009</v>
      </c>
      <c r="BR278">
        <v>0.63048720594100005</v>
      </c>
      <c r="BS278">
        <v>0.63756001328860001</v>
      </c>
      <c r="BT278">
        <v>0.64447324334370004</v>
      </c>
      <c r="BU278">
        <v>0.65118906598780002</v>
      </c>
      <c r="BV278">
        <v>0.65766848395419997</v>
      </c>
      <c r="BW278">
        <v>0.66387144610750004</v>
      </c>
      <c r="BX278">
        <v>0.66975698314600007</v>
      </c>
      <c r="BY278">
        <v>0.6758634839041</v>
      </c>
      <c r="BZ278">
        <v>0.68219598513220003</v>
      </c>
      <c r="CA278">
        <v>0.68875973909720001</v>
      </c>
      <c r="CB278">
        <v>0.69556022078749991</v>
      </c>
      <c r="CC278">
        <v>0.7026031354633</v>
      </c>
      <c r="CD278">
        <v>0.70989442656409996</v>
      </c>
      <c r="CE278">
        <v>0.71744028399259996</v>
      </c>
      <c r="CF278">
        <v>0.72524715278789997</v>
      </c>
      <c r="CG278">
        <v>0.73332174220470003</v>
      </c>
      <c r="CH278">
        <v>0.74167103521970001</v>
      </c>
      <c r="CI278">
        <v>0.75030229847880003</v>
      </c>
      <c r="CJ278">
        <v>0.75922309271069999</v>
      </c>
      <c r="CK278">
        <v>0.76844128362140007</v>
      </c>
      <c r="CL278">
        <v>0.77796505329529997</v>
      </c>
    </row>
    <row r="279" spans="4:90" x14ac:dyDescent="0.2">
      <c r="D279" t="s">
        <v>0</v>
      </c>
      <c r="F279" t="s">
        <v>1</v>
      </c>
      <c r="G279" t="s">
        <v>14</v>
      </c>
      <c r="H279" t="s">
        <v>20</v>
      </c>
      <c r="L279" t="s">
        <v>16</v>
      </c>
      <c r="N279" t="s">
        <v>7</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2.9499505478476999</v>
      </c>
      <c r="AO279">
        <v>4.2762113561352999</v>
      </c>
      <c r="AP279">
        <v>5.9555550296564999</v>
      </c>
      <c r="AQ279">
        <v>7.7809613014375003</v>
      </c>
      <c r="AR279">
        <v>7.8613923715519007</v>
      </c>
      <c r="AS279">
        <v>7.9426548501245993</v>
      </c>
      <c r="AT279">
        <v>8.0247573313471996</v>
      </c>
      <c r="AU279">
        <v>9.0976328478182005</v>
      </c>
      <c r="AV279">
        <v>10.6673147508894</v>
      </c>
      <c r="AW279">
        <v>13.007920985204301</v>
      </c>
      <c r="AX279">
        <v>16.368611187237299</v>
      </c>
      <c r="AY279">
        <v>21.207773651699402</v>
      </c>
      <c r="AZ279">
        <v>27.999441131190501</v>
      </c>
      <c r="BA279">
        <v>37.115950040493701</v>
      </c>
      <c r="BB279">
        <v>48.667408210788999</v>
      </c>
      <c r="BC279">
        <v>62.310228547687387</v>
      </c>
      <c r="BD279">
        <v>77.192818335254302</v>
      </c>
      <c r="BE279">
        <v>92.144768221081094</v>
      </c>
      <c r="BF279">
        <v>106.037619116561</v>
      </c>
      <c r="BG279">
        <v>118.09595529593901</v>
      </c>
      <c r="BH279">
        <v>127.997907465807</v>
      </c>
      <c r="BI279">
        <v>135.786470134935</v>
      </c>
      <c r="BJ279">
        <v>142.08466205918501</v>
      </c>
      <c r="BK279">
        <v>147.20592530394799</v>
      </c>
      <c r="BL279">
        <v>151.369407777845</v>
      </c>
      <c r="BM279">
        <v>154.79016230880299</v>
      </c>
      <c r="BN279">
        <v>156.70545532257401</v>
      </c>
      <c r="BO279">
        <v>158.623239983286</v>
      </c>
      <c r="BP279">
        <v>160.53543285799401</v>
      </c>
      <c r="BQ279">
        <v>162.43357808522799</v>
      </c>
      <c r="BR279">
        <v>164.30885137991299</v>
      </c>
      <c r="BS279">
        <v>166.15206856237501</v>
      </c>
      <c r="BT279">
        <v>167.953698918974</v>
      </c>
      <c r="BU279">
        <v>169.70388368770901</v>
      </c>
      <c r="BV279">
        <v>171.39245994055099</v>
      </c>
      <c r="BW279">
        <v>173.00899010479301</v>
      </c>
      <c r="BX279">
        <v>174.542797327893</v>
      </c>
      <c r="BY279">
        <v>176.13418905806699</v>
      </c>
      <c r="BZ279">
        <v>177.784477903501</v>
      </c>
      <c r="CA279">
        <v>179.49503263730901</v>
      </c>
      <c r="CB279">
        <v>181.26728007524201</v>
      </c>
      <c r="CC279">
        <v>183.102707043181</v>
      </c>
      <c r="CD279">
        <v>185.00286243817999</v>
      </c>
      <c r="CE279">
        <v>186.969359387038</v>
      </c>
      <c r="CF279">
        <v>189.00387750657001</v>
      </c>
      <c r="CG279">
        <v>191.10816526997701</v>
      </c>
      <c r="CH279">
        <v>193.28404248393801</v>
      </c>
      <c r="CI279">
        <v>195.53340288129201</v>
      </c>
      <c r="CJ279">
        <v>197.85821683442899</v>
      </c>
      <c r="CK279">
        <v>200.260534194782</v>
      </c>
      <c r="CL279">
        <v>202.74248726407299</v>
      </c>
    </row>
    <row r="280" spans="4:90" x14ac:dyDescent="0.2">
      <c r="D280" t="s">
        <v>0</v>
      </c>
      <c r="F280" t="s">
        <v>1</v>
      </c>
      <c r="G280" t="s">
        <v>14</v>
      </c>
      <c r="H280" t="s">
        <v>20</v>
      </c>
      <c r="L280" t="s">
        <v>16</v>
      </c>
      <c r="N280" t="s">
        <v>8</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4.9422559738224994</v>
      </c>
      <c r="AO280">
        <v>4.6104009579885998</v>
      </c>
      <c r="AP280">
        <v>4.4983209378403997</v>
      </c>
      <c r="AQ280">
        <v>4.3529655812961003</v>
      </c>
      <c r="AR280">
        <v>4.3979617798777006</v>
      </c>
      <c r="AS280">
        <v>4.4434230999606994</v>
      </c>
      <c r="AT280">
        <v>4.4893543494624986</v>
      </c>
      <c r="AU280">
        <v>4.5384383467860001</v>
      </c>
      <c r="AV280">
        <v>4.571197031364</v>
      </c>
      <c r="AW280">
        <v>4.5948397985440996</v>
      </c>
      <c r="AX280">
        <v>4.5723748227414998</v>
      </c>
      <c r="AY280">
        <v>4.5116159597746002</v>
      </c>
      <c r="AZ280">
        <v>4.4003402139528998</v>
      </c>
      <c r="BA280">
        <v>4.2197839523451997</v>
      </c>
      <c r="BB280">
        <v>3.9608917680507001</v>
      </c>
      <c r="BC280">
        <v>3.6311838982092999</v>
      </c>
      <c r="BD280">
        <v>3.2567396863517999</v>
      </c>
      <c r="BE280">
        <v>2.8754423381429</v>
      </c>
      <c r="BF280">
        <v>2.5240675902410001</v>
      </c>
      <c r="BG280">
        <v>2.2271905879972</v>
      </c>
      <c r="BH280">
        <v>1.9937061699504</v>
      </c>
      <c r="BI280">
        <v>1.8201746481848999</v>
      </c>
      <c r="BJ280">
        <v>1.7010773826287999</v>
      </c>
      <c r="BK280">
        <v>1.6235335758628</v>
      </c>
      <c r="BL280">
        <v>1.5755311137301</v>
      </c>
      <c r="BM280">
        <v>1.548006882905</v>
      </c>
      <c r="BN280">
        <v>1.5671611154731999</v>
      </c>
      <c r="BO280">
        <v>1.5863402662048001</v>
      </c>
      <c r="BP280">
        <v>1.6054634952739</v>
      </c>
      <c r="BQ280">
        <v>1.6244462383158</v>
      </c>
      <c r="BR280">
        <v>1.6432002464791999</v>
      </c>
      <c r="BS280">
        <v>1.6616336717210001</v>
      </c>
      <c r="BT280">
        <v>1.6796512004249999</v>
      </c>
      <c r="BU280">
        <v>1.6971542382663001</v>
      </c>
      <c r="BV280">
        <v>1.714041149054</v>
      </c>
      <c r="BW280">
        <v>1.7302075499628</v>
      </c>
      <c r="BX280">
        <v>1.7455466652078</v>
      </c>
      <c r="BY280">
        <v>1.7614616646815</v>
      </c>
      <c r="BZ280">
        <v>1.7779656753591999</v>
      </c>
      <c r="CA280">
        <v>1.7950723859022</v>
      </c>
      <c r="CB280">
        <v>1.8127960654383</v>
      </c>
      <c r="CC280">
        <v>1.8311515832378999</v>
      </c>
      <c r="CD280">
        <v>1.8501544293243</v>
      </c>
      <c r="CE280">
        <v>1.8698207360628001</v>
      </c>
      <c r="CF280">
        <v>1.8901673007633999</v>
      </c>
      <c r="CG280">
        <v>1.9112116093472999</v>
      </c>
      <c r="CH280">
        <v>1.9329718611185001</v>
      </c>
      <c r="CI280">
        <v>1.9554669946934</v>
      </c>
      <c r="CJ280">
        <v>1.9787167151358001</v>
      </c>
      <c r="CK280">
        <v>2.0027415223543001</v>
      </c>
      <c r="CL280">
        <v>2.0275627408155001</v>
      </c>
    </row>
    <row r="281" spans="4:90" x14ac:dyDescent="0.2">
      <c r="D281" t="s">
        <v>0</v>
      </c>
      <c r="F281" t="s">
        <v>1</v>
      </c>
      <c r="G281" t="s">
        <v>14</v>
      </c>
      <c r="H281" t="s">
        <v>21</v>
      </c>
      <c r="L281" t="s">
        <v>16</v>
      </c>
      <c r="N281" t="s">
        <v>6</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1598.13174618676</v>
      </c>
      <c r="AO281">
        <v>1406.6581046773599</v>
      </c>
      <c r="AP281">
        <v>1362.77365697287</v>
      </c>
      <c r="AQ281">
        <v>1304.44797906534</v>
      </c>
      <c r="AR281">
        <v>1308.4432255555801</v>
      </c>
      <c r="AS281">
        <v>1312.4507086353899</v>
      </c>
      <c r="AT281">
        <v>1316.4704657828099</v>
      </c>
      <c r="AU281">
        <v>1311.1189690183</v>
      </c>
      <c r="AV281">
        <v>1299.58243825872</v>
      </c>
      <c r="AW281">
        <v>1279.58474058465</v>
      </c>
      <c r="AX281">
        <v>1246.53109707762</v>
      </c>
      <c r="AY281">
        <v>1196.9192045787499</v>
      </c>
      <c r="AZ281">
        <v>1126.5066611201701</v>
      </c>
      <c r="BA281">
        <v>1032.0726663703001</v>
      </c>
      <c r="BB281">
        <v>913.789442575198</v>
      </c>
      <c r="BC281">
        <v>776.95278746284305</v>
      </c>
      <c r="BD281">
        <v>631.91661769246298</v>
      </c>
      <c r="BE281">
        <v>491.40707740120001</v>
      </c>
      <c r="BF281">
        <v>366.44097208559901</v>
      </c>
      <c r="BG281">
        <v>263.367603171903</v>
      </c>
      <c r="BH281">
        <v>183.45888855276101</v>
      </c>
      <c r="BI281">
        <v>124.414111981403</v>
      </c>
      <c r="BJ281">
        <v>82.333371162288699</v>
      </c>
      <c r="BK281">
        <v>53.083077142751698</v>
      </c>
      <c r="BL281">
        <v>33.1131713806218</v>
      </c>
      <c r="BM281">
        <v>19.631369493507599</v>
      </c>
      <c r="BN281">
        <v>19.706790811726101</v>
      </c>
      <c r="BO281">
        <v>19.786393677934701</v>
      </c>
      <c r="BP281">
        <v>19.869446045084501</v>
      </c>
      <c r="BQ281">
        <v>19.9552052809644</v>
      </c>
      <c r="BR281">
        <v>20.042916901023101</v>
      </c>
      <c r="BS281">
        <v>20.1318135818725</v>
      </c>
      <c r="BT281">
        <v>20.2211144629727</v>
      </c>
      <c r="BU281">
        <v>20.310024745000099</v>
      </c>
      <c r="BV281">
        <v>20.397735594091401</v>
      </c>
      <c r="BW281">
        <v>20.483424361538699</v>
      </c>
      <c r="BX281">
        <v>20.566255128533101</v>
      </c>
      <c r="BY281">
        <v>20.653685467442799</v>
      </c>
      <c r="BZ281">
        <v>20.745770237125701</v>
      </c>
      <c r="CA281">
        <v>20.842567413707599</v>
      </c>
      <c r="CB281">
        <v>20.944138151275698</v>
      </c>
      <c r="CC281">
        <v>21.050546846112699</v>
      </c>
      <c r="CD281">
        <v>21.161861204564101</v>
      </c>
      <c r="CE281">
        <v>21.278152314641499</v>
      </c>
      <c r="CF281">
        <v>21.399494721465999</v>
      </c>
      <c r="CG281">
        <v>21.525966506662002</v>
      </c>
      <c r="CH281">
        <v>21.657649371822998</v>
      </c>
      <c r="CI281">
        <v>21.794628726170899</v>
      </c>
      <c r="CJ281">
        <v>21.936993778541002</v>
      </c>
      <c r="CK281">
        <v>22.084837633831601</v>
      </c>
      <c r="CL281">
        <v>22.2382573940627</v>
      </c>
    </row>
    <row r="282" spans="4:90" x14ac:dyDescent="0.2">
      <c r="D282" t="s">
        <v>0</v>
      </c>
      <c r="F282" t="s">
        <v>1</v>
      </c>
      <c r="G282" t="s">
        <v>14</v>
      </c>
      <c r="H282" t="s">
        <v>21</v>
      </c>
      <c r="L282" t="s">
        <v>16</v>
      </c>
      <c r="N282" t="s">
        <v>7</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251.561641902031</v>
      </c>
      <c r="AO282">
        <v>344.96968915059</v>
      </c>
      <c r="AP282">
        <v>478.54825574873598</v>
      </c>
      <c r="AQ282">
        <v>620.72416389737498</v>
      </c>
      <c r="AR282">
        <v>622.62530988174706</v>
      </c>
      <c r="AS282">
        <v>624.53227867158296</v>
      </c>
      <c r="AT282">
        <v>626.44508810089906</v>
      </c>
      <c r="AU282">
        <v>682.39973241490509</v>
      </c>
      <c r="AV282">
        <v>764.75159600984296</v>
      </c>
      <c r="AW282">
        <v>885.55227380095903</v>
      </c>
      <c r="AX282">
        <v>1059.4894458000799</v>
      </c>
      <c r="AY282">
        <v>1305.3621268072</v>
      </c>
      <c r="AZ282">
        <v>1641.8601003490801</v>
      </c>
      <c r="BA282">
        <v>2081.6641916048602</v>
      </c>
      <c r="BB282">
        <v>2623.1625623179698</v>
      </c>
      <c r="BC282">
        <v>3243.11625810747</v>
      </c>
      <c r="BD282">
        <v>3896.9395804528499</v>
      </c>
      <c r="BE282">
        <v>4530.0896401525597</v>
      </c>
      <c r="BF282">
        <v>5095.3728193198795</v>
      </c>
      <c r="BG282">
        <v>5565.4892027493697</v>
      </c>
      <c r="BH282">
        <v>5934.7744593806301</v>
      </c>
      <c r="BI282">
        <v>6212.8250533095006</v>
      </c>
      <c r="BJ282">
        <v>6418.0434689674303</v>
      </c>
      <c r="BK282">
        <v>6567.6927185142104</v>
      </c>
      <c r="BL282">
        <v>6679.0233859772097</v>
      </c>
      <c r="BM282">
        <v>6763.0705732697306</v>
      </c>
      <c r="BN282">
        <v>6789.0534624415704</v>
      </c>
      <c r="BO282">
        <v>6816.47690848192</v>
      </c>
      <c r="BP282">
        <v>6845.0887188039906</v>
      </c>
      <c r="BQ282">
        <v>6874.6330541983298</v>
      </c>
      <c r="BR282">
        <v>6904.8499922855408</v>
      </c>
      <c r="BS282">
        <v>6935.47518766541</v>
      </c>
      <c r="BT282">
        <v>6966.2396313450299</v>
      </c>
      <c r="BU282">
        <v>6996.8695123749094</v>
      </c>
      <c r="BV282">
        <v>7027.0861848613804</v>
      </c>
      <c r="BW282">
        <v>7056.6062436516804</v>
      </c>
      <c r="BX282">
        <v>7085.1417120002707</v>
      </c>
      <c r="BY282">
        <v>7115.2617478177699</v>
      </c>
      <c r="BZ282">
        <v>7146.9852501589703</v>
      </c>
      <c r="CA282">
        <v>7180.3321919875998</v>
      </c>
      <c r="CB282">
        <v>7215.3236410854506</v>
      </c>
      <c r="CC282">
        <v>7251.9817821809902</v>
      </c>
      <c r="CD282">
        <v>7290.3299403303099</v>
      </c>
      <c r="CE282">
        <v>7330.3926055844186</v>
      </c>
      <c r="CF282">
        <v>7372.1954589796214</v>
      </c>
      <c r="CG282">
        <v>7415.7653998892902</v>
      </c>
      <c r="CH282">
        <v>7461.1305747778197</v>
      </c>
      <c r="CI282">
        <v>7508.3204073996394</v>
      </c>
      <c r="CJ282">
        <v>7557.3656304883698</v>
      </c>
      <c r="CK282">
        <v>7608.2983189839797</v>
      </c>
      <c r="CL282">
        <v>7661.1519248478098</v>
      </c>
    </row>
    <row r="283" spans="4:90" x14ac:dyDescent="0.2">
      <c r="D283" t="s">
        <v>0</v>
      </c>
      <c r="F283" t="s">
        <v>1</v>
      </c>
      <c r="G283" t="s">
        <v>14</v>
      </c>
      <c r="H283" t="s">
        <v>21</v>
      </c>
      <c r="L283" t="s">
        <v>16</v>
      </c>
      <c r="N283" t="s">
        <v>8</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421.45859983382701</v>
      </c>
      <c r="AO283">
        <v>371.92936758258099</v>
      </c>
      <c r="AP283">
        <v>361.45474735473101</v>
      </c>
      <c r="AQ283">
        <v>347.25669698742098</v>
      </c>
      <c r="AR283">
        <v>348.32027033194601</v>
      </c>
      <c r="AS283">
        <v>349.38710117522902</v>
      </c>
      <c r="AT283">
        <v>350.45719949429503</v>
      </c>
      <c r="AU283">
        <v>349.41289299213599</v>
      </c>
      <c r="AV283">
        <v>346.912811161825</v>
      </c>
      <c r="AW283">
        <v>342.436413515867</v>
      </c>
      <c r="AX283">
        <v>334.87022333363501</v>
      </c>
      <c r="AY283">
        <v>323.41493959182901</v>
      </c>
      <c r="AZ283">
        <v>307.07581917384101</v>
      </c>
      <c r="BA283">
        <v>285.08785489564889</v>
      </c>
      <c r="BB283">
        <v>257.48588272164199</v>
      </c>
      <c r="BC283">
        <v>225.512237272108</v>
      </c>
      <c r="BD283">
        <v>191.601351831915</v>
      </c>
      <c r="BE283">
        <v>158.74709984938701</v>
      </c>
      <c r="BF283">
        <v>129.54137741709201</v>
      </c>
      <c r="BG283">
        <v>105.477312893831</v>
      </c>
      <c r="BH283">
        <v>86.8527448826202</v>
      </c>
      <c r="BI283">
        <v>73.124703913678403</v>
      </c>
      <c r="BJ283">
        <v>63.386696361791202</v>
      </c>
      <c r="BK283">
        <v>56.663334191686801</v>
      </c>
      <c r="BL283">
        <v>52.132684876503212</v>
      </c>
      <c r="BM283">
        <v>49.131791936289602</v>
      </c>
      <c r="BN283">
        <v>49.320550265936397</v>
      </c>
      <c r="BO283">
        <v>49.5197738331659</v>
      </c>
      <c r="BP283">
        <v>49.727630530273203</v>
      </c>
      <c r="BQ283">
        <v>49.9422617578741</v>
      </c>
      <c r="BR283">
        <v>50.161779253509998</v>
      </c>
      <c r="BS283">
        <v>50.384262622729601</v>
      </c>
      <c r="BT283">
        <v>50.607757591401999</v>
      </c>
      <c r="BU283">
        <v>50.830275000541903</v>
      </c>
      <c r="BV283">
        <v>51.049790566663297</v>
      </c>
      <c r="BW283">
        <v>51.264245431612501</v>
      </c>
      <c r="BX283">
        <v>51.4715475259081</v>
      </c>
      <c r="BY283">
        <v>51.6903610540041</v>
      </c>
      <c r="BZ283">
        <v>51.920823312179898</v>
      </c>
      <c r="CA283">
        <v>52.163079398359699</v>
      </c>
      <c r="CB283">
        <v>52.417282364009502</v>
      </c>
      <c r="CC283">
        <v>52.683593374897796</v>
      </c>
      <c r="CD283">
        <v>52.962181880949899</v>
      </c>
      <c r="CE283">
        <v>53.253225795449197</v>
      </c>
      <c r="CF283">
        <v>53.5569116838493</v>
      </c>
      <c r="CG283">
        <v>53.8734349624781</v>
      </c>
      <c r="CH283">
        <v>54.203000107426597</v>
      </c>
      <c r="CI283">
        <v>54.545820873935597</v>
      </c>
      <c r="CJ283">
        <v>54.902120526609401</v>
      </c>
      <c r="CK283">
        <v>55.272132080800901</v>
      </c>
      <c r="CL283">
        <v>55.656098555533397</v>
      </c>
    </row>
    <row r="284" spans="4:90" x14ac:dyDescent="0.2">
      <c r="D284" t="s">
        <v>0</v>
      </c>
      <c r="F284" t="s">
        <v>1</v>
      </c>
      <c r="G284" t="s">
        <v>14</v>
      </c>
      <c r="H284" t="s">
        <v>22</v>
      </c>
      <c r="L284" t="s">
        <v>16</v>
      </c>
      <c r="N284" t="s">
        <v>6</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row>
    <row r="285" spans="4:90" x14ac:dyDescent="0.2">
      <c r="D285" t="s">
        <v>0</v>
      </c>
      <c r="F285" t="s">
        <v>1</v>
      </c>
      <c r="G285" t="s">
        <v>14</v>
      </c>
      <c r="H285" t="s">
        <v>22</v>
      </c>
      <c r="L285" t="s">
        <v>16</v>
      </c>
      <c r="N285" t="s">
        <v>7</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row>
    <row r="286" spans="4:90" x14ac:dyDescent="0.2">
      <c r="D286" t="s">
        <v>0</v>
      </c>
      <c r="F286" t="s">
        <v>1</v>
      </c>
      <c r="G286" t="s">
        <v>14</v>
      </c>
      <c r="H286" t="s">
        <v>22</v>
      </c>
      <c r="L286" t="s">
        <v>16</v>
      </c>
      <c r="N286" t="s">
        <v>8</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row>
    <row r="287" spans="4:90" x14ac:dyDescent="0.2">
      <c r="D287" t="s">
        <v>0</v>
      </c>
      <c r="F287" t="s">
        <v>1</v>
      </c>
      <c r="G287" t="s">
        <v>14</v>
      </c>
      <c r="H287" t="s">
        <v>23</v>
      </c>
      <c r="L287" t="s">
        <v>16</v>
      </c>
      <c r="N287" t="s">
        <v>6</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15.929043841956799</v>
      </c>
      <c r="AO287">
        <v>19.6236615548986</v>
      </c>
      <c r="AP287">
        <v>19.853776152936501</v>
      </c>
      <c r="AQ287">
        <v>20.195820535356901</v>
      </c>
      <c r="AR287">
        <v>20.543757719159</v>
      </c>
      <c r="AS287">
        <v>20.897689226571899</v>
      </c>
      <c r="AT287">
        <v>21.257718328867199</v>
      </c>
      <c r="AU287">
        <v>21.735629521882299</v>
      </c>
      <c r="AV287">
        <v>22.131480495626899</v>
      </c>
      <c r="AW287">
        <v>22.229619037029199</v>
      </c>
      <c r="AX287">
        <v>22.212093288923601</v>
      </c>
      <c r="AY287">
        <v>21.851068134868498</v>
      </c>
      <c r="AZ287">
        <v>21.030731992262201</v>
      </c>
      <c r="BA287">
        <v>19.723977648415701</v>
      </c>
      <c r="BB287">
        <v>17.957402916734999</v>
      </c>
      <c r="BC287">
        <v>15.837947408777</v>
      </c>
      <c r="BD287">
        <v>13.5508229905662</v>
      </c>
      <c r="BE287">
        <v>11.315652144907199</v>
      </c>
      <c r="BF287">
        <v>9.320744741325699</v>
      </c>
      <c r="BG287">
        <v>7.6760186903963001</v>
      </c>
      <c r="BH287">
        <v>6.4071713221401003</v>
      </c>
      <c r="BI287">
        <v>5.4805689276658001</v>
      </c>
      <c r="BJ287">
        <v>4.8173504864838002</v>
      </c>
      <c r="BK287">
        <v>4.3582312776377998</v>
      </c>
      <c r="BL287">
        <v>4.0533965909143994</v>
      </c>
      <c r="BM287">
        <v>3.8569343502864002</v>
      </c>
      <c r="BN287">
        <v>3.9005070347314001</v>
      </c>
      <c r="BO287">
        <v>3.9445302303326</v>
      </c>
      <c r="BP287">
        <v>3.9887900430959</v>
      </c>
      <c r="BQ287">
        <v>4.0330628153871002</v>
      </c>
      <c r="BR287">
        <v>4.0771150209061</v>
      </c>
      <c r="BS287">
        <v>4.1207032880865002</v>
      </c>
      <c r="BT287">
        <v>4.1635745615373994</v>
      </c>
      <c r="BU287">
        <v>4.2054664110477997</v>
      </c>
      <c r="BV287">
        <v>4.2461074973587003</v>
      </c>
      <c r="BW287">
        <v>4.2852182033372994</v>
      </c>
      <c r="BX287">
        <v>4.3225114383441996</v>
      </c>
      <c r="BY287">
        <v>4.3613867799054002</v>
      </c>
      <c r="BZ287">
        <v>4.4018806167988993</v>
      </c>
      <c r="CA287">
        <v>4.4440310670969003</v>
      </c>
      <c r="CB287">
        <v>4.4878780375739007</v>
      </c>
      <c r="CC287">
        <v>4.5334632862346993</v>
      </c>
      <c r="CD287">
        <v>4.5808304880968</v>
      </c>
      <c r="CE287">
        <v>4.6300253043730004</v>
      </c>
      <c r="CF287">
        <v>4.6810954552048996</v>
      </c>
      <c r="CG287">
        <v>4.7340907961092</v>
      </c>
      <c r="CH287">
        <v>4.7890633983070998</v>
      </c>
      <c r="CI287">
        <v>4.8460676331158998</v>
      </c>
      <c r="CJ287">
        <v>4.9051602605928002</v>
      </c>
      <c r="CK287">
        <v>4.9664005226311998</v>
      </c>
      <c r="CL287">
        <v>5.0298502407205996</v>
      </c>
    </row>
    <row r="288" spans="4:90" x14ac:dyDescent="0.2">
      <c r="D288" t="s">
        <v>0</v>
      </c>
      <c r="F288" t="s">
        <v>1</v>
      </c>
      <c r="G288" t="s">
        <v>14</v>
      </c>
      <c r="H288" t="s">
        <v>23</v>
      </c>
      <c r="L288" t="s">
        <v>16</v>
      </c>
      <c r="N288" t="s">
        <v>7</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421.73908556992097</v>
      </c>
      <c r="AO288">
        <v>519.55818326631402</v>
      </c>
      <c r="AP288">
        <v>525.65072222318304</v>
      </c>
      <c r="AQ288">
        <v>534.70672624310805</v>
      </c>
      <c r="AR288">
        <v>543.91874870901097</v>
      </c>
      <c r="AS288">
        <v>553.28947753439593</v>
      </c>
      <c r="AT288">
        <v>562.82164694061601</v>
      </c>
      <c r="AU288">
        <v>581.79026773844896</v>
      </c>
      <c r="AV288">
        <v>602.156719525889</v>
      </c>
      <c r="AW288">
        <v>619.71840318044201</v>
      </c>
      <c r="AX288">
        <v>641.75972423940902</v>
      </c>
      <c r="AY288">
        <v>664.77990722438699</v>
      </c>
      <c r="AZ288">
        <v>688.17902268603905</v>
      </c>
      <c r="BA288">
        <v>713.04235191917394</v>
      </c>
      <c r="BB288">
        <v>739.99274561858999</v>
      </c>
      <c r="BC288">
        <v>768.93172843888101</v>
      </c>
      <c r="BD288">
        <v>799.03222257357493</v>
      </c>
      <c r="BE288">
        <v>829.08976299667006</v>
      </c>
      <c r="BF288">
        <v>858.06284416605308</v>
      </c>
      <c r="BG288">
        <v>885.46116880411591</v>
      </c>
      <c r="BH288">
        <v>911.39044531106197</v>
      </c>
      <c r="BI288">
        <v>936.33973329665196</v>
      </c>
      <c r="BJ288">
        <v>957.385137703532</v>
      </c>
      <c r="BK288">
        <v>975.026916186623</v>
      </c>
      <c r="BL288">
        <v>990.88303864951195</v>
      </c>
      <c r="BM288">
        <v>1005.14086086381</v>
      </c>
      <c r="BN288">
        <v>1016.49617095614</v>
      </c>
      <c r="BO288">
        <v>1027.9688870321399</v>
      </c>
      <c r="BP288">
        <v>1039.50326699875</v>
      </c>
      <c r="BQ288">
        <v>1051.04102429824</v>
      </c>
      <c r="BR288">
        <v>1062.5213005375699</v>
      </c>
      <c r="BS288">
        <v>1073.8806715867499</v>
      </c>
      <c r="BT288">
        <v>1085.0531896514101</v>
      </c>
      <c r="BU288">
        <v>1095.9704638012499</v>
      </c>
      <c r="BV288">
        <v>1106.5617813532399</v>
      </c>
      <c r="BW288">
        <v>1116.7542723593299</v>
      </c>
      <c r="BX288">
        <v>1126.4731192295999</v>
      </c>
      <c r="BY288">
        <v>1136.60427281803</v>
      </c>
      <c r="BZ288">
        <v>1147.1572162643899</v>
      </c>
      <c r="CA288">
        <v>1158.14188337316</v>
      </c>
      <c r="CB288">
        <v>1169.5686740957501</v>
      </c>
      <c r="CC288">
        <v>1181.44847082554</v>
      </c>
      <c r="CD288">
        <v>1193.7926555412901</v>
      </c>
      <c r="CE288">
        <v>1206.6131278364201</v>
      </c>
      <c r="CF288">
        <v>1219.92232387388</v>
      </c>
      <c r="CG288">
        <v>1233.7332363086</v>
      </c>
      <c r="CH288">
        <v>1248.0594352217299</v>
      </c>
      <c r="CI288">
        <v>1262.91509011364</v>
      </c>
      <c r="CJ288">
        <v>1278.3149930050299</v>
      </c>
      <c r="CK288">
        <v>1294.2745826983601</v>
      </c>
      <c r="CL288">
        <v>1310.80997025487</v>
      </c>
    </row>
    <row r="289" spans="4:90" x14ac:dyDescent="0.2">
      <c r="D289" t="s">
        <v>0</v>
      </c>
      <c r="F289" t="s">
        <v>1</v>
      </c>
      <c r="G289" t="s">
        <v>14</v>
      </c>
      <c r="H289" t="s">
        <v>23</v>
      </c>
      <c r="L289" t="s">
        <v>16</v>
      </c>
      <c r="N289" t="s">
        <v>8</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8.3643308800281986</v>
      </c>
      <c r="AO289">
        <v>10.304372312073401</v>
      </c>
      <c r="AP289">
        <v>10.425205342443</v>
      </c>
      <c r="AQ289">
        <v>10.604812632033299</v>
      </c>
      <c r="AR289">
        <v>10.787514227914601</v>
      </c>
      <c r="AS289">
        <v>10.9733634393447</v>
      </c>
      <c r="AT289">
        <v>11.1624144940045</v>
      </c>
      <c r="AU289">
        <v>11.469501734832299</v>
      </c>
      <c r="AV289">
        <v>11.765236431104899</v>
      </c>
      <c r="AW289">
        <v>11.94977547653</v>
      </c>
      <c r="AX289">
        <v>12.140618543898499</v>
      </c>
      <c r="AY289">
        <v>12.240630815193301</v>
      </c>
      <c r="AZ289">
        <v>12.2109222870753</v>
      </c>
      <c r="BA289">
        <v>12.0532852942102</v>
      </c>
      <c r="BB289">
        <v>11.7809631739742</v>
      </c>
      <c r="BC289">
        <v>11.4240672113848</v>
      </c>
      <c r="BD289">
        <v>11.028912293353001</v>
      </c>
      <c r="BE289">
        <v>10.648429534017501</v>
      </c>
      <c r="BF289">
        <v>10.327925482634001</v>
      </c>
      <c r="BG289">
        <v>10.0948915764729</v>
      </c>
      <c r="BH289">
        <v>9.9577134467891</v>
      </c>
      <c r="BI289">
        <v>9.9109926172457001</v>
      </c>
      <c r="BJ289">
        <v>9.9058885000996995</v>
      </c>
      <c r="BK289">
        <v>9.9296695688908994</v>
      </c>
      <c r="BL289">
        <v>9.9822834500024005</v>
      </c>
      <c r="BM289">
        <v>10.052092120702399</v>
      </c>
      <c r="BN289">
        <v>10.165652943420399</v>
      </c>
      <c r="BO289">
        <v>10.280387905813299</v>
      </c>
      <c r="BP289">
        <v>10.3957395490447</v>
      </c>
      <c r="BQ289">
        <v>10.5111249679012</v>
      </c>
      <c r="BR289">
        <v>10.625935537068299</v>
      </c>
      <c r="BS289">
        <v>10.7395369721163</v>
      </c>
      <c r="BT289">
        <v>10.851269750256099</v>
      </c>
      <c r="BU289">
        <v>10.960449915678</v>
      </c>
      <c r="BV289">
        <v>11.0663702934654</v>
      </c>
      <c r="BW289">
        <v>11.168302134585</v>
      </c>
      <c r="BX289">
        <v>11.265497212261099</v>
      </c>
      <c r="BY289">
        <v>11.366815637494</v>
      </c>
      <c r="BZ289">
        <v>11.4723522481299</v>
      </c>
      <c r="CA289">
        <v>11.582206388969199</v>
      </c>
      <c r="CB289">
        <v>11.696482066598101</v>
      </c>
      <c r="CC289">
        <v>11.815288112349901</v>
      </c>
      <c r="CD289">
        <v>11.9387383537531</v>
      </c>
      <c r="CE289">
        <v>12.066951794833001</v>
      </c>
      <c r="CF289">
        <v>12.2000528056766</v>
      </c>
      <c r="CG289">
        <v>12.338171321667801</v>
      </c>
      <c r="CH289">
        <v>12.4814430528464</v>
      </c>
      <c r="CI289">
        <v>12.6300097038514</v>
      </c>
      <c r="CJ289">
        <v>12.784019204948899</v>
      </c>
      <c r="CK289">
        <v>12.9436259546616</v>
      </c>
      <c r="CL289">
        <v>13.108991074558</v>
      </c>
    </row>
    <row r="290" spans="4:90" x14ac:dyDescent="0.2">
      <c r="D290" t="s">
        <v>0</v>
      </c>
      <c r="F290" t="s">
        <v>1</v>
      </c>
      <c r="G290" t="s">
        <v>14</v>
      </c>
      <c r="H290" t="s">
        <v>24</v>
      </c>
      <c r="L290" t="s">
        <v>16</v>
      </c>
      <c r="N290" t="s">
        <v>6</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0.1692183458599</v>
      </c>
      <c r="AO290">
        <v>0.15255414807109999</v>
      </c>
      <c r="AP290">
        <v>0.15744660358400001</v>
      </c>
      <c r="AQ290">
        <v>0.15730180699509999</v>
      </c>
      <c r="AR290">
        <v>0.15708160380710001</v>
      </c>
      <c r="AS290">
        <v>0.15678962485440001</v>
      </c>
      <c r="AT290">
        <v>0.15644221413359999</v>
      </c>
      <c r="AU290">
        <v>0.1567649568433</v>
      </c>
      <c r="AV290">
        <v>0.15639706128729999</v>
      </c>
      <c r="AW290">
        <v>0.1559293543535</v>
      </c>
      <c r="AX290">
        <v>0.15347284277000001</v>
      </c>
      <c r="AY290">
        <v>0.1498111262856</v>
      </c>
      <c r="AZ290">
        <v>0.1444760175349</v>
      </c>
      <c r="BA290">
        <v>0.1366200450392</v>
      </c>
      <c r="BB290">
        <v>0.12578242713660001</v>
      </c>
      <c r="BC290">
        <v>0.1121715862897</v>
      </c>
      <c r="BD290">
        <v>9.6759139694264695E-2</v>
      </c>
      <c r="BE290">
        <v>8.1022365338136393E-2</v>
      </c>
      <c r="BF290">
        <v>6.6429018288814701E-2</v>
      </c>
      <c r="BG290">
        <v>5.3982110566169403E-2</v>
      </c>
      <c r="BH290">
        <v>4.4069766197361387E-2</v>
      </c>
      <c r="BI290">
        <v>3.6574942850615903E-2</v>
      </c>
      <c r="BJ290">
        <v>3.1316946988693903E-2</v>
      </c>
      <c r="BK290">
        <v>2.7704556293125501E-2</v>
      </c>
      <c r="BL290">
        <v>2.5235600869412102E-2</v>
      </c>
      <c r="BM290">
        <v>2.35674195688091E-2</v>
      </c>
      <c r="BN290">
        <v>2.3674498668677501E-2</v>
      </c>
      <c r="BO290">
        <v>2.3767240050759902E-2</v>
      </c>
      <c r="BP290">
        <v>2.3845044817049299E-2</v>
      </c>
      <c r="BQ290">
        <v>2.39086360304267E-2</v>
      </c>
      <c r="BR290">
        <v>2.3956897511217601E-2</v>
      </c>
      <c r="BS290">
        <v>2.3987718745733601E-2</v>
      </c>
      <c r="BT290">
        <v>2.3999269329913801E-2</v>
      </c>
      <c r="BU290">
        <v>2.3989979685885801E-2</v>
      </c>
      <c r="BV290">
        <v>2.3960052393554501E-2</v>
      </c>
      <c r="BW290">
        <v>2.3909277325296401E-2</v>
      </c>
      <c r="BX290">
        <v>2.3836118340742101E-2</v>
      </c>
      <c r="BY290">
        <v>2.3768619664776201E-2</v>
      </c>
      <c r="BZ290">
        <v>2.3706940569977401E-2</v>
      </c>
      <c r="CA290">
        <v>2.36523327511735E-2</v>
      </c>
      <c r="CB290">
        <v>2.3606283373028499E-2</v>
      </c>
      <c r="CC290">
        <v>2.35667172940539E-2</v>
      </c>
      <c r="CD290">
        <v>2.35332622495334E-2</v>
      </c>
      <c r="CE290">
        <v>2.3508764595480101E-2</v>
      </c>
      <c r="CF290">
        <v>2.3492601833899899E-2</v>
      </c>
      <c r="CG290">
        <v>2.3485555156544002E-2</v>
      </c>
      <c r="CH290">
        <v>2.3487710476788701E-2</v>
      </c>
      <c r="CI290">
        <v>2.3498623070067001E-2</v>
      </c>
      <c r="CJ290">
        <v>2.35192086476592E-2</v>
      </c>
      <c r="CK290">
        <v>2.3549904637618E-2</v>
      </c>
      <c r="CL290">
        <v>2.3589313424741298E-2</v>
      </c>
    </row>
    <row r="291" spans="4:90" x14ac:dyDescent="0.2">
      <c r="D291" t="s">
        <v>0</v>
      </c>
      <c r="F291" t="s">
        <v>1</v>
      </c>
      <c r="G291" t="s">
        <v>14</v>
      </c>
      <c r="H291" t="s">
        <v>24</v>
      </c>
      <c r="L291" t="s">
        <v>16</v>
      </c>
      <c r="N291" t="s">
        <v>7</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20.7902890425488</v>
      </c>
      <c r="AO291">
        <v>18.742913582574399</v>
      </c>
      <c r="AP291">
        <v>19.3440042251117</v>
      </c>
      <c r="AQ291">
        <v>19.326214410887101</v>
      </c>
      <c r="AR291">
        <v>19.299160087060301</v>
      </c>
      <c r="AS291">
        <v>19.263287340576799</v>
      </c>
      <c r="AT291">
        <v>19.2206042067466</v>
      </c>
      <c r="AU291">
        <v>19.439317954970701</v>
      </c>
      <c r="AV291">
        <v>19.665277850905099</v>
      </c>
      <c r="AW291">
        <v>20.017638344649701</v>
      </c>
      <c r="AX291">
        <v>20.315761513719501</v>
      </c>
      <c r="AY291">
        <v>20.736482094913001</v>
      </c>
      <c r="AZ291">
        <v>21.313057092754299</v>
      </c>
      <c r="BA291">
        <v>22.015879418032799</v>
      </c>
      <c r="BB291">
        <v>22.812927116573402</v>
      </c>
      <c r="BC291">
        <v>23.666370169895</v>
      </c>
      <c r="BD291">
        <v>24.531741197462001</v>
      </c>
      <c r="BE291">
        <v>25.361256258040399</v>
      </c>
      <c r="BF291">
        <v>26.1102158806208</v>
      </c>
      <c r="BG291">
        <v>26.742933417455301</v>
      </c>
      <c r="BH291">
        <v>27.238605936323601</v>
      </c>
      <c r="BI291">
        <v>27.585099374705599</v>
      </c>
      <c r="BJ291">
        <v>27.9637447080936</v>
      </c>
      <c r="BK291">
        <v>28.329012682138298</v>
      </c>
      <c r="BL291">
        <v>28.621960159652499</v>
      </c>
      <c r="BM291">
        <v>28.842459676534201</v>
      </c>
      <c r="BN291">
        <v>28.973506039549701</v>
      </c>
      <c r="BO291">
        <v>29.087005507119699</v>
      </c>
      <c r="BP291">
        <v>29.1822251313043</v>
      </c>
      <c r="BQ291">
        <v>29.2600498164492</v>
      </c>
      <c r="BR291">
        <v>29.3191135510077</v>
      </c>
      <c r="BS291">
        <v>29.356833429975101</v>
      </c>
      <c r="BT291">
        <v>29.370969354253301</v>
      </c>
      <c r="BU291">
        <v>29.359600431045301</v>
      </c>
      <c r="BV291">
        <v>29.322974583240001</v>
      </c>
      <c r="BW291">
        <v>29.260834650841801</v>
      </c>
      <c r="BX291">
        <v>29.171300662794199</v>
      </c>
      <c r="BY291">
        <v>29.088693916897402</v>
      </c>
      <c r="BZ291">
        <v>29.013209335336501</v>
      </c>
      <c r="CA291">
        <v>28.946378776849699</v>
      </c>
      <c r="CB291">
        <v>28.8900222746711</v>
      </c>
      <c r="CC291">
        <v>28.8416002132717</v>
      </c>
      <c r="CD291">
        <v>28.800657004799501</v>
      </c>
      <c r="CE291">
        <v>28.7706760984412</v>
      </c>
      <c r="CF291">
        <v>28.75089566394</v>
      </c>
      <c r="CG291">
        <v>28.7422717453606</v>
      </c>
      <c r="CH291">
        <v>28.744909485867701</v>
      </c>
      <c r="CI291">
        <v>28.758264619240698</v>
      </c>
      <c r="CJ291">
        <v>28.7834578182622</v>
      </c>
      <c r="CK291">
        <v>28.821024419477599</v>
      </c>
      <c r="CL291">
        <v>28.869253982760402</v>
      </c>
    </row>
    <row r="292" spans="4:90" x14ac:dyDescent="0.2">
      <c r="D292" t="s">
        <v>0</v>
      </c>
      <c r="F292" t="s">
        <v>1</v>
      </c>
      <c r="G292" t="s">
        <v>14</v>
      </c>
      <c r="H292" t="s">
        <v>24</v>
      </c>
      <c r="L292" t="s">
        <v>16</v>
      </c>
      <c r="N292" t="s">
        <v>8</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0.15169250785169999</v>
      </c>
      <c r="AO292">
        <v>0.13675421058209999</v>
      </c>
      <c r="AP292">
        <v>0.14113995754440001</v>
      </c>
      <c r="AQ292">
        <v>0.1410101574474</v>
      </c>
      <c r="AR292">
        <v>0.14081276056549999</v>
      </c>
      <c r="AS292">
        <v>0.1405510216899</v>
      </c>
      <c r="AT292">
        <v>0.14023959207969999</v>
      </c>
      <c r="AU292">
        <v>0.14127121913580001</v>
      </c>
      <c r="AV292">
        <v>0.14206553716609999</v>
      </c>
      <c r="AW292">
        <v>0.1433452198854</v>
      </c>
      <c r="AX292">
        <v>0.14363018519260001</v>
      </c>
      <c r="AY292">
        <v>0.14395684725989999</v>
      </c>
      <c r="AZ292">
        <v>0.14428183827919999</v>
      </c>
      <c r="BA292">
        <v>0.14415436103429999</v>
      </c>
      <c r="BB292">
        <v>0.1432632962632</v>
      </c>
      <c r="BC292">
        <v>0.14153249817079999</v>
      </c>
      <c r="BD292">
        <v>0.1391537406026</v>
      </c>
      <c r="BE292">
        <v>0.13650079138640001</v>
      </c>
      <c r="BF292">
        <v>0.1339565188697</v>
      </c>
      <c r="BG292">
        <v>0.13176125104729999</v>
      </c>
      <c r="BH292">
        <v>0.12997899211620001</v>
      </c>
      <c r="BI292">
        <v>0.12851413203760001</v>
      </c>
      <c r="BJ292">
        <v>0.1280484432449</v>
      </c>
      <c r="BK292">
        <v>0.12816431705340001</v>
      </c>
      <c r="BL292">
        <v>0.12842300913749999</v>
      </c>
      <c r="BM292">
        <v>0.12869134579639999</v>
      </c>
      <c r="BN292">
        <v>0.12927605781500001</v>
      </c>
      <c r="BO292">
        <v>0.1297824778427</v>
      </c>
      <c r="BP292">
        <v>0.1302073355601</v>
      </c>
      <c r="BQ292">
        <v>0.1305545792966</v>
      </c>
      <c r="BR292">
        <v>0.1308181140843</v>
      </c>
      <c r="BS292">
        <v>0.13098641533329999</v>
      </c>
      <c r="BT292">
        <v>0.1310494880095</v>
      </c>
      <c r="BU292">
        <v>0.13099876133630001</v>
      </c>
      <c r="BV292">
        <v>0.13083534151359999</v>
      </c>
      <c r="BW292">
        <v>0.1305580811267</v>
      </c>
      <c r="BX292">
        <v>0.13015859198659999</v>
      </c>
      <c r="BY292">
        <v>0.12979001131000001</v>
      </c>
      <c r="BZ292">
        <v>0.12945320881479999</v>
      </c>
      <c r="CA292">
        <v>0.12915501945749999</v>
      </c>
      <c r="CB292">
        <v>0.1289035639925</v>
      </c>
      <c r="CC292">
        <v>0.12868751098190001</v>
      </c>
      <c r="CD292">
        <v>0.1285048276512</v>
      </c>
      <c r="CE292">
        <v>0.12837105670269999</v>
      </c>
      <c r="CF292">
        <v>0.12828279894780001</v>
      </c>
      <c r="CG292">
        <v>0.1282443201322</v>
      </c>
      <c r="CH292">
        <v>0.1282560893911</v>
      </c>
      <c r="CI292">
        <v>0.1283156782787</v>
      </c>
      <c r="CJ292">
        <v>0.12842808709279999</v>
      </c>
      <c r="CK292">
        <v>0.12859570443609999</v>
      </c>
      <c r="CL292">
        <v>0.12881089854489999</v>
      </c>
    </row>
    <row r="293" spans="4:90" x14ac:dyDescent="0.2">
      <c r="D293" t="s">
        <v>0</v>
      </c>
      <c r="F293" t="s">
        <v>1</v>
      </c>
      <c r="G293" t="s">
        <v>25</v>
      </c>
      <c r="H293" t="s">
        <v>26</v>
      </c>
      <c r="L293" t="s">
        <v>27</v>
      </c>
      <c r="N293" t="s">
        <v>6</v>
      </c>
      <c r="O293">
        <v>0</v>
      </c>
      <c r="P293">
        <v>0</v>
      </c>
      <c r="Q293">
        <v>2.7900000000000001E-2</v>
      </c>
      <c r="R293">
        <v>2.7900000000000001E-2</v>
      </c>
      <c r="S293">
        <v>2.7900000000000001E-2</v>
      </c>
      <c r="T293">
        <v>2.7900000000000001E-2</v>
      </c>
      <c r="U293">
        <v>2.7900000000000001E-2</v>
      </c>
      <c r="V293">
        <v>2.7900000000000001E-2</v>
      </c>
      <c r="W293">
        <v>2.7900000000000001E-2</v>
      </c>
      <c r="X293">
        <v>2.7900000000000001E-2</v>
      </c>
      <c r="Y293">
        <v>2.7900000000000001E-2</v>
      </c>
      <c r="Z293">
        <v>2.7900000000000001E-2</v>
      </c>
      <c r="AA293">
        <v>5.5800000000000002E-2</v>
      </c>
      <c r="AB293">
        <v>2.7900000000000001E-2</v>
      </c>
      <c r="AC293">
        <v>5.5800000000000002E-2</v>
      </c>
      <c r="AD293">
        <v>5.5800000000000002E-2</v>
      </c>
      <c r="AE293">
        <v>5.5800000000000002E-2</v>
      </c>
      <c r="AF293">
        <v>5.5800000000000002E-2</v>
      </c>
      <c r="AG293">
        <v>5.5800000000000002E-2</v>
      </c>
      <c r="AH293">
        <v>5.5800000000000002E-2</v>
      </c>
      <c r="AI293">
        <v>5.5800000000000002E-2</v>
      </c>
      <c r="AJ293">
        <v>5.5800000000000002E-2</v>
      </c>
      <c r="AK293">
        <v>5.5800000000000002E-2</v>
      </c>
      <c r="AL293">
        <v>5.5800000000000002E-2</v>
      </c>
      <c r="AM293">
        <v>5.5800000000000002E-2</v>
      </c>
      <c r="AN293">
        <v>1.7809342018343902E-2</v>
      </c>
      <c r="AO293">
        <v>1.84335097532187E-2</v>
      </c>
      <c r="AP293">
        <v>1.9306335903405698E-2</v>
      </c>
      <c r="AQ293">
        <v>2.0393642372469999E-2</v>
      </c>
      <c r="AR293">
        <v>2.1726566044609201E-2</v>
      </c>
      <c r="AS293">
        <v>2.3278477326679699E-2</v>
      </c>
      <c r="AT293">
        <v>2.51559356290641E-2</v>
      </c>
      <c r="AU293">
        <v>2.7710619425036401E-2</v>
      </c>
      <c r="AV293">
        <v>3.0806841369408301E-2</v>
      </c>
      <c r="AW293">
        <v>3.4483651496601299E-2</v>
      </c>
      <c r="AX293">
        <v>3.85489404706836E-2</v>
      </c>
      <c r="AY293">
        <v>4.2251407165211793E-2</v>
      </c>
      <c r="AZ293">
        <v>4.6313743826415912E-2</v>
      </c>
      <c r="BA293">
        <v>5.07718504598361E-2</v>
      </c>
      <c r="BB293">
        <v>5.5665268703457699E-2</v>
      </c>
      <c r="BC293">
        <v>6.1039052242516698E-2</v>
      </c>
      <c r="BD293">
        <v>6.6941631568033094E-2</v>
      </c>
      <c r="BE293">
        <v>7.3426355636206711E-2</v>
      </c>
      <c r="BF293">
        <v>8.0551968503751209E-2</v>
      </c>
      <c r="BG293">
        <v>8.8383116745102602E-2</v>
      </c>
      <c r="BH293">
        <v>9.6324024589578602E-2</v>
      </c>
      <c r="BI293">
        <v>0.1042411554097</v>
      </c>
      <c r="BJ293">
        <v>0.1120803120913</v>
      </c>
      <c r="BK293">
        <v>0.1196005542838</v>
      </c>
      <c r="BL293">
        <v>0.12663494057749999</v>
      </c>
      <c r="BM293">
        <v>0.13301859576960001</v>
      </c>
      <c r="BN293">
        <v>0.13858663132740001</v>
      </c>
      <c r="BO293">
        <v>0.14399069338129999</v>
      </c>
      <c r="BP293">
        <v>0.1491923892632</v>
      </c>
      <c r="BQ293">
        <v>0.15415942989549999</v>
      </c>
      <c r="BR293">
        <v>0.15885365911800001</v>
      </c>
      <c r="BS293">
        <v>0.16442038707109999</v>
      </c>
      <c r="BT293">
        <v>0.16973666695209999</v>
      </c>
      <c r="BU293">
        <v>0.17475858873440001</v>
      </c>
      <c r="BV293">
        <v>0.17945129028090001</v>
      </c>
      <c r="BW293">
        <v>0.18378027320400001</v>
      </c>
      <c r="BX293">
        <v>0.18770749881330001</v>
      </c>
      <c r="BY293">
        <v>0.1917477293613</v>
      </c>
      <c r="BZ293">
        <v>0.1959042128114</v>
      </c>
      <c r="CA293">
        <v>0.2001854452155</v>
      </c>
      <c r="CB293">
        <v>0.20460134799660001</v>
      </c>
      <c r="CC293">
        <v>0.20914525130680001</v>
      </c>
      <c r="CD293">
        <v>0.21381844683029999</v>
      </c>
      <c r="CE293">
        <v>0.21863794494700001</v>
      </c>
      <c r="CF293">
        <v>0.22360441671100001</v>
      </c>
      <c r="CG293">
        <v>0.2287255568621</v>
      </c>
      <c r="CH293">
        <v>0.234005909707</v>
      </c>
      <c r="CI293">
        <v>0.23944750079640001</v>
      </c>
      <c r="CJ293">
        <v>0.2450594743092</v>
      </c>
      <c r="CK293">
        <v>0.2508489098601</v>
      </c>
      <c r="CL293">
        <v>0.25681338288209998</v>
      </c>
    </row>
    <row r="294" spans="4:90" x14ac:dyDescent="0.2">
      <c r="D294" t="s">
        <v>0</v>
      </c>
      <c r="F294" t="s">
        <v>1</v>
      </c>
      <c r="G294" t="s">
        <v>25</v>
      </c>
      <c r="H294" t="s">
        <v>26</v>
      </c>
      <c r="L294" t="s">
        <v>27</v>
      </c>
      <c r="N294" t="s">
        <v>7</v>
      </c>
      <c r="O294">
        <v>70.207999999999998</v>
      </c>
      <c r="P294">
        <v>70.207999999999998</v>
      </c>
      <c r="Q294">
        <v>118.247</v>
      </c>
      <c r="R294">
        <v>160.79400000000001</v>
      </c>
      <c r="S294">
        <v>124.982</v>
      </c>
      <c r="T294">
        <v>94.525999999999996</v>
      </c>
      <c r="U294">
        <v>129.94800000000001</v>
      </c>
      <c r="V294">
        <v>129.94800000000001</v>
      </c>
      <c r="W294">
        <v>162.34100000000001</v>
      </c>
      <c r="X294">
        <v>185.48099999999999</v>
      </c>
      <c r="Y294">
        <v>208.45400000000001</v>
      </c>
      <c r="Z294">
        <v>210.94499999999999</v>
      </c>
      <c r="AA294">
        <v>217.08699999999999</v>
      </c>
      <c r="AB294">
        <v>104.47499999999999</v>
      </c>
      <c r="AC294">
        <v>261.38299999999998</v>
      </c>
      <c r="AD294">
        <v>276.36900000000003</v>
      </c>
      <c r="AE294">
        <v>263.97800000000001</v>
      </c>
      <c r="AF294">
        <v>318.375</v>
      </c>
      <c r="AG294">
        <v>290.61900000000003</v>
      </c>
      <c r="AH294">
        <v>353.96800000000002</v>
      </c>
      <c r="AI294">
        <v>326.71899999999999</v>
      </c>
      <c r="AJ294">
        <v>315.05</v>
      </c>
      <c r="AK294">
        <v>321.20699999999999</v>
      </c>
      <c r="AL294">
        <v>326.68400000000003</v>
      </c>
      <c r="AM294">
        <v>344.25799999999998</v>
      </c>
      <c r="AN294">
        <v>125.33970519303401</v>
      </c>
      <c r="AO294">
        <v>129.73251205808501</v>
      </c>
      <c r="AP294">
        <v>135.875342727321</v>
      </c>
      <c r="AQ294">
        <v>143.52765644821201</v>
      </c>
      <c r="AR294">
        <v>152.90859033889899</v>
      </c>
      <c r="AS294">
        <v>163.83072897715499</v>
      </c>
      <c r="AT294">
        <v>177.04402287036501</v>
      </c>
      <c r="AU294">
        <v>195.02353685346401</v>
      </c>
      <c r="AV294">
        <v>216.81432201105301</v>
      </c>
      <c r="AW294">
        <v>242.691207126655</v>
      </c>
      <c r="AX294">
        <v>271.302153056669</v>
      </c>
      <c r="AY294">
        <v>297.35960557238798</v>
      </c>
      <c r="AZ294">
        <v>325.949773529504</v>
      </c>
      <c r="BA294">
        <v>357.32531624054002</v>
      </c>
      <c r="BB294">
        <v>391.76452232743497</v>
      </c>
      <c r="BC294">
        <v>429.58447344427401</v>
      </c>
      <c r="BD294">
        <v>471.12601674086</v>
      </c>
      <c r="BE294">
        <v>516.76461484997901</v>
      </c>
      <c r="BF294">
        <v>566.91370038149205</v>
      </c>
      <c r="BG294">
        <v>622.02824705536193</v>
      </c>
      <c r="BH294">
        <v>677.91526675344301</v>
      </c>
      <c r="BI294">
        <v>733.63494701717707</v>
      </c>
      <c r="BJ294">
        <v>788.8058559949111</v>
      </c>
      <c r="BK294">
        <v>841.73228856090896</v>
      </c>
      <c r="BL294">
        <v>891.23933398444797</v>
      </c>
      <c r="BM294">
        <v>936.16662321336196</v>
      </c>
      <c r="BN294">
        <v>975.353693381281</v>
      </c>
      <c r="BO294">
        <v>1013.38674053029</v>
      </c>
      <c r="BP294">
        <v>1049.9955623319499</v>
      </c>
      <c r="BQ294">
        <v>1084.95291268648</v>
      </c>
      <c r="BR294">
        <v>1117.99025377716</v>
      </c>
      <c r="BS294">
        <v>1157.1681212029901</v>
      </c>
      <c r="BT294">
        <v>1194.58336946593</v>
      </c>
      <c r="BU294">
        <v>1229.92696582349</v>
      </c>
      <c r="BV294">
        <v>1262.95355533979</v>
      </c>
      <c r="BW294">
        <v>1293.42034309728</v>
      </c>
      <c r="BX294">
        <v>1321.05961801175</v>
      </c>
      <c r="BY294">
        <v>1349.4942061777199</v>
      </c>
      <c r="BZ294">
        <v>1378.74696631509</v>
      </c>
      <c r="CA294">
        <v>1408.8776924722599</v>
      </c>
      <c r="CB294">
        <v>1439.9562102624</v>
      </c>
      <c r="CC294">
        <v>1471.9355782110799</v>
      </c>
      <c r="CD294">
        <v>1504.82488701438</v>
      </c>
      <c r="CE294">
        <v>1538.74385339168</v>
      </c>
      <c r="CF294">
        <v>1573.6972001297199</v>
      </c>
      <c r="CG294">
        <v>1609.7390817524099</v>
      </c>
      <c r="CH294">
        <v>1646.9014804651099</v>
      </c>
      <c r="CI294">
        <v>1685.1986518158201</v>
      </c>
      <c r="CJ294">
        <v>1724.6949512818101</v>
      </c>
      <c r="CK294">
        <v>1765.44020421912</v>
      </c>
      <c r="CL294">
        <v>1807.4173468577001</v>
      </c>
    </row>
    <row r="295" spans="4:90" x14ac:dyDescent="0.2">
      <c r="D295" t="s">
        <v>0</v>
      </c>
      <c r="F295" t="s">
        <v>1</v>
      </c>
      <c r="G295" t="s">
        <v>25</v>
      </c>
      <c r="H295" t="s">
        <v>26</v>
      </c>
      <c r="L295" t="s">
        <v>27</v>
      </c>
      <c r="N295" t="s">
        <v>8</v>
      </c>
      <c r="O295">
        <v>0.54600000000000004</v>
      </c>
      <c r="P295">
        <v>0.54600000000000004</v>
      </c>
      <c r="Q295">
        <v>0.81900000000000006</v>
      </c>
      <c r="R295">
        <v>1.0920000000000001</v>
      </c>
      <c r="S295">
        <v>0.81900000000000006</v>
      </c>
      <c r="T295">
        <v>0.81900000000000006</v>
      </c>
      <c r="U295">
        <v>1.0920000000000001</v>
      </c>
      <c r="V295">
        <v>1.0920000000000001</v>
      </c>
      <c r="W295">
        <v>1.365</v>
      </c>
      <c r="X295">
        <v>1.365</v>
      </c>
      <c r="Y295">
        <v>1.6379999999999999</v>
      </c>
      <c r="Z295">
        <v>1.6379999999999999</v>
      </c>
      <c r="AA295">
        <v>1.6379999999999999</v>
      </c>
      <c r="AB295">
        <v>0.81900000000000006</v>
      </c>
      <c r="AC295">
        <v>1.911</v>
      </c>
      <c r="AD295">
        <v>2.1840000000000002</v>
      </c>
      <c r="AE295">
        <v>1.911</v>
      </c>
      <c r="AF295">
        <v>2.4569999999999999</v>
      </c>
      <c r="AG295">
        <v>2.1840000000000002</v>
      </c>
      <c r="AH295">
        <v>2.73</v>
      </c>
      <c r="AI295">
        <v>2.4569999999999999</v>
      </c>
      <c r="AJ295">
        <v>2.4569999999999999</v>
      </c>
      <c r="AK295">
        <v>2.4569999999999999</v>
      </c>
      <c r="AL295">
        <v>2.4569999999999999</v>
      </c>
      <c r="AM295">
        <v>2.73</v>
      </c>
      <c r="AN295">
        <v>0.45248776024039999</v>
      </c>
      <c r="AO295">
        <v>0.46834619341990003</v>
      </c>
      <c r="AP295">
        <v>0.49052237204400001</v>
      </c>
      <c r="AQ295">
        <v>0.51814792207139992</v>
      </c>
      <c r="AR295">
        <v>0.55201394847239993</v>
      </c>
      <c r="AS295">
        <v>0.59144386449020003</v>
      </c>
      <c r="AT295">
        <v>0.63914505981320002</v>
      </c>
      <c r="AU295">
        <v>0.70405274409319996</v>
      </c>
      <c r="AV295">
        <v>0.78271946470389997</v>
      </c>
      <c r="AW295">
        <v>0.8761373786037</v>
      </c>
      <c r="AX295">
        <v>0.97942550124850003</v>
      </c>
      <c r="AY295">
        <v>1.0734952799212001</v>
      </c>
      <c r="AZ295">
        <v>1.1767083921899</v>
      </c>
      <c r="BA295">
        <v>1.2899769612023</v>
      </c>
      <c r="BB295">
        <v>1.4143056342489999</v>
      </c>
      <c r="BC295">
        <v>1.5508391050028001</v>
      </c>
      <c r="BD295">
        <v>1.7008078627420999</v>
      </c>
      <c r="BE295">
        <v>1.8655673617938999</v>
      </c>
      <c r="BF295">
        <v>2.0466101315635998</v>
      </c>
      <c r="BG295">
        <v>2.2455786686503001</v>
      </c>
      <c r="BH295">
        <v>2.4473359037639</v>
      </c>
      <c r="BI295">
        <v>2.6484890282668001</v>
      </c>
      <c r="BJ295">
        <v>2.8476610384077001</v>
      </c>
      <c r="BK295">
        <v>3.0387302841222001</v>
      </c>
      <c r="BL295">
        <v>3.2174552305812001</v>
      </c>
      <c r="BM295">
        <v>3.379646839741</v>
      </c>
      <c r="BN295">
        <v>3.5211157348797002</v>
      </c>
      <c r="BO295">
        <v>3.6584185017330002</v>
      </c>
      <c r="BP295">
        <v>3.7905796852667</v>
      </c>
      <c r="BQ295">
        <v>3.9167789063475</v>
      </c>
      <c r="BR295">
        <v>4.0360467189804003</v>
      </c>
      <c r="BS295">
        <v>4.1774823913814014</v>
      </c>
      <c r="BT295">
        <v>4.3125548479445994</v>
      </c>
      <c r="BU295">
        <v>4.4401484523020001</v>
      </c>
      <c r="BV295">
        <v>4.5593774507714002</v>
      </c>
      <c r="BW295">
        <v>4.6693653315701003</v>
      </c>
      <c r="BX295">
        <v>4.7691456332825997</v>
      </c>
      <c r="BY295">
        <v>4.8717970883243993</v>
      </c>
      <c r="BZ295">
        <v>4.9774022187579998</v>
      </c>
      <c r="CA295">
        <v>5.0861768865480004</v>
      </c>
      <c r="CB295">
        <v>5.1983731685226999</v>
      </c>
      <c r="CC295">
        <v>5.3138216016805</v>
      </c>
      <c r="CD295">
        <v>5.4325550042630999</v>
      </c>
      <c r="CE295">
        <v>5.5550055645393002</v>
      </c>
      <c r="CF295">
        <v>5.6811903321996002</v>
      </c>
      <c r="CG295">
        <v>5.8113048100117002</v>
      </c>
      <c r="CH295">
        <v>5.9454644566518002</v>
      </c>
      <c r="CI295">
        <v>6.0837207359475993</v>
      </c>
      <c r="CJ295">
        <v>6.2263059770381002</v>
      </c>
      <c r="CK295">
        <v>6.3734000539998998</v>
      </c>
      <c r="CL295">
        <v>6.5249413650678996</v>
      </c>
    </row>
    <row r="296" spans="4:90" x14ac:dyDescent="0.2">
      <c r="D296" t="s">
        <v>0</v>
      </c>
      <c r="F296" t="s">
        <v>1</v>
      </c>
      <c r="G296" t="s">
        <v>25</v>
      </c>
      <c r="H296" t="s">
        <v>28</v>
      </c>
      <c r="I296" t="s">
        <v>29</v>
      </c>
      <c r="L296" t="s">
        <v>27</v>
      </c>
      <c r="N296" t="s">
        <v>6</v>
      </c>
      <c r="O296">
        <v>4.7987999999999991</v>
      </c>
      <c r="P296">
        <v>4.7987999999999991</v>
      </c>
      <c r="Q296">
        <v>5.1056999999999997</v>
      </c>
      <c r="R296">
        <v>5.5521000000000003</v>
      </c>
      <c r="S296">
        <v>5.9984999999999999</v>
      </c>
      <c r="T296">
        <v>5.6916000000000002</v>
      </c>
      <c r="U296">
        <v>5.8868999999999998</v>
      </c>
      <c r="V296">
        <v>6.0821999999999994</v>
      </c>
      <c r="W296">
        <v>5.8868999999999998</v>
      </c>
      <c r="X296">
        <v>5.6916000000000002</v>
      </c>
      <c r="Y296">
        <v>5.3289</v>
      </c>
      <c r="Z296">
        <v>6.1658999999999997</v>
      </c>
      <c r="AA296">
        <v>6.0542999999999996</v>
      </c>
      <c r="AB296">
        <v>7.8957000000000006</v>
      </c>
      <c r="AC296">
        <v>9.1233000000000004</v>
      </c>
      <c r="AD296">
        <v>9.6255000000000006</v>
      </c>
      <c r="AE296">
        <v>11.0205</v>
      </c>
      <c r="AF296">
        <v>14.3127</v>
      </c>
      <c r="AG296">
        <v>14.7033</v>
      </c>
      <c r="AH296">
        <v>16.014600000000002</v>
      </c>
      <c r="AI296">
        <v>16.4331</v>
      </c>
      <c r="AJ296">
        <v>18.888300000000001</v>
      </c>
      <c r="AK296">
        <v>20.0322</v>
      </c>
      <c r="AL296">
        <v>16.126200000000001</v>
      </c>
      <c r="AM296">
        <v>17.493300000000001</v>
      </c>
      <c r="AN296">
        <v>11.629871860443901</v>
      </c>
      <c r="AO296">
        <v>11.953329051716199</v>
      </c>
      <c r="AP296">
        <v>12.4179339287996</v>
      </c>
      <c r="AQ296">
        <v>12.9977850993929</v>
      </c>
      <c r="AR296">
        <v>13.7061749874432</v>
      </c>
      <c r="AS296">
        <v>14.520188343491499</v>
      </c>
      <c r="AT296">
        <v>15.4939133636455</v>
      </c>
      <c r="AU296">
        <v>16.81487521967</v>
      </c>
      <c r="AV296">
        <v>18.378451012794901</v>
      </c>
      <c r="AW296">
        <v>20.178570172575199</v>
      </c>
      <c r="AX296">
        <v>22.084917765021899</v>
      </c>
      <c r="AY296">
        <v>23.702458798464601</v>
      </c>
      <c r="AZ296">
        <v>25.403467962891199</v>
      </c>
      <c r="BA296">
        <v>27.193922994316701</v>
      </c>
      <c r="BB296">
        <v>29.081687865856299</v>
      </c>
      <c r="BC296">
        <v>31.076772484364199</v>
      </c>
      <c r="BD296">
        <v>33.189791663484499</v>
      </c>
      <c r="BE296">
        <v>35.432185823280498</v>
      </c>
      <c r="BF296">
        <v>37.815959927759899</v>
      </c>
      <c r="BG296">
        <v>40.353471602910503</v>
      </c>
      <c r="BH296">
        <v>42.818553490101998</v>
      </c>
      <c r="BI296">
        <v>45.177434712193893</v>
      </c>
      <c r="BJ296">
        <v>47.407651815282698</v>
      </c>
      <c r="BK296">
        <v>49.461532522929303</v>
      </c>
      <c r="BL296">
        <v>51.303320575522797</v>
      </c>
      <c r="BM296">
        <v>52.898481575698597</v>
      </c>
      <c r="BN296">
        <v>54.213621338978598</v>
      </c>
      <c r="BO296">
        <v>55.454953420468001</v>
      </c>
      <c r="BP296">
        <v>56.611359497795</v>
      </c>
      <c r="BQ296">
        <v>57.672056974167802</v>
      </c>
      <c r="BR296">
        <v>58.6256360904624</v>
      </c>
      <c r="BS296">
        <v>59.869607992498501</v>
      </c>
      <c r="BT296">
        <v>61.001946984878998</v>
      </c>
      <c r="BU296">
        <v>62.012729188098099</v>
      </c>
      <c r="BV296">
        <v>62.894210911662199</v>
      </c>
      <c r="BW296">
        <v>63.639791465370898</v>
      </c>
      <c r="BX296">
        <v>64.243556491955701</v>
      </c>
      <c r="BY296">
        <v>64.84036779696541</v>
      </c>
      <c r="BZ296">
        <v>65.430267320661301</v>
      </c>
      <c r="CA296">
        <v>66.014084770394405</v>
      </c>
      <c r="CB296">
        <v>66.593111682006594</v>
      </c>
      <c r="CC296">
        <v>67.167558472361904</v>
      </c>
      <c r="CD296">
        <v>67.739039521900807</v>
      </c>
      <c r="CE296">
        <v>68.311381206081606</v>
      </c>
      <c r="CF296">
        <v>68.887899574708598</v>
      </c>
      <c r="CG296">
        <v>69.473668779920601</v>
      </c>
      <c r="CH296">
        <v>70.074685995820303</v>
      </c>
      <c r="CI296">
        <v>70.697876016553906</v>
      </c>
      <c r="CJ296">
        <v>71.351594642803306</v>
      </c>
      <c r="CK296">
        <v>72.044225613934699</v>
      </c>
      <c r="CL296">
        <v>72.782550489685406</v>
      </c>
    </row>
    <row r="297" spans="4:90" x14ac:dyDescent="0.2">
      <c r="D297" t="s">
        <v>0</v>
      </c>
      <c r="F297" t="s">
        <v>1</v>
      </c>
      <c r="G297" t="s">
        <v>25</v>
      </c>
      <c r="H297" t="s">
        <v>28</v>
      </c>
      <c r="I297" t="s">
        <v>29</v>
      </c>
      <c r="L297" t="s">
        <v>27</v>
      </c>
      <c r="N297" t="s">
        <v>7</v>
      </c>
      <c r="O297">
        <v>459.54300000000001</v>
      </c>
      <c r="P297">
        <v>459.54300000000001</v>
      </c>
      <c r="Q297">
        <v>487.02199999999999</v>
      </c>
      <c r="R297">
        <v>540.84500000000003</v>
      </c>
      <c r="S297">
        <v>620.29700000000003</v>
      </c>
      <c r="T297">
        <v>600.58899999999994</v>
      </c>
      <c r="U297">
        <v>619.57899999999995</v>
      </c>
      <c r="V297">
        <v>636.173</v>
      </c>
      <c r="W297">
        <v>654.54200000000003</v>
      </c>
      <c r="X297">
        <v>670.41800000000001</v>
      </c>
      <c r="Y297">
        <v>655.48199999999997</v>
      </c>
      <c r="Z297">
        <v>793.86699999999996</v>
      </c>
      <c r="AA297">
        <v>821.70500000000004</v>
      </c>
      <c r="AB297">
        <v>1008.047</v>
      </c>
      <c r="AC297">
        <v>1135.5450000000001</v>
      </c>
      <c r="AD297">
        <v>1220.0630000000001</v>
      </c>
      <c r="AE297">
        <v>1348.027</v>
      </c>
      <c r="AF297">
        <v>1576.7809999999999</v>
      </c>
      <c r="AG297">
        <v>1571.5940000000001</v>
      </c>
      <c r="AH297">
        <v>1713.5409999999999</v>
      </c>
      <c r="AI297">
        <v>1800.018</v>
      </c>
      <c r="AJ297">
        <v>2068.3560000000002</v>
      </c>
      <c r="AK297">
        <v>2183.6990000000001</v>
      </c>
      <c r="AL297">
        <v>1444.4639999999999</v>
      </c>
      <c r="AM297">
        <v>1545.671</v>
      </c>
      <c r="AN297">
        <v>1505.4597609310499</v>
      </c>
      <c r="AO297">
        <v>1547.3305391896099</v>
      </c>
      <c r="AP297">
        <v>1607.4725558493401</v>
      </c>
      <c r="AQ297">
        <v>1682.5329361469101</v>
      </c>
      <c r="AR297">
        <v>1774.23235332944</v>
      </c>
      <c r="AS297">
        <v>1879.6044818529899</v>
      </c>
      <c r="AT297">
        <v>2005.6509124280001</v>
      </c>
      <c r="AU297">
        <v>2176.6463407382298</v>
      </c>
      <c r="AV297">
        <v>2379.0475767932498</v>
      </c>
      <c r="AW297">
        <v>2612.06879942147</v>
      </c>
      <c r="AX297">
        <v>2858.84104465468</v>
      </c>
      <c r="AY297">
        <v>3068.22795508017</v>
      </c>
      <c r="AZ297">
        <v>3288.4196201946502</v>
      </c>
      <c r="BA297">
        <v>3520.1898439694901</v>
      </c>
      <c r="BB297">
        <v>3764.5565993649702</v>
      </c>
      <c r="BC297">
        <v>4022.815645454019</v>
      </c>
      <c r="BD297">
        <v>4296.3410450812398</v>
      </c>
      <c r="BE297">
        <v>4586.6137339146799</v>
      </c>
      <c r="BF297">
        <v>4895.1877265180901</v>
      </c>
      <c r="BG297">
        <v>5223.6626887251196</v>
      </c>
      <c r="BH297">
        <v>5542.7617839773202</v>
      </c>
      <c r="BI297">
        <v>5848.11345107125</v>
      </c>
      <c r="BJ297">
        <v>6136.8098483428303</v>
      </c>
      <c r="BK297">
        <v>6402.6799109039894</v>
      </c>
      <c r="BL297">
        <v>6641.0950744255897</v>
      </c>
      <c r="BM297">
        <v>6847.5849417937097</v>
      </c>
      <c r="BN297">
        <v>7017.8267137905696</v>
      </c>
      <c r="BO297">
        <v>7178.5142536929898</v>
      </c>
      <c r="BP297">
        <v>7328.2083206270499</v>
      </c>
      <c r="BQ297">
        <v>7465.5131326113997</v>
      </c>
      <c r="BR297">
        <v>7588.95172296496</v>
      </c>
      <c r="BS297">
        <v>7749.9809814741502</v>
      </c>
      <c r="BT297">
        <v>7896.5596204495296</v>
      </c>
      <c r="BU297">
        <v>8027.4030168576492</v>
      </c>
      <c r="BV297">
        <v>8141.5087680427096</v>
      </c>
      <c r="BW297">
        <v>8238.0224300684094</v>
      </c>
      <c r="BX297">
        <v>8316.1784031941697</v>
      </c>
      <c r="BY297">
        <v>8393.4342332963697</v>
      </c>
      <c r="BZ297">
        <v>8469.7953494439207</v>
      </c>
      <c r="CA297">
        <v>8545.3691553163699</v>
      </c>
      <c r="CB297">
        <v>8620.3228372131798</v>
      </c>
      <c r="CC297">
        <v>8694.6836331061495</v>
      </c>
      <c r="CD297">
        <v>8768.6605207743396</v>
      </c>
      <c r="CE297">
        <v>8842.748815587649</v>
      </c>
      <c r="CF297">
        <v>8917.3777724515312</v>
      </c>
      <c r="CG297">
        <v>8993.2042285140997</v>
      </c>
      <c r="CH297">
        <v>9071.0045039617908</v>
      </c>
      <c r="CI297">
        <v>9151.6749972300113</v>
      </c>
      <c r="CJ297">
        <v>9236.2973472093599</v>
      </c>
      <c r="CK297">
        <v>9325.9568093879207</v>
      </c>
      <c r="CL297">
        <v>9421.5312408412501</v>
      </c>
    </row>
    <row r="298" spans="4:90" x14ac:dyDescent="0.2">
      <c r="D298" t="s">
        <v>0</v>
      </c>
      <c r="F298" t="s">
        <v>1</v>
      </c>
      <c r="G298" t="s">
        <v>25</v>
      </c>
      <c r="H298" t="s">
        <v>28</v>
      </c>
      <c r="I298" t="s">
        <v>29</v>
      </c>
      <c r="L298" t="s">
        <v>27</v>
      </c>
      <c r="N298" t="s">
        <v>8</v>
      </c>
      <c r="O298">
        <v>5.7330000000000014</v>
      </c>
      <c r="P298">
        <v>5.7330000000000014</v>
      </c>
      <c r="Q298">
        <v>6.2789999999999999</v>
      </c>
      <c r="R298">
        <v>7.0979999999999999</v>
      </c>
      <c r="S298">
        <v>8.19</v>
      </c>
      <c r="T298">
        <v>7.9170000000000007</v>
      </c>
      <c r="U298">
        <v>8.19</v>
      </c>
      <c r="V298">
        <v>8.19</v>
      </c>
      <c r="W298">
        <v>8.4629999999999992</v>
      </c>
      <c r="X298">
        <v>9.0090000000000003</v>
      </c>
      <c r="Y298">
        <v>8.7360000000000007</v>
      </c>
      <c r="Z298">
        <v>10.647</v>
      </c>
      <c r="AA298">
        <v>11.193</v>
      </c>
      <c r="AB298">
        <v>13.377000000000001</v>
      </c>
      <c r="AC298">
        <v>15.288</v>
      </c>
      <c r="AD298">
        <v>16.38</v>
      </c>
      <c r="AE298">
        <v>18.018000000000001</v>
      </c>
      <c r="AF298">
        <v>20.748000000000001</v>
      </c>
      <c r="AG298">
        <v>20.748000000000001</v>
      </c>
      <c r="AH298">
        <v>22.658999999999999</v>
      </c>
      <c r="AI298">
        <v>24.024000000000001</v>
      </c>
      <c r="AJ298">
        <v>27.3</v>
      </c>
      <c r="AK298">
        <v>28.937999999999999</v>
      </c>
      <c r="AL298">
        <v>15.561</v>
      </c>
      <c r="AM298">
        <v>16.925999999999998</v>
      </c>
      <c r="AN298">
        <v>9.7970924494376987</v>
      </c>
      <c r="AO298">
        <v>10.0695752458396</v>
      </c>
      <c r="AP298">
        <v>10.4609619255783</v>
      </c>
      <c r="AQ298">
        <v>10.949432958912601</v>
      </c>
      <c r="AR298">
        <v>11.5461859848063</v>
      </c>
      <c r="AS298">
        <v>12.231917022945</v>
      </c>
      <c r="AT298">
        <v>13.052190380833601</v>
      </c>
      <c r="AU298">
        <v>14.1649786884735</v>
      </c>
      <c r="AV298">
        <v>15.4821468207425</v>
      </c>
      <c r="AW298">
        <v>16.998580882957299</v>
      </c>
      <c r="AX298">
        <v>18.6045025842519</v>
      </c>
      <c r="AY298">
        <v>19.967131445133699</v>
      </c>
      <c r="AZ298">
        <v>21.400074493965501</v>
      </c>
      <c r="BA298">
        <v>22.908367421001</v>
      </c>
      <c r="BB298">
        <v>24.498634896963399</v>
      </c>
      <c r="BC298">
        <v>26.179309343468201</v>
      </c>
      <c r="BD298">
        <v>27.959332760208301</v>
      </c>
      <c r="BE298">
        <v>29.848342643999199</v>
      </c>
      <c r="BF298">
        <v>31.856452067766199</v>
      </c>
      <c r="BG298">
        <v>33.994071189567002</v>
      </c>
      <c r="BH298">
        <v>36.070674907479898</v>
      </c>
      <c r="BI298">
        <v>38.057814377922497</v>
      </c>
      <c r="BJ298">
        <v>39.936566216590101</v>
      </c>
      <c r="BK298">
        <v>41.666770935471902</v>
      </c>
      <c r="BL298">
        <v>43.218307189701903</v>
      </c>
      <c r="BM298">
        <v>44.562082940457501</v>
      </c>
      <c r="BN298">
        <v>45.669966672918001</v>
      </c>
      <c r="BO298">
        <v>46.715674253254299</v>
      </c>
      <c r="BP298">
        <v>47.6898395221939</v>
      </c>
      <c r="BQ298">
        <v>48.583379138245498</v>
      </c>
      <c r="BR298">
        <v>49.386681433601503</v>
      </c>
      <c r="BS298">
        <v>50.434612818830502</v>
      </c>
      <c r="BT298">
        <v>51.388503792486603</v>
      </c>
      <c r="BU298">
        <v>52.239994403046602</v>
      </c>
      <c r="BV298">
        <v>52.982561306781797</v>
      </c>
      <c r="BW298">
        <v>53.610644032098101</v>
      </c>
      <c r="BX298">
        <v>54.119260279479803</v>
      </c>
      <c r="BY298">
        <v>54.622018658953998</v>
      </c>
      <c r="BZ298">
        <v>55.118954501315599</v>
      </c>
      <c r="CA298">
        <v>55.610766758343601</v>
      </c>
      <c r="CB298">
        <v>56.0985434296474</v>
      </c>
      <c r="CC298">
        <v>56.582461771992612</v>
      </c>
      <c r="CD298">
        <v>57.063881751732701</v>
      </c>
      <c r="CE298">
        <v>57.546026736636399</v>
      </c>
      <c r="CF298">
        <v>58.031690192263</v>
      </c>
      <c r="CG298">
        <v>58.525146622940902</v>
      </c>
      <c r="CH298">
        <v>59.031448093716413</v>
      </c>
      <c r="CI298">
        <v>59.556428103810902</v>
      </c>
      <c r="CJ298">
        <v>60.107125643228102</v>
      </c>
      <c r="CK298">
        <v>60.6906032377318</v>
      </c>
      <c r="CL298">
        <v>61.312573724788599</v>
      </c>
    </row>
    <row r="299" spans="4:90" x14ac:dyDescent="0.2">
      <c r="D299" t="s">
        <v>0</v>
      </c>
      <c r="F299" t="s">
        <v>1</v>
      </c>
      <c r="G299" t="s">
        <v>25</v>
      </c>
      <c r="H299" t="s">
        <v>28</v>
      </c>
      <c r="I299" t="s">
        <v>30</v>
      </c>
      <c r="L299" t="s">
        <v>27</v>
      </c>
      <c r="N299" t="s">
        <v>6</v>
      </c>
      <c r="O299">
        <v>0.16739999999999999</v>
      </c>
      <c r="P299">
        <v>0.16739999999999999</v>
      </c>
      <c r="Q299">
        <v>0.16739999999999999</v>
      </c>
      <c r="R299">
        <v>0.1953</v>
      </c>
      <c r="S299">
        <v>0.27900000000000003</v>
      </c>
      <c r="T299">
        <v>0.27900000000000003</v>
      </c>
      <c r="U299">
        <v>0.27900000000000003</v>
      </c>
      <c r="V299">
        <v>0.27900000000000003</v>
      </c>
      <c r="W299">
        <v>0.36270000000000002</v>
      </c>
      <c r="X299">
        <v>0.3906</v>
      </c>
      <c r="Y299">
        <v>0.41849999999999998</v>
      </c>
      <c r="Z299">
        <v>0.55799999999999994</v>
      </c>
      <c r="AA299">
        <v>0.6137999999999999</v>
      </c>
      <c r="AB299">
        <v>0.66959999999999997</v>
      </c>
      <c r="AC299">
        <v>0.75329999999999997</v>
      </c>
      <c r="AD299">
        <v>0.80910000000000004</v>
      </c>
      <c r="AE299">
        <v>0.8649</v>
      </c>
      <c r="AF299">
        <v>0.83699999999999997</v>
      </c>
      <c r="AG299">
        <v>0.75329999999999997</v>
      </c>
      <c r="AH299">
        <v>0.83699999999999997</v>
      </c>
      <c r="AI299">
        <v>0.92069999999999996</v>
      </c>
      <c r="AJ299">
        <v>1.0602</v>
      </c>
      <c r="AK299">
        <v>1.1160000000000001</v>
      </c>
      <c r="AL299">
        <v>1.1438999999999999</v>
      </c>
      <c r="AM299">
        <v>1.1160000000000001</v>
      </c>
      <c r="AN299">
        <v>8.7210654179630005</v>
      </c>
      <c r="AO299">
        <v>9.0627483923340986</v>
      </c>
      <c r="AP299">
        <v>9.516650775584699</v>
      </c>
      <c r="AQ299">
        <v>10.066929965082499</v>
      </c>
      <c r="AR299">
        <v>10.7269458240358</v>
      </c>
      <c r="AS299">
        <v>11.4825650670815</v>
      </c>
      <c r="AT299">
        <v>12.379219630055101</v>
      </c>
      <c r="AU299">
        <v>13.570307833592899</v>
      </c>
      <c r="AV299">
        <v>14.9820833638751</v>
      </c>
      <c r="AW299">
        <v>16.617301022107199</v>
      </c>
      <c r="AX299">
        <v>18.376723750813898</v>
      </c>
      <c r="AY299">
        <v>19.935558368913</v>
      </c>
      <c r="AZ299">
        <v>21.599662351712801</v>
      </c>
      <c r="BA299">
        <v>23.377698529554799</v>
      </c>
      <c r="BB299">
        <v>25.280357143728001</v>
      </c>
      <c r="BC299">
        <v>27.3206976660198</v>
      </c>
      <c r="BD299">
        <v>29.512919926007001</v>
      </c>
      <c r="BE299">
        <v>31.872624996919399</v>
      </c>
      <c r="BF299">
        <v>34.416659589816398</v>
      </c>
      <c r="BG299">
        <v>37.162994427741303</v>
      </c>
      <c r="BH299">
        <v>39.906155698221802</v>
      </c>
      <c r="BI299">
        <v>42.612209091898492</v>
      </c>
      <c r="BJ299">
        <v>45.257414309322797</v>
      </c>
      <c r="BK299">
        <v>47.790170714378412</v>
      </c>
      <c r="BL299">
        <v>50.168873057995597</v>
      </c>
      <c r="BM299">
        <v>52.351270029501102</v>
      </c>
      <c r="BN299">
        <v>54.294375648099297</v>
      </c>
      <c r="BO299">
        <v>56.201278851761487</v>
      </c>
      <c r="BP299">
        <v>58.058342919680797</v>
      </c>
      <c r="BQ299">
        <v>59.851800865665801</v>
      </c>
      <c r="BR299">
        <v>61.566521127808798</v>
      </c>
      <c r="BS299">
        <v>62.890233605796098</v>
      </c>
      <c r="BT299">
        <v>64.095084581788299</v>
      </c>
      <c r="BU299">
        <v>65.170171461482198</v>
      </c>
      <c r="BV299">
        <v>66.107074777588608</v>
      </c>
      <c r="BW299">
        <v>66.898596840190592</v>
      </c>
      <c r="BX299">
        <v>67.538203223250889</v>
      </c>
      <c r="BY299">
        <v>68.171175288423299</v>
      </c>
      <c r="BZ299">
        <v>68.797570469033701</v>
      </c>
      <c r="CA299">
        <v>69.418373142825487</v>
      </c>
      <c r="CB299">
        <v>70.035075987251503</v>
      </c>
      <c r="CC299">
        <v>70.647717771924505</v>
      </c>
      <c r="CD299">
        <v>71.257967002769902</v>
      </c>
      <c r="CE299">
        <v>71.870111055241608</v>
      </c>
      <c r="CF299">
        <v>72.487593264410194</v>
      </c>
      <c r="CG299">
        <v>73.115837976521306</v>
      </c>
      <c r="CH299">
        <v>73.761184445986984</v>
      </c>
      <c r="CI299">
        <v>74.430906500517608</v>
      </c>
      <c r="CJ299">
        <v>75.133918362110506</v>
      </c>
      <c r="CK299">
        <v>75.879131897727206</v>
      </c>
      <c r="CL299">
        <v>76.673609450955411</v>
      </c>
    </row>
    <row r="300" spans="4:90" x14ac:dyDescent="0.2">
      <c r="D300" t="s">
        <v>0</v>
      </c>
      <c r="F300" t="s">
        <v>1</v>
      </c>
      <c r="G300" t="s">
        <v>25</v>
      </c>
      <c r="H300" t="s">
        <v>28</v>
      </c>
      <c r="I300" t="s">
        <v>30</v>
      </c>
      <c r="L300" t="s">
        <v>27</v>
      </c>
      <c r="N300" t="s">
        <v>7</v>
      </c>
      <c r="O300">
        <v>110.86499999999999</v>
      </c>
      <c r="P300">
        <v>110.86499999999999</v>
      </c>
      <c r="Q300">
        <v>115.224</v>
      </c>
      <c r="R300">
        <v>137.69300000000001</v>
      </c>
      <c r="S300">
        <v>188.00800000000001</v>
      </c>
      <c r="T300">
        <v>194.547</v>
      </c>
      <c r="U300">
        <v>199.46299999999999</v>
      </c>
      <c r="V300">
        <v>199.46299999999999</v>
      </c>
      <c r="W300">
        <v>238.71299999999999</v>
      </c>
      <c r="X300">
        <v>273.01799999999997</v>
      </c>
      <c r="Y300">
        <v>284.16899999999998</v>
      </c>
      <c r="Z300">
        <v>371.202</v>
      </c>
      <c r="AA300">
        <v>412.70400000000001</v>
      </c>
      <c r="AB300">
        <v>464.52699999999999</v>
      </c>
      <c r="AC300">
        <v>505.59</v>
      </c>
      <c r="AD300">
        <v>557.94600000000003</v>
      </c>
      <c r="AE300">
        <v>585.25099999999998</v>
      </c>
      <c r="AF300">
        <v>562.04600000000005</v>
      </c>
      <c r="AG300">
        <v>521.17700000000002</v>
      </c>
      <c r="AH300">
        <v>571.88199999999995</v>
      </c>
      <c r="AI300">
        <v>632.08699999999999</v>
      </c>
      <c r="AJ300">
        <v>725.35400000000004</v>
      </c>
      <c r="AK300">
        <v>761.83399999999995</v>
      </c>
      <c r="AL300">
        <v>1008.9059999999999</v>
      </c>
      <c r="AM300">
        <v>999.59900000000005</v>
      </c>
      <c r="AN300">
        <v>960.80852817236348</v>
      </c>
      <c r="AO300">
        <v>999.22621500107948</v>
      </c>
      <c r="AP300">
        <v>1050.1270833867129</v>
      </c>
      <c r="AQ300">
        <v>1111.7811056798239</v>
      </c>
      <c r="AR300">
        <v>1185.695177637193</v>
      </c>
      <c r="AS300">
        <v>1270.3269087058329</v>
      </c>
      <c r="AT300">
        <v>1370.7537156966671</v>
      </c>
      <c r="AU300">
        <v>1504.0851388141671</v>
      </c>
      <c r="AV300">
        <v>1662.1918933046991</v>
      </c>
      <c r="AW300">
        <v>1845.445062423524</v>
      </c>
      <c r="AX300">
        <v>2042.8322659648561</v>
      </c>
      <c r="AY300">
        <v>2218.0947021525421</v>
      </c>
      <c r="AZ300">
        <v>2405.3641914309342</v>
      </c>
      <c r="BA300">
        <v>2605.6316295356742</v>
      </c>
      <c r="BB300">
        <v>2820.1167257242068</v>
      </c>
      <c r="BC300">
        <v>3050.307304215959</v>
      </c>
      <c r="BD300">
        <v>3297.8225135004491</v>
      </c>
      <c r="BE300">
        <v>3564.4426013108332</v>
      </c>
      <c r="BF300">
        <v>3852.0919929817069</v>
      </c>
      <c r="BG300">
        <v>4162.8260659299631</v>
      </c>
      <c r="BH300">
        <v>4473.5509745442396</v>
      </c>
      <c r="BI300">
        <v>4780.4261305866512</v>
      </c>
      <c r="BJ300">
        <v>5080.7922472376713</v>
      </c>
      <c r="BK300">
        <v>5368.7639421390404</v>
      </c>
      <c r="BL300">
        <v>5639.6103861369102</v>
      </c>
      <c r="BM300">
        <v>5888.5210938658274</v>
      </c>
      <c r="BN300">
        <v>6110.5933034761574</v>
      </c>
      <c r="BO300">
        <v>6328.7435654871597</v>
      </c>
      <c r="BP300">
        <v>6541.4217724374257</v>
      </c>
      <c r="BQ300">
        <v>6747.0628653186122</v>
      </c>
      <c r="BR300">
        <v>6943.9425459079621</v>
      </c>
      <c r="BS300">
        <v>7093.5904142093714</v>
      </c>
      <c r="BT300">
        <v>7229.7923752444221</v>
      </c>
      <c r="BU300">
        <v>7351.3121582817876</v>
      </c>
      <c r="BV300">
        <v>7457.1970927523789</v>
      </c>
      <c r="BW300">
        <v>7546.6322972679791</v>
      </c>
      <c r="BX300">
        <v>7618.8762045831027</v>
      </c>
      <c r="BY300">
        <v>7690.3837757036181</v>
      </c>
      <c r="BZ300">
        <v>7761.1615527962012</v>
      </c>
      <c r="CA300">
        <v>7831.3224370622675</v>
      </c>
      <c r="CB300">
        <v>7901.037017891118</v>
      </c>
      <c r="CC300">
        <v>7970.3060499913872</v>
      </c>
      <c r="CD300">
        <v>8039.3169815086512</v>
      </c>
      <c r="CE300">
        <v>8108.5579202193012</v>
      </c>
      <c r="CF300">
        <v>8178.4161719414942</v>
      </c>
      <c r="CG300">
        <v>8249.5048568948423</v>
      </c>
      <c r="CH300">
        <v>8322.5392855876125</v>
      </c>
      <c r="CI300">
        <v>8398.3394818896195</v>
      </c>
      <c r="CJ300">
        <v>8477.9128389569032</v>
      </c>
      <c r="CK300">
        <v>8562.2658750656992</v>
      </c>
      <c r="CL300">
        <v>8652.1936796477603</v>
      </c>
    </row>
    <row r="301" spans="4:90" x14ac:dyDescent="0.2">
      <c r="D301" t="s">
        <v>0</v>
      </c>
      <c r="F301" t="s">
        <v>1</v>
      </c>
      <c r="G301" t="s">
        <v>25</v>
      </c>
      <c r="H301" t="s">
        <v>28</v>
      </c>
      <c r="I301" t="s">
        <v>30</v>
      </c>
      <c r="L301" t="s">
        <v>27</v>
      </c>
      <c r="N301" t="s">
        <v>8</v>
      </c>
      <c r="O301">
        <v>1.6379999999999999</v>
      </c>
      <c r="P301">
        <v>1.6379999999999999</v>
      </c>
      <c r="Q301">
        <v>1.6379999999999999</v>
      </c>
      <c r="R301">
        <v>1.911</v>
      </c>
      <c r="S301">
        <v>2.73</v>
      </c>
      <c r="T301">
        <v>2.73</v>
      </c>
      <c r="U301">
        <v>2.73</v>
      </c>
      <c r="V301">
        <v>2.73</v>
      </c>
      <c r="W301">
        <v>3.5489999999999999</v>
      </c>
      <c r="X301">
        <v>3.8220000000000001</v>
      </c>
      <c r="Y301">
        <v>4.0949999999999998</v>
      </c>
      <c r="Z301">
        <v>5.46</v>
      </c>
      <c r="AA301">
        <v>6.0059999999999993</v>
      </c>
      <c r="AB301">
        <v>6.5519999999999996</v>
      </c>
      <c r="AC301">
        <v>7.3710000000000004</v>
      </c>
      <c r="AD301">
        <v>7.9170000000000007</v>
      </c>
      <c r="AE301">
        <v>8.4629999999999992</v>
      </c>
      <c r="AF301">
        <v>8.19</v>
      </c>
      <c r="AG301">
        <v>7.3710000000000004</v>
      </c>
      <c r="AH301">
        <v>8.19</v>
      </c>
      <c r="AI301">
        <v>9.0090000000000003</v>
      </c>
      <c r="AJ301">
        <v>10.374000000000001</v>
      </c>
      <c r="AK301">
        <v>10.92</v>
      </c>
      <c r="AL301">
        <v>2.1840000000000002</v>
      </c>
      <c r="AM301">
        <v>2.1840000000000002</v>
      </c>
      <c r="AN301">
        <v>5.1246723827113021</v>
      </c>
      <c r="AO301">
        <v>5.3327424047326142</v>
      </c>
      <c r="AP301">
        <v>5.6078835295441269</v>
      </c>
      <c r="AQ301">
        <v>5.9409310512090006</v>
      </c>
      <c r="AR301">
        <v>6.3400653473384994</v>
      </c>
      <c r="AS301">
        <v>6.7971197362186002</v>
      </c>
      <c r="AT301">
        <v>7.3394702522222</v>
      </c>
      <c r="AU301">
        <v>8.0592296911716002</v>
      </c>
      <c r="AV301">
        <v>8.9130201192696994</v>
      </c>
      <c r="AW301">
        <v>9.9030967767607017</v>
      </c>
      <c r="AX301">
        <v>10.9703988670776</v>
      </c>
      <c r="AY301">
        <v>11.9195886509857</v>
      </c>
      <c r="AZ301">
        <v>12.934492492580601</v>
      </c>
      <c r="BA301">
        <v>14.020544606663901</v>
      </c>
      <c r="BB301">
        <v>15.184421895199099</v>
      </c>
      <c r="BC301">
        <v>16.434260278519801</v>
      </c>
      <c r="BD301">
        <v>17.778919357967801</v>
      </c>
      <c r="BE301">
        <v>19.228145444997502</v>
      </c>
      <c r="BF301">
        <v>20.792482211042898</v>
      </c>
      <c r="BG301">
        <v>22.4832008575138</v>
      </c>
      <c r="BH301">
        <v>24.175260991850202</v>
      </c>
      <c r="BI301">
        <v>25.847761457021399</v>
      </c>
      <c r="BJ301">
        <v>27.486339552189801</v>
      </c>
      <c r="BK301">
        <v>29.0587856374887</v>
      </c>
      <c r="BL301">
        <v>30.539265992059999</v>
      </c>
      <c r="BM301">
        <v>31.901487406855701</v>
      </c>
      <c r="BN301">
        <v>33.118618199928697</v>
      </c>
      <c r="BO301">
        <v>34.315102068114797</v>
      </c>
      <c r="BP301">
        <v>35.482476251722197</v>
      </c>
      <c r="BQ301">
        <v>36.612195793351098</v>
      </c>
      <c r="BR301">
        <v>37.694830045125308</v>
      </c>
      <c r="BS301">
        <v>38.508579678293813</v>
      </c>
      <c r="BT301">
        <v>39.249180149351787</v>
      </c>
      <c r="BU301">
        <v>39.909894128671787</v>
      </c>
      <c r="BV301">
        <v>40.485537892689401</v>
      </c>
      <c r="BW301">
        <v>40.971675650543197</v>
      </c>
      <c r="BX301">
        <v>41.364263634623697</v>
      </c>
      <c r="BY301">
        <v>41.752902055303807</v>
      </c>
      <c r="BZ301">
        <v>42.137626683270298</v>
      </c>
      <c r="CA301">
        <v>42.519057878273301</v>
      </c>
      <c r="CB301">
        <v>42.898130586468902</v>
      </c>
      <c r="CC301">
        <v>43.274834472733701</v>
      </c>
      <c r="CD301">
        <v>43.650184142941796</v>
      </c>
      <c r="CE301">
        <v>44.026847393653412</v>
      </c>
      <c r="CF301">
        <v>44.406922466791599</v>
      </c>
      <c r="CG301">
        <v>44.793742922925098</v>
      </c>
      <c r="CH301">
        <v>45.191193068181803</v>
      </c>
      <c r="CI301">
        <v>45.603722867594108</v>
      </c>
      <c r="CJ301">
        <v>46.036808796882198</v>
      </c>
      <c r="CK301">
        <v>46.495920152231399</v>
      </c>
      <c r="CL301">
        <v>46.985367228786487</v>
      </c>
    </row>
    <row r="302" spans="4:90" x14ac:dyDescent="0.2">
      <c r="D302" t="s">
        <v>0</v>
      </c>
      <c r="F302" t="s">
        <v>1</v>
      </c>
      <c r="G302" t="s">
        <v>25</v>
      </c>
      <c r="H302" t="s">
        <v>28</v>
      </c>
      <c r="I302" t="s">
        <v>31</v>
      </c>
      <c r="L302" t="s">
        <v>27</v>
      </c>
      <c r="N302" t="s">
        <v>6</v>
      </c>
      <c r="O302">
        <v>0.25109999999999999</v>
      </c>
      <c r="P302">
        <v>0.25109999999999999</v>
      </c>
      <c r="Q302">
        <v>0.25109999999999999</v>
      </c>
      <c r="R302">
        <v>0.27900000000000003</v>
      </c>
      <c r="S302">
        <v>0.30690000000000001</v>
      </c>
      <c r="T302">
        <v>0.27900000000000003</v>
      </c>
      <c r="U302">
        <v>0.30690000000000001</v>
      </c>
      <c r="V302">
        <v>0.30690000000000001</v>
      </c>
      <c r="W302">
        <v>0.27900000000000003</v>
      </c>
      <c r="X302">
        <v>0.27900000000000003</v>
      </c>
      <c r="Y302">
        <v>0.25109999999999999</v>
      </c>
      <c r="Z302">
        <v>0.30690000000000001</v>
      </c>
      <c r="AA302">
        <v>0.27900000000000003</v>
      </c>
      <c r="AB302">
        <v>0.3906</v>
      </c>
      <c r="AC302">
        <v>0.44640000000000002</v>
      </c>
      <c r="AD302">
        <v>0.4743</v>
      </c>
      <c r="AE302">
        <v>0.89279999999999993</v>
      </c>
      <c r="AF302">
        <v>1.1718</v>
      </c>
      <c r="AG302">
        <v>1.1438999999999999</v>
      </c>
      <c r="AH302">
        <v>1.3112999999999999</v>
      </c>
      <c r="AI302">
        <v>1.7298</v>
      </c>
      <c r="AJ302">
        <v>1.9809000000000001</v>
      </c>
      <c r="AK302">
        <v>2.0924999999999998</v>
      </c>
      <c r="AL302">
        <v>2.2599</v>
      </c>
      <c r="AM302">
        <v>2.4552</v>
      </c>
      <c r="AN302">
        <v>0.70441938985679997</v>
      </c>
      <c r="AO302">
        <v>0.71441914760579994</v>
      </c>
      <c r="AP302">
        <v>0.73180007404690006</v>
      </c>
      <c r="AQ302">
        <v>0.75467623856510002</v>
      </c>
      <c r="AR302">
        <v>0.78346736096050007</v>
      </c>
      <c r="AS302">
        <v>0.81650279794129998</v>
      </c>
      <c r="AT302">
        <v>0.85639264006350002</v>
      </c>
      <c r="AU302">
        <v>0.91268541333969999</v>
      </c>
      <c r="AV302">
        <v>0.97867352758300008</v>
      </c>
      <c r="AW302">
        <v>1.0531205883326999</v>
      </c>
      <c r="AX302">
        <v>1.1284943717306</v>
      </c>
      <c r="AY302">
        <v>1.1847883323057</v>
      </c>
      <c r="AZ302">
        <v>1.2409799291532999</v>
      </c>
      <c r="BA302">
        <v>1.2971641831298999</v>
      </c>
      <c r="BB302">
        <v>1.3535531342445</v>
      </c>
      <c r="BC302">
        <v>1.4104564775288</v>
      </c>
      <c r="BD302">
        <v>1.4681848945066001</v>
      </c>
      <c r="BE302">
        <v>1.5270422245094</v>
      </c>
      <c r="BF302">
        <v>1.5872994819549</v>
      </c>
      <c r="BG302">
        <v>1.6491757028597001</v>
      </c>
      <c r="BH302">
        <v>1.7035233350321</v>
      </c>
      <c r="BI302">
        <v>1.7494505320730001</v>
      </c>
      <c r="BJ302">
        <v>1.7864928752053999</v>
      </c>
      <c r="BK302">
        <v>1.8134710525883</v>
      </c>
      <c r="BL302">
        <v>1.8296877336340001</v>
      </c>
      <c r="BM302">
        <v>1.8345743087315001</v>
      </c>
      <c r="BN302">
        <v>1.8276922269642</v>
      </c>
      <c r="BO302">
        <v>1.8163186721143001</v>
      </c>
      <c r="BP302">
        <v>1.8002083564941</v>
      </c>
      <c r="BQ302">
        <v>1.7791599240146001</v>
      </c>
      <c r="BR302">
        <v>1.7530033963873</v>
      </c>
      <c r="BS302">
        <v>1.7810057468788001</v>
      </c>
      <c r="BT302">
        <v>1.8054457956611001</v>
      </c>
      <c r="BU302">
        <v>1.8260599454479001</v>
      </c>
      <c r="BV302">
        <v>1.8426610408605999</v>
      </c>
      <c r="BW302">
        <v>1.8551104413248001</v>
      </c>
      <c r="BX302">
        <v>1.8633041041888001</v>
      </c>
      <c r="BY302">
        <v>1.8710799370249001</v>
      </c>
      <c r="BZ302">
        <v>1.8784537518471001</v>
      </c>
      <c r="CA302">
        <v>1.8854639596478999</v>
      </c>
      <c r="CB302">
        <v>1.8921642592749</v>
      </c>
      <c r="CC302">
        <v>1.8985914550809999</v>
      </c>
      <c r="CD302">
        <v>1.9048213258185001</v>
      </c>
      <c r="CE302">
        <v>1.9109874471515</v>
      </c>
      <c r="CF302">
        <v>1.9172252009565001</v>
      </c>
      <c r="CG302">
        <v>1.9237220384046001</v>
      </c>
      <c r="CH302">
        <v>1.9307002030502001</v>
      </c>
      <c r="CI302">
        <v>1.9384152334946001</v>
      </c>
      <c r="CJ302">
        <v>1.9471610435499001</v>
      </c>
      <c r="CK302">
        <v>1.9572304501372</v>
      </c>
      <c r="CL302">
        <v>1.9688648911625</v>
      </c>
    </row>
    <row r="303" spans="4:90" x14ac:dyDescent="0.2">
      <c r="D303" t="s">
        <v>0</v>
      </c>
      <c r="F303" t="s">
        <v>1</v>
      </c>
      <c r="G303" t="s">
        <v>25</v>
      </c>
      <c r="H303" t="s">
        <v>28</v>
      </c>
      <c r="I303" t="s">
        <v>31</v>
      </c>
      <c r="L303" t="s">
        <v>27</v>
      </c>
      <c r="N303" t="s">
        <v>7</v>
      </c>
      <c r="O303">
        <v>18.350999999999999</v>
      </c>
      <c r="P303">
        <v>18.350999999999999</v>
      </c>
      <c r="Q303">
        <v>19.567</v>
      </c>
      <c r="R303">
        <v>21.216999999999999</v>
      </c>
      <c r="S303">
        <v>22.751999999999999</v>
      </c>
      <c r="T303">
        <v>21.372</v>
      </c>
      <c r="U303">
        <v>22.113</v>
      </c>
      <c r="V303">
        <v>22.853999999999999</v>
      </c>
      <c r="W303">
        <v>21.885999999999999</v>
      </c>
      <c r="X303">
        <v>20.917999999999999</v>
      </c>
      <c r="Y303">
        <v>19.544</v>
      </c>
      <c r="Z303">
        <v>22.247</v>
      </c>
      <c r="AA303">
        <v>21.527000000000001</v>
      </c>
      <c r="AB303">
        <v>28.606999999999999</v>
      </c>
      <c r="AC303">
        <v>33.155000000000001</v>
      </c>
      <c r="AD303">
        <v>34.847000000000001</v>
      </c>
      <c r="AE303">
        <v>66.328000000000003</v>
      </c>
      <c r="AF303">
        <v>88.234999999999999</v>
      </c>
      <c r="AG303">
        <v>86.635000000000005</v>
      </c>
      <c r="AH303">
        <v>99.275000000000006</v>
      </c>
      <c r="AI303">
        <v>129.773</v>
      </c>
      <c r="AJ303">
        <v>149.22200000000001</v>
      </c>
      <c r="AK303">
        <v>157.988</v>
      </c>
      <c r="AL303">
        <v>170.315</v>
      </c>
      <c r="AM303">
        <v>185.113</v>
      </c>
      <c r="AN303">
        <v>181.14641683321699</v>
      </c>
      <c r="AO303">
        <v>183.717925101628</v>
      </c>
      <c r="AP303">
        <v>188.187552984354</v>
      </c>
      <c r="AQ303">
        <v>194.07032011573699</v>
      </c>
      <c r="AR303">
        <v>201.47416040411599</v>
      </c>
      <c r="AS303">
        <v>209.969456138108</v>
      </c>
      <c r="AT303">
        <v>220.22741052228301</v>
      </c>
      <c r="AU303">
        <v>234.70349439990201</v>
      </c>
      <c r="AV303">
        <v>251.672803622327</v>
      </c>
      <c r="AW303">
        <v>270.81739062938999</v>
      </c>
      <c r="AX303">
        <v>290.20029090484002</v>
      </c>
      <c r="AY303">
        <v>304.67668010474603</v>
      </c>
      <c r="AZ303">
        <v>319.12674574978797</v>
      </c>
      <c r="BA303">
        <v>333.57492312376201</v>
      </c>
      <c r="BB303">
        <v>348.07573981119299</v>
      </c>
      <c r="BC303">
        <v>362.70883607488997</v>
      </c>
      <c r="BD303">
        <v>377.55410586097901</v>
      </c>
      <c r="BE303">
        <v>392.68968359763301</v>
      </c>
      <c r="BF303">
        <v>408.185262554742</v>
      </c>
      <c r="BG303">
        <v>424.09716938961901</v>
      </c>
      <c r="BH303">
        <v>438.07304650651298</v>
      </c>
      <c r="BI303">
        <v>449.88354931060201</v>
      </c>
      <c r="BJ303">
        <v>459.40924923618502</v>
      </c>
      <c r="BK303">
        <v>466.34687792155597</v>
      </c>
      <c r="BL303">
        <v>470.51711188538098</v>
      </c>
      <c r="BM303">
        <v>471.77372915378999</v>
      </c>
      <c r="BN303">
        <v>470.00395326395397</v>
      </c>
      <c r="BO303">
        <v>467.07916337689898</v>
      </c>
      <c r="BP303">
        <v>462.936282032772</v>
      </c>
      <c r="BQ303">
        <v>457.52352909255501</v>
      </c>
      <c r="BR303">
        <v>450.79719343979502</v>
      </c>
      <c r="BS303">
        <v>457.99819546710802</v>
      </c>
      <c r="BT303">
        <v>464.28312647253398</v>
      </c>
      <c r="BU303">
        <v>469.58420055385398</v>
      </c>
      <c r="BV303">
        <v>473.85328938477198</v>
      </c>
      <c r="BW303">
        <v>477.05474056327802</v>
      </c>
      <c r="BX303">
        <v>479.16179878727701</v>
      </c>
      <c r="BY303">
        <v>481.16140907119399</v>
      </c>
      <c r="BZ303">
        <v>483.057637586022</v>
      </c>
      <c r="CA303">
        <v>484.860361989495</v>
      </c>
      <c r="CB303">
        <v>486.58339131919701</v>
      </c>
      <c r="CC303">
        <v>488.23619007420899</v>
      </c>
      <c r="CD303">
        <v>489.838245295386</v>
      </c>
      <c r="CE303">
        <v>491.42390690739597</v>
      </c>
      <c r="CF303">
        <v>493.02798931501201</v>
      </c>
      <c r="CG303">
        <v>494.69869690968699</v>
      </c>
      <c r="CH303">
        <v>496.49318118969097</v>
      </c>
      <c r="CI303">
        <v>498.47715570952897</v>
      </c>
      <c r="CJ303">
        <v>500.72620248001601</v>
      </c>
      <c r="CK303">
        <v>503.31562143864102</v>
      </c>
      <c r="CL303">
        <v>506.30750004667101</v>
      </c>
    </row>
    <row r="304" spans="4:90" x14ac:dyDescent="0.2">
      <c r="D304" t="s">
        <v>0</v>
      </c>
      <c r="F304" t="s">
        <v>1</v>
      </c>
      <c r="G304" t="s">
        <v>25</v>
      </c>
      <c r="H304" t="s">
        <v>28</v>
      </c>
      <c r="I304" t="s">
        <v>31</v>
      </c>
      <c r="L304" t="s">
        <v>27</v>
      </c>
      <c r="N304" t="s">
        <v>8</v>
      </c>
      <c r="O304">
        <v>0.27300000000000002</v>
      </c>
      <c r="P304">
        <v>0.27300000000000002</v>
      </c>
      <c r="Q304">
        <v>0.27300000000000002</v>
      </c>
      <c r="R304">
        <v>0.27300000000000002</v>
      </c>
      <c r="S304">
        <v>0.27300000000000002</v>
      </c>
      <c r="T304">
        <v>0.27300000000000002</v>
      </c>
      <c r="U304">
        <v>0.27300000000000002</v>
      </c>
      <c r="V304">
        <v>0.27300000000000002</v>
      </c>
      <c r="W304">
        <v>0.27300000000000002</v>
      </c>
      <c r="X304">
        <v>0.27300000000000002</v>
      </c>
      <c r="Y304">
        <v>0.27300000000000002</v>
      </c>
      <c r="Z304">
        <v>0.27300000000000002</v>
      </c>
      <c r="AA304">
        <v>0.27300000000000002</v>
      </c>
      <c r="AB304">
        <v>0.27300000000000002</v>
      </c>
      <c r="AC304">
        <v>0.54600000000000004</v>
      </c>
      <c r="AD304">
        <v>0.54600000000000004</v>
      </c>
      <c r="AE304">
        <v>0.81900000000000006</v>
      </c>
      <c r="AF304">
        <v>1.0920000000000001</v>
      </c>
      <c r="AG304">
        <v>1.0920000000000001</v>
      </c>
      <c r="AH304">
        <v>1.365</v>
      </c>
      <c r="AI304">
        <v>1.6379999999999999</v>
      </c>
      <c r="AJ304">
        <v>1.911</v>
      </c>
      <c r="AK304">
        <v>1.911</v>
      </c>
      <c r="AL304">
        <v>2.1840000000000002</v>
      </c>
      <c r="AM304">
        <v>2.4569999999999999</v>
      </c>
      <c r="AN304">
        <v>1.2467030187192001</v>
      </c>
      <c r="AO304">
        <v>1.2644008963639</v>
      </c>
      <c r="AP304">
        <v>1.2951621925096</v>
      </c>
      <c r="AQ304">
        <v>1.3356491293717001</v>
      </c>
      <c r="AR304">
        <v>1.3866045399119999</v>
      </c>
      <c r="AS304">
        <v>1.4450716684461</v>
      </c>
      <c r="AT304">
        <v>1.5156699332101</v>
      </c>
      <c r="AU304">
        <v>1.6152986080962</v>
      </c>
      <c r="AV304">
        <v>1.7320863944792999</v>
      </c>
      <c r="AW304">
        <v>1.8638450835611999</v>
      </c>
      <c r="AX304">
        <v>1.9972439147795</v>
      </c>
      <c r="AY304">
        <v>2.0968746909835998</v>
      </c>
      <c r="AZ304">
        <v>2.1963243007263999</v>
      </c>
      <c r="BA304">
        <v>2.2957609148312002</v>
      </c>
      <c r="BB304">
        <v>2.3955598082025</v>
      </c>
      <c r="BC304">
        <v>2.4962690885961001</v>
      </c>
      <c r="BD304">
        <v>2.5984386096916001</v>
      </c>
      <c r="BE304">
        <v>2.7026061156473999</v>
      </c>
      <c r="BF304">
        <v>2.8092512560833001</v>
      </c>
      <c r="BG304">
        <v>2.9187616876525002</v>
      </c>
      <c r="BH304">
        <v>3.0149477922162999</v>
      </c>
      <c r="BI304">
        <v>3.0962311526925999</v>
      </c>
      <c r="BJ304">
        <v>3.1617898265006001</v>
      </c>
      <c r="BK304">
        <v>3.2095366314112002</v>
      </c>
      <c r="BL304">
        <v>3.2382374103853002</v>
      </c>
      <c r="BM304">
        <v>3.2468858207114999</v>
      </c>
      <c r="BN304">
        <v>3.2347057015410998</v>
      </c>
      <c r="BO304">
        <v>3.2145764356961002</v>
      </c>
      <c r="BP304">
        <v>3.1860639055107001</v>
      </c>
      <c r="BQ304">
        <v>3.1488117448105002</v>
      </c>
      <c r="BR304">
        <v>3.1025191208114999</v>
      </c>
      <c r="BS304">
        <v>3.1520785386691998</v>
      </c>
      <c r="BT304">
        <v>3.1953332858172998</v>
      </c>
      <c r="BU304">
        <v>3.2318168397025002</v>
      </c>
      <c r="BV304">
        <v>3.2611979670012001</v>
      </c>
      <c r="BW304">
        <v>3.2832312973772999</v>
      </c>
      <c r="BX304">
        <v>3.2977326929577</v>
      </c>
      <c r="BY304">
        <v>3.3114946001529999</v>
      </c>
      <c r="BZ304">
        <v>3.3245450035500999</v>
      </c>
      <c r="CA304">
        <v>3.3369518841002002</v>
      </c>
      <c r="CB304">
        <v>3.3488102796689998</v>
      </c>
      <c r="CC304">
        <v>3.3601853277281002</v>
      </c>
      <c r="CD304">
        <v>3.3712111438347998</v>
      </c>
      <c r="CE304">
        <v>3.3821241342925998</v>
      </c>
      <c r="CF304">
        <v>3.3931639020938</v>
      </c>
      <c r="CG304">
        <v>3.4046622040646</v>
      </c>
      <c r="CH304">
        <v>3.4170123736568998</v>
      </c>
      <c r="CI304">
        <v>3.4306666709164002</v>
      </c>
      <c r="CJ304">
        <v>3.4461452735133</v>
      </c>
      <c r="CK304">
        <v>3.4639664178057998</v>
      </c>
      <c r="CL304">
        <v>3.4845574079974</v>
      </c>
    </row>
    <row r="305" spans="4:90" x14ac:dyDescent="0.2">
      <c r="D305" t="s">
        <v>0</v>
      </c>
      <c r="F305" t="s">
        <v>1</v>
      </c>
      <c r="G305" t="s">
        <v>25</v>
      </c>
      <c r="H305" t="s">
        <v>32</v>
      </c>
      <c r="L305" t="s">
        <v>27</v>
      </c>
      <c r="N305" t="s">
        <v>6</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0.1717686803805773</v>
      </c>
      <c r="AO305">
        <v>0.15457247282975101</v>
      </c>
      <c r="AP305">
        <v>0.16617851259536601</v>
      </c>
      <c r="AQ305">
        <v>0.18098676796199811</v>
      </c>
      <c r="AR305">
        <v>0.19970278406151251</v>
      </c>
      <c r="AS305">
        <v>0.2222514833260682</v>
      </c>
      <c r="AT305">
        <v>0.25069218595975279</v>
      </c>
      <c r="AU305">
        <v>0.29150658020620002</v>
      </c>
      <c r="AV305">
        <v>0.34391467925149999</v>
      </c>
      <c r="AW305">
        <v>0.41005722463880001</v>
      </c>
      <c r="AX305">
        <v>0.48764571367280002</v>
      </c>
      <c r="AY305">
        <v>0.56138950580470004</v>
      </c>
      <c r="AZ305">
        <v>0.64591140441070005</v>
      </c>
      <c r="BA305">
        <v>0.7428422211293001</v>
      </c>
      <c r="BB305">
        <v>0.85411371440430006</v>
      </c>
      <c r="BC305">
        <v>0.98203971953750002</v>
      </c>
      <c r="BD305">
        <v>1.1293035688988</v>
      </c>
      <c r="BE305">
        <v>1.2990368387954001</v>
      </c>
      <c r="BF305">
        <v>1.4948805117563999</v>
      </c>
      <c r="BG305">
        <v>1.7210537892636</v>
      </c>
      <c r="BH305">
        <v>1.9609887153196</v>
      </c>
      <c r="BI305">
        <v>2.2105524146436002</v>
      </c>
      <c r="BJ305">
        <v>2.4705046996724001</v>
      </c>
      <c r="BK305">
        <v>2.7297928664381002</v>
      </c>
      <c r="BL305">
        <v>2.9813559747945</v>
      </c>
      <c r="BM305">
        <v>3.2176030500212001</v>
      </c>
      <c r="BN305">
        <v>3.430110945629</v>
      </c>
      <c r="BO305">
        <v>3.6425950348562002</v>
      </c>
      <c r="BP305">
        <v>3.8530217776578999</v>
      </c>
      <c r="BQ305">
        <v>4.0595753335931004</v>
      </c>
      <c r="BR305">
        <v>4.2598230816701994</v>
      </c>
      <c r="BS305">
        <v>4.4020484579626009</v>
      </c>
      <c r="BT305">
        <v>4.5296316973391004</v>
      </c>
      <c r="BU305">
        <v>4.6406004138938002</v>
      </c>
      <c r="BV305">
        <v>4.7337659460622001</v>
      </c>
      <c r="BW305">
        <v>4.8080640379527004</v>
      </c>
      <c r="BX305">
        <v>4.8622696252136999</v>
      </c>
      <c r="BY305">
        <v>4.9177913633551</v>
      </c>
      <c r="BZ305">
        <v>4.9746552281182996</v>
      </c>
      <c r="CA305">
        <v>5.0332551961901997</v>
      </c>
      <c r="CB305">
        <v>5.0940846292421993</v>
      </c>
      <c r="CC305">
        <v>5.1565699067864994</v>
      </c>
      <c r="CD305">
        <v>5.2207308027759014</v>
      </c>
      <c r="CE305">
        <v>5.2876534655393996</v>
      </c>
      <c r="CF305">
        <v>5.3574413211499996</v>
      </c>
      <c r="CG305">
        <v>5.4307393570376004</v>
      </c>
      <c r="CH305">
        <v>5.5080976443579006</v>
      </c>
      <c r="CI305">
        <v>5.5900215065801007</v>
      </c>
      <c r="CJ305">
        <v>5.6775308561422992</v>
      </c>
      <c r="CK305">
        <v>5.7715469740736998</v>
      </c>
      <c r="CL305">
        <v>5.8723801812649006</v>
      </c>
    </row>
    <row r="306" spans="4:90" x14ac:dyDescent="0.2">
      <c r="D306" t="s">
        <v>0</v>
      </c>
      <c r="F306" t="s">
        <v>1</v>
      </c>
      <c r="G306" t="s">
        <v>25</v>
      </c>
      <c r="H306" t="s">
        <v>32</v>
      </c>
      <c r="L306" t="s">
        <v>27</v>
      </c>
      <c r="N306" t="s">
        <v>7</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7.0000000000000001E-3</v>
      </c>
      <c r="AJ306">
        <v>7.0000000000000001E-3</v>
      </c>
      <c r="AK306">
        <v>7.0000000000000001E-3</v>
      </c>
      <c r="AL306">
        <v>7.0000000000000001E-3</v>
      </c>
      <c r="AM306">
        <v>7.0000000000000001E-3</v>
      </c>
      <c r="AN306">
        <v>150.52399409095551</v>
      </c>
      <c r="AO306">
        <v>135.4546471178848</v>
      </c>
      <c r="AP306">
        <v>145.62522918920561</v>
      </c>
      <c r="AQ306">
        <v>158.60197057406771</v>
      </c>
      <c r="AR306">
        <v>175.00315320254171</v>
      </c>
      <c r="AS306">
        <v>194.7629852472013</v>
      </c>
      <c r="AT306">
        <v>219.68608616225151</v>
      </c>
      <c r="AU306">
        <v>255.45247631426429</v>
      </c>
      <c r="AV306">
        <v>301.378639183556</v>
      </c>
      <c r="AW306">
        <v>359.34054521315801</v>
      </c>
      <c r="AX306">
        <v>427.33273819619899</v>
      </c>
      <c r="AY306">
        <v>491.95575390844812</v>
      </c>
      <c r="AZ306">
        <v>566.02381880909707</v>
      </c>
      <c r="BA306">
        <v>650.96604256393698</v>
      </c>
      <c r="BB306">
        <v>748.47525995507806</v>
      </c>
      <c r="BC306">
        <v>860.57912660928207</v>
      </c>
      <c r="BD306">
        <v>989.62909510160205</v>
      </c>
      <c r="BE306">
        <v>1138.3694222574791</v>
      </c>
      <c r="BF306">
        <v>1309.9907667669179</v>
      </c>
      <c r="BG306">
        <v>1508.190491021646</v>
      </c>
      <c r="BH306">
        <v>1718.449796221081</v>
      </c>
      <c r="BI306">
        <v>1937.1469691814659</v>
      </c>
      <c r="BJ306">
        <v>2164.9478472512578</v>
      </c>
      <c r="BK306">
        <v>2392.1667465036548</v>
      </c>
      <c r="BL306">
        <v>2612.6160376771918</v>
      </c>
      <c r="BM306">
        <v>2819.643612649857</v>
      </c>
      <c r="BN306">
        <v>3005.8681161615882</v>
      </c>
      <c r="BO306">
        <v>3192.0717577124669</v>
      </c>
      <c r="BP306">
        <v>3376.4725094669338</v>
      </c>
      <c r="BQ306">
        <v>3557.4791176808139</v>
      </c>
      <c r="BR306">
        <v>3732.9598326835981</v>
      </c>
      <c r="BS306">
        <v>3857.5944963090542</v>
      </c>
      <c r="BT306">
        <v>3969.3979911456108</v>
      </c>
      <c r="BU306">
        <v>4066.641879833322</v>
      </c>
      <c r="BV306">
        <v>4148.2845167943015</v>
      </c>
      <c r="BW306">
        <v>4213.3932753870458</v>
      </c>
      <c r="BX306">
        <v>4260.8946096146028</v>
      </c>
      <c r="BY306">
        <v>4309.5493106077256</v>
      </c>
      <c r="BZ306">
        <v>4359.3801413776018</v>
      </c>
      <c r="CA306">
        <v>4410.7323508039563</v>
      </c>
      <c r="CB306">
        <v>4464.0382806217867</v>
      </c>
      <c r="CC306">
        <v>4518.7952568470291</v>
      </c>
      <c r="CD306">
        <v>4575.0206077514786</v>
      </c>
      <c r="CE306">
        <v>4633.6661447144988</v>
      </c>
      <c r="CF306">
        <v>4694.8225018704397</v>
      </c>
      <c r="CG306">
        <v>4759.0548933423242</v>
      </c>
      <c r="CH306">
        <v>4826.84535640985</v>
      </c>
      <c r="CI306">
        <v>4898.6367151471759</v>
      </c>
      <c r="CJ306">
        <v>4975.322737227697</v>
      </c>
      <c r="CK306">
        <v>5057.7107578412379</v>
      </c>
      <c r="CL306">
        <v>5146.072716783744</v>
      </c>
    </row>
    <row r="307" spans="4:90" x14ac:dyDescent="0.2">
      <c r="D307" t="s">
        <v>0</v>
      </c>
      <c r="F307" t="s">
        <v>1</v>
      </c>
      <c r="G307" t="s">
        <v>25</v>
      </c>
      <c r="H307" t="s">
        <v>32</v>
      </c>
      <c r="L307" t="s">
        <v>27</v>
      </c>
      <c r="N307" t="s">
        <v>8</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7.5190138702731</v>
      </c>
      <c r="AO307">
        <v>6.7662659141033004</v>
      </c>
      <c r="AP307">
        <v>7.2743094863247997</v>
      </c>
      <c r="AQ307">
        <v>7.922527061555801</v>
      </c>
      <c r="AR307">
        <v>8.7418032202646998</v>
      </c>
      <c r="AS307">
        <v>9.7288515119032013</v>
      </c>
      <c r="AT307">
        <v>10.973816758820799</v>
      </c>
      <c r="AU307">
        <v>12.7604288220118</v>
      </c>
      <c r="AV307">
        <v>15.054544505747799</v>
      </c>
      <c r="AW307">
        <v>17.949872775609499</v>
      </c>
      <c r="AX307">
        <v>21.3462365593188</v>
      </c>
      <c r="AY307">
        <v>24.5743023199554</v>
      </c>
      <c r="AZ307">
        <v>28.274169644733799</v>
      </c>
      <c r="BA307">
        <v>32.517225792968603</v>
      </c>
      <c r="BB307">
        <v>37.388031689870601</v>
      </c>
      <c r="BC307">
        <v>42.9878733189393</v>
      </c>
      <c r="BD307">
        <v>49.434211053412099</v>
      </c>
      <c r="BE307">
        <v>56.864126727043697</v>
      </c>
      <c r="BF307">
        <v>65.437000956129197</v>
      </c>
      <c r="BG307">
        <v>75.337525352625903</v>
      </c>
      <c r="BH307">
        <v>85.840453086481403</v>
      </c>
      <c r="BI307">
        <v>96.764871394734797</v>
      </c>
      <c r="BJ307">
        <v>108.14404035853551</v>
      </c>
      <c r="BK307">
        <v>119.4941381644359</v>
      </c>
      <c r="BL307">
        <v>130.5060787393322</v>
      </c>
      <c r="BM307">
        <v>140.84757424075909</v>
      </c>
      <c r="BN307">
        <v>150.14990928272891</v>
      </c>
      <c r="BO307">
        <v>159.45120222258021</v>
      </c>
      <c r="BP307">
        <v>168.66243674039919</v>
      </c>
      <c r="BQ307">
        <v>177.7041261135156</v>
      </c>
      <c r="BR307">
        <v>186.46978462556751</v>
      </c>
      <c r="BS307">
        <v>192.69556789803659</v>
      </c>
      <c r="BT307">
        <v>198.28040527561129</v>
      </c>
      <c r="BU307">
        <v>203.13795740381539</v>
      </c>
      <c r="BV307">
        <v>207.2161917306581</v>
      </c>
      <c r="BW307">
        <v>210.46852144653889</v>
      </c>
      <c r="BX307">
        <v>212.8413205014042</v>
      </c>
      <c r="BY307">
        <v>215.27173283420629</v>
      </c>
      <c r="BZ307">
        <v>217.7608955088258</v>
      </c>
      <c r="CA307">
        <v>220.3260544874845</v>
      </c>
      <c r="CB307">
        <v>222.9888062174567</v>
      </c>
      <c r="CC307">
        <v>225.72404099659181</v>
      </c>
      <c r="CD307">
        <v>228.53262441124679</v>
      </c>
      <c r="CE307">
        <v>231.46210159206171</v>
      </c>
      <c r="CF307">
        <v>234.5169999189892</v>
      </c>
      <c r="CG307">
        <v>237.72555311553879</v>
      </c>
      <c r="CH307">
        <v>241.1118400338153</v>
      </c>
      <c r="CI307">
        <v>244.69798073763971</v>
      </c>
      <c r="CJ307">
        <v>248.52862094328731</v>
      </c>
      <c r="CK307">
        <v>252.6440888690405</v>
      </c>
      <c r="CL307">
        <v>257.0579685226171</v>
      </c>
    </row>
    <row r="308" spans="4:90" x14ac:dyDescent="0.2">
      <c r="D308" t="s">
        <v>0</v>
      </c>
      <c r="F308" t="s">
        <v>1</v>
      </c>
      <c r="G308" t="s">
        <v>25</v>
      </c>
      <c r="H308" t="s">
        <v>33</v>
      </c>
      <c r="L308" t="s">
        <v>27</v>
      </c>
      <c r="N308" t="s">
        <v>6</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0.45465482215460001</v>
      </c>
      <c r="AO308">
        <v>0.47109676648359999</v>
      </c>
      <c r="AP308">
        <v>0.49373423725589999</v>
      </c>
      <c r="AQ308">
        <v>0.52172858010310008</v>
      </c>
      <c r="AR308">
        <v>0.55582587436469999</v>
      </c>
      <c r="AS308">
        <v>0.59532865407489999</v>
      </c>
      <c r="AT308">
        <v>0.64277076254650001</v>
      </c>
      <c r="AU308">
        <v>0.70652443603170001</v>
      </c>
      <c r="AV308">
        <v>0.7829134547544</v>
      </c>
      <c r="AW308">
        <v>0.87244234421239997</v>
      </c>
      <c r="AX308">
        <v>0.97017557377489994</v>
      </c>
      <c r="AY308">
        <v>1.0588241701884999</v>
      </c>
      <c r="AZ308">
        <v>1.1550987691306001</v>
      </c>
      <c r="BA308">
        <v>1.2596142147803999</v>
      </c>
      <c r="BB308">
        <v>1.3730317101978</v>
      </c>
      <c r="BC308">
        <v>1.4960943093184</v>
      </c>
      <c r="BD308">
        <v>1.6295748594805</v>
      </c>
      <c r="BE308">
        <v>1.7743046023483999</v>
      </c>
      <c r="BF308">
        <v>1.9311773941046999</v>
      </c>
      <c r="BG308">
        <v>2.1011541384419998</v>
      </c>
      <c r="BH308">
        <v>2.2723044688674001</v>
      </c>
      <c r="BI308">
        <v>2.4423945116680001</v>
      </c>
      <c r="BJ308">
        <v>2.6098469358792999</v>
      </c>
      <c r="BK308">
        <v>2.7713609600633</v>
      </c>
      <c r="BL308">
        <v>2.9243084856912001</v>
      </c>
      <c r="BM308">
        <v>3.0660675183602999</v>
      </c>
      <c r="BN308">
        <v>3.1940187156815001</v>
      </c>
      <c r="BO308">
        <v>3.3202375283536001</v>
      </c>
      <c r="BP308">
        <v>3.4440979175302</v>
      </c>
      <c r="BQ308">
        <v>3.5650104329293</v>
      </c>
      <c r="BR308">
        <v>3.6823235383495998</v>
      </c>
      <c r="BS308">
        <v>3.7982607318273001</v>
      </c>
      <c r="BT308">
        <v>3.9094926551523002</v>
      </c>
      <c r="BU308">
        <v>4.0153489828237996</v>
      </c>
      <c r="BV308">
        <v>4.1152390116542001</v>
      </c>
      <c r="BW308">
        <v>4.2085814752326014</v>
      </c>
      <c r="BX308">
        <v>4.2947756422978998</v>
      </c>
      <c r="BY308">
        <v>4.3829656204975</v>
      </c>
      <c r="BZ308">
        <v>4.4731974095288001</v>
      </c>
      <c r="CA308">
        <v>4.5655590550004002</v>
      </c>
      <c r="CB308">
        <v>4.6601496242683993</v>
      </c>
      <c r="CC308">
        <v>4.7569360555091</v>
      </c>
      <c r="CD308">
        <v>4.8559494072880014</v>
      </c>
      <c r="CE308">
        <v>4.9573449600766999</v>
      </c>
      <c r="CF308">
        <v>5.061148402782</v>
      </c>
      <c r="CG308">
        <v>5.1674407939071001</v>
      </c>
      <c r="CH308">
        <v>5.2762783161962004</v>
      </c>
      <c r="CI308">
        <v>5.3876977136124999</v>
      </c>
      <c r="CJ308">
        <v>5.5017910341595</v>
      </c>
      <c r="CK308">
        <v>5.6186339267121994</v>
      </c>
      <c r="CL308">
        <v>5.7382293258099999</v>
      </c>
    </row>
    <row r="309" spans="4:90" x14ac:dyDescent="0.2">
      <c r="D309" t="s">
        <v>0</v>
      </c>
      <c r="F309" t="s">
        <v>1</v>
      </c>
      <c r="G309" t="s">
        <v>25</v>
      </c>
      <c r="H309" t="s">
        <v>33</v>
      </c>
      <c r="L309" t="s">
        <v>27</v>
      </c>
      <c r="N309" t="s">
        <v>7</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236.20746176025199</v>
      </c>
      <c r="AO309">
        <v>244.749568314751</v>
      </c>
      <c r="AP309">
        <v>256.51044547083302</v>
      </c>
      <c r="AQ309">
        <v>271.05438594032699</v>
      </c>
      <c r="AR309">
        <v>288.76900137597499</v>
      </c>
      <c r="AS309">
        <v>309.29193629964698</v>
      </c>
      <c r="AT309">
        <v>333.93960190569197</v>
      </c>
      <c r="AU309">
        <v>367.06163791632599</v>
      </c>
      <c r="AV309">
        <v>406.74813268024701</v>
      </c>
      <c r="AW309">
        <v>453.261203041805</v>
      </c>
      <c r="AX309">
        <v>504.03668580296898</v>
      </c>
      <c r="AY309">
        <v>550.09241627606298</v>
      </c>
      <c r="AZ309">
        <v>600.11009461128992</v>
      </c>
      <c r="BA309">
        <v>654.40915167328797</v>
      </c>
      <c r="BB309">
        <v>713.33310322138504</v>
      </c>
      <c r="BC309">
        <v>777.26798911597905</v>
      </c>
      <c r="BD309">
        <v>846.61532782611107</v>
      </c>
      <c r="BE309">
        <v>921.80697550738898</v>
      </c>
      <c r="BF309">
        <v>1003.30731852452</v>
      </c>
      <c r="BG309">
        <v>1091.6155765297899</v>
      </c>
      <c r="BH309">
        <v>1180.53354937257</v>
      </c>
      <c r="BI309">
        <v>1268.9006694884999</v>
      </c>
      <c r="BJ309">
        <v>1355.89746389423</v>
      </c>
      <c r="BK309">
        <v>1439.8090729482701</v>
      </c>
      <c r="BL309">
        <v>1519.27011691092</v>
      </c>
      <c r="BM309">
        <v>1592.91838732776</v>
      </c>
      <c r="BN309">
        <v>1659.3930535485699</v>
      </c>
      <c r="BO309">
        <v>1724.9676915263899</v>
      </c>
      <c r="BP309">
        <v>1789.31705441536</v>
      </c>
      <c r="BQ309">
        <v>1852.13490427805</v>
      </c>
      <c r="BR309">
        <v>1913.08274759184</v>
      </c>
      <c r="BS309">
        <v>1973.3157614312199</v>
      </c>
      <c r="BT309">
        <v>2031.10423962397</v>
      </c>
      <c r="BU309">
        <v>2086.0999270160501</v>
      </c>
      <c r="BV309">
        <v>2137.9959347464001</v>
      </c>
      <c r="BW309">
        <v>2186.4902766557602</v>
      </c>
      <c r="BX309">
        <v>2231.2708539837399</v>
      </c>
      <c r="BY309">
        <v>2277.0883178885601</v>
      </c>
      <c r="BZ309">
        <v>2323.9665666579599</v>
      </c>
      <c r="CA309">
        <v>2371.9513427512602</v>
      </c>
      <c r="CB309">
        <v>2421.09411477199</v>
      </c>
      <c r="CC309">
        <v>2471.37770606402</v>
      </c>
      <c r="CD309">
        <v>2522.8182525278899</v>
      </c>
      <c r="CE309">
        <v>2575.4964272462298</v>
      </c>
      <c r="CF309">
        <v>2629.4255764130698</v>
      </c>
      <c r="CG309">
        <v>2684.6478124669802</v>
      </c>
      <c r="CH309">
        <v>2741.1923241084801</v>
      </c>
      <c r="CI309">
        <v>2799.0782009805898</v>
      </c>
      <c r="CJ309">
        <v>2858.35326491254</v>
      </c>
      <c r="CK309">
        <v>2919.0568178712501</v>
      </c>
      <c r="CL309">
        <v>2981.1903844420999</v>
      </c>
    </row>
    <row r="310" spans="4:90" x14ac:dyDescent="0.2">
      <c r="D310" t="s">
        <v>0</v>
      </c>
      <c r="F310" t="s">
        <v>1</v>
      </c>
      <c r="G310" t="s">
        <v>25</v>
      </c>
      <c r="H310" t="s">
        <v>33</v>
      </c>
      <c r="L310" t="s">
        <v>27</v>
      </c>
      <c r="N310" t="s">
        <v>8</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0.82511166630330002</v>
      </c>
      <c r="AO310">
        <v>0.85495065496360001</v>
      </c>
      <c r="AP310">
        <v>0.89603334081579999</v>
      </c>
      <c r="AQ310">
        <v>0.94683772635880004</v>
      </c>
      <c r="AR310">
        <v>1.0087178030977</v>
      </c>
      <c r="AS310">
        <v>1.0804078035156</v>
      </c>
      <c r="AT310">
        <v>1.1665061692790999</v>
      </c>
      <c r="AU310">
        <v>1.2822069101466</v>
      </c>
      <c r="AV310">
        <v>1.4208383893572001</v>
      </c>
      <c r="AW310">
        <v>1.5833162243286001</v>
      </c>
      <c r="AX310">
        <v>1.7606833696177999</v>
      </c>
      <c r="AY310">
        <v>1.9215636408432999</v>
      </c>
      <c r="AZ310">
        <v>2.0962836501447</v>
      </c>
      <c r="BA310">
        <v>2.2859592222763001</v>
      </c>
      <c r="BB310">
        <v>2.4917903145064999</v>
      </c>
      <c r="BC310">
        <v>2.7151254278102002</v>
      </c>
      <c r="BD310">
        <v>2.9573671324982</v>
      </c>
      <c r="BE310">
        <v>3.2200239734296998</v>
      </c>
      <c r="BF310">
        <v>3.5047181288556999</v>
      </c>
      <c r="BG310">
        <v>3.8131934554525002</v>
      </c>
      <c r="BH310">
        <v>4.1237986166522003</v>
      </c>
      <c r="BI310">
        <v>4.4324795583206997</v>
      </c>
      <c r="BJ310">
        <v>4.7363737260164998</v>
      </c>
      <c r="BK310">
        <v>5.0294908318556999</v>
      </c>
      <c r="BL310">
        <v>5.3070613789571004</v>
      </c>
      <c r="BM310">
        <v>5.5643269482628002</v>
      </c>
      <c r="BN310">
        <v>5.7965339336124</v>
      </c>
      <c r="BO310">
        <v>6.0255969716972002</v>
      </c>
      <c r="BP310">
        <v>6.2503799215803006</v>
      </c>
      <c r="BQ310">
        <v>6.4698130435805998</v>
      </c>
      <c r="BR310">
        <v>6.6827139239316002</v>
      </c>
      <c r="BS310">
        <v>6.8931177868965001</v>
      </c>
      <c r="BT310">
        <v>7.0949824832081001</v>
      </c>
      <c r="BU310">
        <v>7.2870915001096002</v>
      </c>
      <c r="BV310">
        <v>7.4683728241363001</v>
      </c>
      <c r="BW310">
        <v>7.6377715677701996</v>
      </c>
      <c r="BX310">
        <v>7.7941975185076</v>
      </c>
      <c r="BY310">
        <v>7.9542454852677</v>
      </c>
      <c r="BZ310">
        <v>8.1179989487156998</v>
      </c>
      <c r="CA310">
        <v>8.2856176948149987</v>
      </c>
      <c r="CB310">
        <v>8.4572815118959994</v>
      </c>
      <c r="CC310">
        <v>8.6329303990628006</v>
      </c>
      <c r="CD310">
        <v>8.8126207216803003</v>
      </c>
      <c r="CE310">
        <v>8.9966342841468006</v>
      </c>
      <c r="CF310">
        <v>9.1850177069218013</v>
      </c>
      <c r="CG310">
        <v>9.3779180957067005</v>
      </c>
      <c r="CH310">
        <v>9.5754374114520004</v>
      </c>
      <c r="CI310">
        <v>9.7776423374329013</v>
      </c>
      <c r="CJ310">
        <v>9.9846999231952989</v>
      </c>
      <c r="CK310">
        <v>10.1967474569991</v>
      </c>
      <c r="CL310">
        <v>10.413790264472601</v>
      </c>
    </row>
    <row r="311" spans="4:90" x14ac:dyDescent="0.2">
      <c r="D311" t="s">
        <v>0</v>
      </c>
      <c r="F311" t="s">
        <v>1</v>
      </c>
      <c r="G311" t="s">
        <v>25</v>
      </c>
      <c r="H311" t="s">
        <v>34</v>
      </c>
      <c r="L311" t="s">
        <v>27</v>
      </c>
      <c r="N311" t="s">
        <v>6</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row>
    <row r="312" spans="4:90" x14ac:dyDescent="0.2">
      <c r="D312" t="s">
        <v>0</v>
      </c>
      <c r="F312" t="s">
        <v>1</v>
      </c>
      <c r="G312" t="s">
        <v>25</v>
      </c>
      <c r="H312" t="s">
        <v>34</v>
      </c>
      <c r="L312" t="s">
        <v>27</v>
      </c>
      <c r="N312" t="s">
        <v>7</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row>
    <row r="313" spans="4:90" x14ac:dyDescent="0.2">
      <c r="D313" t="s">
        <v>0</v>
      </c>
      <c r="F313" t="s">
        <v>1</v>
      </c>
      <c r="G313" t="s">
        <v>25</v>
      </c>
      <c r="H313" t="s">
        <v>34</v>
      </c>
      <c r="L313" t="s">
        <v>27</v>
      </c>
      <c r="N313" t="s">
        <v>8</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row>
    <row r="314" spans="4:90" x14ac:dyDescent="0.2">
      <c r="D314" t="s">
        <v>0</v>
      </c>
      <c r="F314" t="s">
        <v>1</v>
      </c>
      <c r="G314" t="s">
        <v>35</v>
      </c>
      <c r="H314" t="s">
        <v>36</v>
      </c>
      <c r="L314" t="s">
        <v>37</v>
      </c>
      <c r="N314" t="s">
        <v>6</v>
      </c>
      <c r="O314">
        <v>252.94139999999999</v>
      </c>
      <c r="P314">
        <v>252.94139999999999</v>
      </c>
      <c r="Q314">
        <v>273.42</v>
      </c>
      <c r="R314">
        <v>283.91039999999998</v>
      </c>
      <c r="S314">
        <v>198.4248</v>
      </c>
      <c r="T314">
        <v>329.63850000000002</v>
      </c>
      <c r="U314">
        <v>379.9701</v>
      </c>
      <c r="V314">
        <v>415.87740000000002</v>
      </c>
      <c r="W314">
        <v>415.87740000000002</v>
      </c>
      <c r="X314">
        <v>401.39729999999997</v>
      </c>
      <c r="Y314">
        <v>421.37369999999999</v>
      </c>
      <c r="Z314">
        <v>420.73200000000003</v>
      </c>
      <c r="AA314">
        <v>461.07539999999989</v>
      </c>
      <c r="AB314">
        <v>481.13549999999998</v>
      </c>
      <c r="AC314">
        <v>501.02819999999991</v>
      </c>
      <c r="AD314">
        <v>520.72559999999999</v>
      </c>
      <c r="AE314">
        <v>518.1309</v>
      </c>
      <c r="AF314">
        <v>515.45249999999999</v>
      </c>
      <c r="AG314">
        <v>279.30689999999998</v>
      </c>
      <c r="AH314">
        <v>129.40020000000001</v>
      </c>
      <c r="AI314">
        <v>120.69540000000001</v>
      </c>
      <c r="AJ314">
        <v>0.4743</v>
      </c>
      <c r="AK314">
        <v>115.3107</v>
      </c>
      <c r="AL314">
        <v>327.18329999999997</v>
      </c>
      <c r="AM314">
        <v>362.9511</v>
      </c>
      <c r="AN314">
        <v>1504.67938428345</v>
      </c>
      <c r="AO314">
        <v>1505.32405436098</v>
      </c>
      <c r="AP314">
        <v>1575.3487155048699</v>
      </c>
      <c r="AQ314">
        <v>1661.08477718626</v>
      </c>
      <c r="AR314">
        <v>1764.62612195724</v>
      </c>
      <c r="AS314">
        <v>1883.8215199251399</v>
      </c>
      <c r="AT314">
        <v>2025.8300978269699</v>
      </c>
      <c r="AU314">
        <v>2193.7531328557002</v>
      </c>
      <c r="AV314">
        <v>2381.7280147598899</v>
      </c>
      <c r="AW314">
        <v>2580.5808952713701</v>
      </c>
      <c r="AX314">
        <v>2761.6868257779101</v>
      </c>
      <c r="AY314">
        <v>2862.4733502609502</v>
      </c>
      <c r="AZ314">
        <v>2905.6839201562598</v>
      </c>
      <c r="BA314">
        <v>2869.1876979814101</v>
      </c>
      <c r="BB314">
        <v>2736.39192107499</v>
      </c>
      <c r="BC314">
        <v>2505.0134160129601</v>
      </c>
      <c r="BD314">
        <v>2192.73773142852</v>
      </c>
      <c r="BE314">
        <v>1834.50826868779</v>
      </c>
      <c r="BF314">
        <v>1471.17045279536</v>
      </c>
      <c r="BG314">
        <v>1136.55314061427</v>
      </c>
      <c r="BH314">
        <v>846.09949507415206</v>
      </c>
      <c r="BI314">
        <v>609.42324610609205</v>
      </c>
      <c r="BJ314">
        <v>425.31356751366201</v>
      </c>
      <c r="BK314">
        <v>286.76189148232203</v>
      </c>
      <c r="BL314">
        <v>184.974768641194</v>
      </c>
      <c r="BM314">
        <v>111.49148756178499</v>
      </c>
      <c r="BN314">
        <v>115.923777168283</v>
      </c>
      <c r="BO314">
        <v>120.304031747482</v>
      </c>
      <c r="BP314">
        <v>124.613094636835</v>
      </c>
      <c r="BQ314">
        <v>128.83182988611401</v>
      </c>
      <c r="BR314">
        <v>132.94042870674701</v>
      </c>
      <c r="BS314">
        <v>136.918756468689</v>
      </c>
      <c r="BT314">
        <v>140.74684420904001</v>
      </c>
      <c r="BU314">
        <v>144.40504738476599</v>
      </c>
      <c r="BV314">
        <v>147.87462822811699</v>
      </c>
      <c r="BW314">
        <v>151.13732086114001</v>
      </c>
      <c r="BX314">
        <v>154.17523210924301</v>
      </c>
      <c r="BY314">
        <v>157.27591572308401</v>
      </c>
      <c r="BZ314">
        <v>160.440662993822</v>
      </c>
      <c r="CA314">
        <v>163.67109753907101</v>
      </c>
      <c r="CB314">
        <v>166.96894093576401</v>
      </c>
      <c r="CC314">
        <v>170.334943801408</v>
      </c>
      <c r="CD314">
        <v>173.77035766353799</v>
      </c>
      <c r="CE314">
        <v>177.27737670842501</v>
      </c>
      <c r="CF314">
        <v>180.85724642876201</v>
      </c>
      <c r="CG314">
        <v>184.51164256600401</v>
      </c>
      <c r="CH314">
        <v>188.24207477482599</v>
      </c>
      <c r="CI314">
        <v>192.049929773537</v>
      </c>
      <c r="CJ314">
        <v>195.93702115088601</v>
      </c>
      <c r="CK314">
        <v>199.90506005039799</v>
      </c>
      <c r="CL314">
        <v>203.95524897957</v>
      </c>
    </row>
    <row r="315" spans="4:90" x14ac:dyDescent="0.2">
      <c r="D315" t="s">
        <v>0</v>
      </c>
      <c r="F315" t="s">
        <v>1</v>
      </c>
      <c r="G315" t="s">
        <v>35</v>
      </c>
      <c r="H315" t="s">
        <v>36</v>
      </c>
      <c r="L315" t="s">
        <v>37</v>
      </c>
      <c r="N315" t="s">
        <v>7</v>
      </c>
      <c r="O315">
        <v>10.254</v>
      </c>
      <c r="P315">
        <v>10.254</v>
      </c>
      <c r="Q315">
        <v>11.4</v>
      </c>
      <c r="R315">
        <v>13.965</v>
      </c>
      <c r="S315">
        <v>12.101000000000001</v>
      </c>
      <c r="T315">
        <v>27.969000000000001</v>
      </c>
      <c r="U315">
        <v>15.304</v>
      </c>
      <c r="V315">
        <v>15.164</v>
      </c>
      <c r="W315">
        <v>15.387</v>
      </c>
      <c r="X315">
        <v>11.069000000000001</v>
      </c>
      <c r="Y315">
        <v>13.372999999999999</v>
      </c>
      <c r="Z315">
        <v>9.6229999999999993</v>
      </c>
      <c r="AA315">
        <v>7.6980000000000004</v>
      </c>
      <c r="AB315">
        <v>14.151</v>
      </c>
      <c r="AC315">
        <v>16.689</v>
      </c>
      <c r="AD315">
        <v>13.688000000000001</v>
      </c>
      <c r="AE315">
        <v>17.754999999999999</v>
      </c>
      <c r="AF315">
        <v>17.754999999999999</v>
      </c>
      <c r="AG315">
        <v>27.61</v>
      </c>
      <c r="AH315">
        <v>12.941000000000001</v>
      </c>
      <c r="AI315">
        <v>118.306</v>
      </c>
      <c r="AJ315">
        <v>124.795</v>
      </c>
      <c r="AK315">
        <v>131.46899999999999</v>
      </c>
      <c r="AL315">
        <v>178.38200000000001</v>
      </c>
      <c r="AM315">
        <v>66.046999999999997</v>
      </c>
      <c r="AN315">
        <v>126.340504695568</v>
      </c>
      <c r="AO315">
        <v>196.95812602212899</v>
      </c>
      <c r="AP315">
        <v>206.12022370752601</v>
      </c>
      <c r="AQ315">
        <v>217.33801697427401</v>
      </c>
      <c r="AR315">
        <v>230.88547153917199</v>
      </c>
      <c r="AS315">
        <v>246.481118301214</v>
      </c>
      <c r="AT315">
        <v>265.06166466369598</v>
      </c>
      <c r="AU315">
        <v>347.12419052112398</v>
      </c>
      <c r="AV315">
        <v>476.27920785397299</v>
      </c>
      <c r="AW315">
        <v>680.18268438249697</v>
      </c>
      <c r="AX315">
        <v>995.62748787499095</v>
      </c>
      <c r="AY315">
        <v>1454.9211313611499</v>
      </c>
      <c r="AZ315">
        <v>2131.4905112951001</v>
      </c>
      <c r="BA315">
        <v>3090.61514910094</v>
      </c>
      <c r="BB315">
        <v>4382.5413633652397</v>
      </c>
      <c r="BC315">
        <v>6018.5256283194603</v>
      </c>
      <c r="BD315">
        <v>7954.7791095636103</v>
      </c>
      <c r="BE315">
        <v>10100.166431121201</v>
      </c>
      <c r="BF315">
        <v>12347.5798167393</v>
      </c>
      <c r="BG315">
        <v>14609.629056022701</v>
      </c>
      <c r="BH315">
        <v>16752.548533253699</v>
      </c>
      <c r="BI315">
        <v>18734.007649405699</v>
      </c>
      <c r="BJ315">
        <v>20542.237990377798</v>
      </c>
      <c r="BK315">
        <v>22177.474789544802</v>
      </c>
      <c r="BL315">
        <v>23646.112273867599</v>
      </c>
      <c r="BM315">
        <v>24953.686870994901</v>
      </c>
      <c r="BN315">
        <v>25945.708498662501</v>
      </c>
      <c r="BO315">
        <v>26926.083804212201</v>
      </c>
      <c r="BP315">
        <v>27890.5252014871</v>
      </c>
      <c r="BQ315">
        <v>28834.749740098501</v>
      </c>
      <c r="BR315">
        <v>29754.323877019098</v>
      </c>
      <c r="BS315">
        <v>30644.741140369999</v>
      </c>
      <c r="BT315">
        <v>31501.532137390801</v>
      </c>
      <c r="BU315">
        <v>32320.3000859928</v>
      </c>
      <c r="BV315">
        <v>33096.851155782999</v>
      </c>
      <c r="BW315">
        <v>33827.097133312098</v>
      </c>
      <c r="BX315">
        <v>34507.033222468999</v>
      </c>
      <c r="BY315">
        <v>35201.018832293703</v>
      </c>
      <c r="BZ315">
        <v>35909.342975660002</v>
      </c>
      <c r="CA315">
        <v>36632.369045742002</v>
      </c>
      <c r="CB315">
        <v>37370.482360671413</v>
      </c>
      <c r="CC315">
        <v>38123.850921384197</v>
      </c>
      <c r="CD315">
        <v>38892.754840980502</v>
      </c>
      <c r="CE315">
        <v>39677.685215581703</v>
      </c>
      <c r="CF315">
        <v>40478.920807588103</v>
      </c>
      <c r="CG315">
        <v>41296.836676373903</v>
      </c>
      <c r="CH315">
        <v>42131.770708273303</v>
      </c>
      <c r="CI315">
        <v>42984.033274375601</v>
      </c>
      <c r="CJ315">
        <v>43854.030286619003</v>
      </c>
      <c r="CK315">
        <v>44742.144727961087</v>
      </c>
      <c r="CL315">
        <v>45648.645739986103</v>
      </c>
    </row>
    <row r="316" spans="4:90" x14ac:dyDescent="0.2">
      <c r="D316" t="s">
        <v>0</v>
      </c>
      <c r="F316" t="s">
        <v>1</v>
      </c>
      <c r="G316" t="s">
        <v>35</v>
      </c>
      <c r="H316" t="s">
        <v>36</v>
      </c>
      <c r="L316" t="s">
        <v>37</v>
      </c>
      <c r="N316" t="s">
        <v>8</v>
      </c>
      <c r="O316">
        <v>31.940999999999999</v>
      </c>
      <c r="P316">
        <v>31.940999999999999</v>
      </c>
      <c r="Q316">
        <v>34.125</v>
      </c>
      <c r="R316">
        <v>35.49</v>
      </c>
      <c r="S316">
        <v>24.843</v>
      </c>
      <c r="T316">
        <v>42.314999999999998</v>
      </c>
      <c r="U316">
        <v>48.320999999999998</v>
      </c>
      <c r="V316">
        <v>52.143000000000001</v>
      </c>
      <c r="W316">
        <v>52.143000000000001</v>
      </c>
      <c r="X316">
        <v>49.959000000000003</v>
      </c>
      <c r="Y316">
        <v>52.143000000000001</v>
      </c>
      <c r="Z316">
        <v>52.143000000000001</v>
      </c>
      <c r="AA316">
        <v>56.783999999999999</v>
      </c>
      <c r="AB316">
        <v>58.968000000000004</v>
      </c>
      <c r="AC316">
        <v>61.424999999999997</v>
      </c>
      <c r="AD316">
        <v>63.609000000000002</v>
      </c>
      <c r="AE316">
        <v>63.609000000000002</v>
      </c>
      <c r="AF316">
        <v>63.336000000000013</v>
      </c>
      <c r="AG316">
        <v>35.762999999999998</v>
      </c>
      <c r="AH316">
        <v>16.106999999999999</v>
      </c>
      <c r="AI316">
        <v>11.739000000000001</v>
      </c>
      <c r="AJ316">
        <v>0.27300000000000002</v>
      </c>
      <c r="AK316">
        <v>11.193</v>
      </c>
      <c r="AL316">
        <v>40.131</v>
      </c>
      <c r="AM316">
        <v>42.042000000000002</v>
      </c>
      <c r="AN316">
        <v>202.89531601137799</v>
      </c>
      <c r="AO316">
        <v>203.042097771638</v>
      </c>
      <c r="AP316">
        <v>212.487209641878</v>
      </c>
      <c r="AQ316">
        <v>224.051516854027</v>
      </c>
      <c r="AR316">
        <v>238.01744783579201</v>
      </c>
      <c r="AS316">
        <v>254.094838998189</v>
      </c>
      <c r="AT316">
        <v>273.24933232819598</v>
      </c>
      <c r="AU316">
        <v>295.95020629492802</v>
      </c>
      <c r="AV316">
        <v>321.39344541623598</v>
      </c>
      <c r="AW316">
        <v>348.36613288315402</v>
      </c>
      <c r="AX316">
        <v>373.041644617636</v>
      </c>
      <c r="AY316">
        <v>387.01438977099502</v>
      </c>
      <c r="AZ316">
        <v>393.41182261603001</v>
      </c>
      <c r="BA316">
        <v>389.30670390860399</v>
      </c>
      <c r="BB316">
        <v>372.50541869769302</v>
      </c>
      <c r="BC316">
        <v>342.709807730953</v>
      </c>
      <c r="BD316">
        <v>302.26623984515999</v>
      </c>
      <c r="BE316">
        <v>255.80679374428601</v>
      </c>
      <c r="BF316">
        <v>208.74542577953201</v>
      </c>
      <c r="BG316">
        <v>165.56718231423699</v>
      </c>
      <c r="BH316">
        <v>128.23990300989001</v>
      </c>
      <c r="BI316">
        <v>98.023341108176396</v>
      </c>
      <c r="BJ316">
        <v>74.744329466960991</v>
      </c>
      <c r="BK316">
        <v>57.458511227267799</v>
      </c>
      <c r="BL316">
        <v>44.986202176101003</v>
      </c>
      <c r="BM316">
        <v>36.191834155464299</v>
      </c>
      <c r="BN316">
        <v>37.6306228367838</v>
      </c>
      <c r="BO316">
        <v>39.052520156085798</v>
      </c>
      <c r="BP316">
        <v>40.451307569075702</v>
      </c>
      <c r="BQ316">
        <v>41.820773254992503</v>
      </c>
      <c r="BR316">
        <v>43.154486979507098</v>
      </c>
      <c r="BS316">
        <v>44.445912735186397</v>
      </c>
      <c r="BT316">
        <v>45.6885682926751</v>
      </c>
      <c r="BU316">
        <v>46.876076734245601</v>
      </c>
      <c r="BV316">
        <v>48.002355495231399</v>
      </c>
      <c r="BW316">
        <v>49.0614751935776</v>
      </c>
      <c r="BX316">
        <v>50.047627432414998</v>
      </c>
      <c r="BY316">
        <v>51.054156536787502</v>
      </c>
      <c r="BZ316">
        <v>52.081481679462897</v>
      </c>
      <c r="CA316">
        <v>53.1301299114362</v>
      </c>
      <c r="CB316">
        <v>54.200660082788097</v>
      </c>
      <c r="CC316">
        <v>55.293315855388499</v>
      </c>
      <c r="CD316">
        <v>56.408503494128297</v>
      </c>
      <c r="CE316">
        <v>57.546935265273603</v>
      </c>
      <c r="CF316">
        <v>58.709015474713802</v>
      </c>
      <c r="CG316">
        <v>59.895288093635997</v>
      </c>
      <c r="CH316">
        <v>61.106243178929702</v>
      </c>
      <c r="CI316">
        <v>62.342330880468303</v>
      </c>
      <c r="CJ316">
        <v>63.604139916770087</v>
      </c>
      <c r="CK316">
        <v>64.892225751071493</v>
      </c>
      <c r="CL316">
        <v>66.206978735613689</v>
      </c>
    </row>
    <row r="317" spans="4:90" x14ac:dyDescent="0.2">
      <c r="D317" t="s">
        <v>0</v>
      </c>
      <c r="F317" t="s">
        <v>1</v>
      </c>
      <c r="G317" t="s">
        <v>35</v>
      </c>
      <c r="H317" t="s">
        <v>38</v>
      </c>
      <c r="L317" t="s">
        <v>37</v>
      </c>
      <c r="N317" t="s">
        <v>6</v>
      </c>
      <c r="O317">
        <v>1506.8232</v>
      </c>
      <c r="P317">
        <v>1506.8232</v>
      </c>
      <c r="Q317">
        <v>1603.9989</v>
      </c>
      <c r="R317">
        <v>1654.9443000000001</v>
      </c>
      <c r="S317">
        <v>1740.8205</v>
      </c>
      <c r="T317">
        <v>1726.173</v>
      </c>
      <c r="U317">
        <v>1853.0900999999999</v>
      </c>
      <c r="V317">
        <v>2031.3153</v>
      </c>
      <c r="W317">
        <v>2029.8087</v>
      </c>
      <c r="X317">
        <v>2079.5544</v>
      </c>
      <c r="Y317">
        <v>2144.9798999999998</v>
      </c>
      <c r="Z317">
        <v>2212.6095</v>
      </c>
      <c r="AA317">
        <v>2282.2757999999999</v>
      </c>
      <c r="AB317">
        <v>2407.2678000000001</v>
      </c>
      <c r="AC317">
        <v>2428.6113</v>
      </c>
      <c r="AD317">
        <v>2505.42</v>
      </c>
      <c r="AE317">
        <v>2584.7118</v>
      </c>
      <c r="AF317">
        <v>2666.3472000000002</v>
      </c>
      <c r="AG317">
        <v>2574.9747000000002</v>
      </c>
      <c r="AH317">
        <v>2837.43</v>
      </c>
      <c r="AI317">
        <v>3161.3490000000002</v>
      </c>
      <c r="AJ317">
        <v>2935.1358</v>
      </c>
      <c r="AK317">
        <v>2935.1637000000001</v>
      </c>
      <c r="AL317">
        <v>3099.1320000000001</v>
      </c>
      <c r="AM317">
        <v>3083.3406</v>
      </c>
      <c r="AN317">
        <v>2821.5983020181402</v>
      </c>
      <c r="AO317">
        <v>2807.5176683939399</v>
      </c>
      <c r="AP317">
        <v>2897.66993443915</v>
      </c>
      <c r="AQ317">
        <v>2995.1333962693898</v>
      </c>
      <c r="AR317">
        <v>3100.4467902359402</v>
      </c>
      <c r="AS317">
        <v>3212.5845778028602</v>
      </c>
      <c r="AT317">
        <v>3332.9195562174</v>
      </c>
      <c r="AU317">
        <v>3435.9316310657</v>
      </c>
      <c r="AV317">
        <v>3529.80862673511</v>
      </c>
      <c r="AW317">
        <v>3603.70184097016</v>
      </c>
      <c r="AX317">
        <v>3639.137043228</v>
      </c>
      <c r="AY317">
        <v>3607.7681660613598</v>
      </c>
      <c r="AZ317">
        <v>3503.3426618755402</v>
      </c>
      <c r="BA317">
        <v>3309.74552346066</v>
      </c>
      <c r="BB317">
        <v>3020.5101630112299</v>
      </c>
      <c r="BC317">
        <v>2646.2907890186102</v>
      </c>
      <c r="BD317">
        <v>2217.1764400883699</v>
      </c>
      <c r="BE317">
        <v>1775.75059218363</v>
      </c>
      <c r="BF317">
        <v>1363.4526913234299</v>
      </c>
      <c r="BG317">
        <v>1008.67874187731</v>
      </c>
      <c r="BH317">
        <v>722.13228750063695</v>
      </c>
      <c r="BI317">
        <v>502.36439047847801</v>
      </c>
      <c r="BJ317">
        <v>339.57255114446599</v>
      </c>
      <c r="BK317">
        <v>222.76534245270801</v>
      </c>
      <c r="BL317">
        <v>140.47733141488499</v>
      </c>
      <c r="BM317">
        <v>83.210023136516597</v>
      </c>
      <c r="BN317">
        <v>85.222507337036689</v>
      </c>
      <c r="BO317">
        <v>87.235093529500801</v>
      </c>
      <c r="BP317">
        <v>89.24360873467981</v>
      </c>
      <c r="BQ317">
        <v>91.238846732881498</v>
      </c>
      <c r="BR317">
        <v>93.218265467614302</v>
      </c>
      <c r="BS317">
        <v>95.182972427801701</v>
      </c>
      <c r="BT317">
        <v>97.132998133953194</v>
      </c>
      <c r="BU317">
        <v>99.067373766406106</v>
      </c>
      <c r="BV317">
        <v>100.978485262666</v>
      </c>
      <c r="BW317">
        <v>102.860239995448</v>
      </c>
      <c r="BX317">
        <v>104.71154807965399</v>
      </c>
      <c r="BY317">
        <v>106.57308170290899</v>
      </c>
      <c r="BZ317">
        <v>108.44474180902201</v>
      </c>
      <c r="CA317">
        <v>110.32234177161099</v>
      </c>
      <c r="CB317">
        <v>112.200793563571</v>
      </c>
      <c r="CC317">
        <v>114.088416647325</v>
      </c>
      <c r="CD317">
        <v>115.98714504066299</v>
      </c>
      <c r="CE317">
        <v>117.886807717373</v>
      </c>
      <c r="CF317">
        <v>119.790278619695</v>
      </c>
      <c r="CG317">
        <v>121.695160978651</v>
      </c>
      <c r="CH317">
        <v>123.601677806438</v>
      </c>
      <c r="CI317">
        <v>125.51207419863</v>
      </c>
      <c r="CJ317">
        <v>127.423459913286</v>
      </c>
      <c r="CK317">
        <v>129.33475099715</v>
      </c>
      <c r="CL317">
        <v>131.2518366285</v>
      </c>
    </row>
    <row r="318" spans="4:90" x14ac:dyDescent="0.2">
      <c r="D318" t="s">
        <v>0</v>
      </c>
      <c r="F318" t="s">
        <v>1</v>
      </c>
      <c r="G318" t="s">
        <v>35</v>
      </c>
      <c r="H318" t="s">
        <v>38</v>
      </c>
      <c r="L318" t="s">
        <v>37</v>
      </c>
      <c r="N318" t="s">
        <v>7</v>
      </c>
      <c r="O318">
        <v>93.631</v>
      </c>
      <c r="P318">
        <v>93.631</v>
      </c>
      <c r="Q318">
        <v>104.931</v>
      </c>
      <c r="R318">
        <v>128.51599999999999</v>
      </c>
      <c r="S318">
        <v>111.69</v>
      </c>
      <c r="T318">
        <v>115.485</v>
      </c>
      <c r="U318">
        <v>135.05000000000001</v>
      </c>
      <c r="V318">
        <v>135.911</v>
      </c>
      <c r="W318">
        <v>135.911</v>
      </c>
      <c r="X318">
        <v>105.316</v>
      </c>
      <c r="Y318">
        <v>86.063999999999993</v>
      </c>
      <c r="Z318">
        <v>93.945999999999998</v>
      </c>
      <c r="AA318">
        <v>78.474999999999994</v>
      </c>
      <c r="AB318">
        <v>137.85300000000001</v>
      </c>
      <c r="AC318">
        <v>161.75399999999999</v>
      </c>
      <c r="AD318">
        <v>133.11600000000001</v>
      </c>
      <c r="AE318">
        <v>176.39699999999999</v>
      </c>
      <c r="AF318">
        <v>174.52</v>
      </c>
      <c r="AG318">
        <v>111.93899999999999</v>
      </c>
      <c r="AH318">
        <v>131.52199999999999</v>
      </c>
      <c r="AI318">
        <v>155.762</v>
      </c>
      <c r="AJ318">
        <v>167.34399999999999</v>
      </c>
      <c r="AK318">
        <v>173.274</v>
      </c>
      <c r="AL318">
        <v>135.779</v>
      </c>
      <c r="AM318">
        <v>134.14699999999999</v>
      </c>
      <c r="AN318">
        <v>244.73382868094899</v>
      </c>
      <c r="AO318">
        <v>379.45215682592197</v>
      </c>
      <c r="AP318">
        <v>391.63675398044899</v>
      </c>
      <c r="AQ318">
        <v>404.809501286564</v>
      </c>
      <c r="AR318">
        <v>419.04321206001202</v>
      </c>
      <c r="AS318">
        <v>434.19927887055297</v>
      </c>
      <c r="AT318">
        <v>450.46324316008901</v>
      </c>
      <c r="AU318">
        <v>558.63754780629904</v>
      </c>
      <c r="AV318">
        <v>721.44217838129794</v>
      </c>
      <c r="AW318">
        <v>966.08603718896404</v>
      </c>
      <c r="AX318">
        <v>1328.8540948740599</v>
      </c>
      <c r="AY318">
        <v>1851.23845408754</v>
      </c>
      <c r="AZ318">
        <v>2588.0174798354301</v>
      </c>
      <c r="BA318">
        <v>3583.8701965826299</v>
      </c>
      <c r="BB318">
        <v>4856.8261549415402</v>
      </c>
      <c r="BC318">
        <v>6377.6836708634301</v>
      </c>
      <c r="BD318">
        <v>8063.5169909469714</v>
      </c>
      <c r="BE318">
        <v>9796.88929273758</v>
      </c>
      <c r="BF318">
        <v>11463.5175890747</v>
      </c>
      <c r="BG318">
        <v>12985.126086927599</v>
      </c>
      <c r="BH318">
        <v>14315.5226507838</v>
      </c>
      <c r="BI318">
        <v>15457.1173156369</v>
      </c>
      <c r="BJ318">
        <v>16409.150957562499</v>
      </c>
      <c r="BK318">
        <v>17225.503535924101</v>
      </c>
      <c r="BL318">
        <v>17935.492318008</v>
      </c>
      <c r="BM318">
        <v>18562.673381452201</v>
      </c>
      <c r="BN318">
        <v>19011.6227446593</v>
      </c>
      <c r="BO318">
        <v>19460.594860451602</v>
      </c>
      <c r="BP318">
        <v>19908.658811524601</v>
      </c>
      <c r="BQ318">
        <v>20353.760854317101</v>
      </c>
      <c r="BR318">
        <v>20795.333901324801</v>
      </c>
      <c r="BS318">
        <v>21233.625013591402</v>
      </c>
      <c r="BT318">
        <v>21668.6409996984</v>
      </c>
      <c r="BU318">
        <v>22100.165733243499</v>
      </c>
      <c r="BV318">
        <v>22526.5006525645</v>
      </c>
      <c r="BW318">
        <v>22946.286601083299</v>
      </c>
      <c r="BX318">
        <v>23359.2804448559</v>
      </c>
      <c r="BY318">
        <v>23774.555424173999</v>
      </c>
      <c r="BZ318">
        <v>24192.089441366599</v>
      </c>
      <c r="CA318">
        <v>24610.948534692099</v>
      </c>
      <c r="CB318">
        <v>25029.997655971201</v>
      </c>
      <c r="CC318">
        <v>25451.092729019299</v>
      </c>
      <c r="CD318">
        <v>25874.665198742099</v>
      </c>
      <c r="CE318">
        <v>26298.446090436399</v>
      </c>
      <c r="CF318">
        <v>26723.076529403301</v>
      </c>
      <c r="CG318">
        <v>27148.021839193501</v>
      </c>
      <c r="CH318">
        <v>27573.331769853899</v>
      </c>
      <c r="CI318">
        <v>27999.507162200502</v>
      </c>
      <c r="CJ318">
        <v>28425.903254759101</v>
      </c>
      <c r="CK318">
        <v>28852.278236874499</v>
      </c>
      <c r="CL318">
        <v>29279.9458792767</v>
      </c>
    </row>
    <row r="319" spans="4:90" x14ac:dyDescent="0.2">
      <c r="D319" t="s">
        <v>0</v>
      </c>
      <c r="F319" t="s">
        <v>1</v>
      </c>
      <c r="G319" t="s">
        <v>35</v>
      </c>
      <c r="H319" t="s">
        <v>38</v>
      </c>
      <c r="L319" t="s">
        <v>37</v>
      </c>
      <c r="N319" t="s">
        <v>8</v>
      </c>
      <c r="O319">
        <v>192.465</v>
      </c>
      <c r="P319">
        <v>192.465</v>
      </c>
      <c r="Q319">
        <v>204.75</v>
      </c>
      <c r="R319">
        <v>211.30199999999999</v>
      </c>
      <c r="S319">
        <v>222.22200000000001</v>
      </c>
      <c r="T319">
        <v>220.03800000000001</v>
      </c>
      <c r="U319">
        <v>236.41800000000001</v>
      </c>
      <c r="V319">
        <v>258.80399999999997</v>
      </c>
      <c r="W319">
        <v>258.53100000000001</v>
      </c>
      <c r="X319">
        <v>264.53699999999998</v>
      </c>
      <c r="Y319">
        <v>272.72699999999998</v>
      </c>
      <c r="Z319">
        <v>281.46300000000002</v>
      </c>
      <c r="AA319">
        <v>290.19900000000001</v>
      </c>
      <c r="AB319">
        <v>302.21100000000001</v>
      </c>
      <c r="AC319">
        <v>309.30900000000003</v>
      </c>
      <c r="AD319">
        <v>318.86399999999998</v>
      </c>
      <c r="AE319">
        <v>329.238</v>
      </c>
      <c r="AF319">
        <v>339.61200000000002</v>
      </c>
      <c r="AG319">
        <v>320.50200000000001</v>
      </c>
      <c r="AH319">
        <v>361.452</v>
      </c>
      <c r="AI319">
        <v>391.755</v>
      </c>
      <c r="AJ319">
        <v>362.27100000000002</v>
      </c>
      <c r="AK319">
        <v>362.27100000000002</v>
      </c>
      <c r="AL319">
        <v>381.92700000000002</v>
      </c>
      <c r="AM319">
        <v>377.01299999999998</v>
      </c>
      <c r="AN319">
        <v>380.73851473972701</v>
      </c>
      <c r="AO319">
        <v>379.09791346516289</v>
      </c>
      <c r="AP319">
        <v>391.27113550278</v>
      </c>
      <c r="AQ319">
        <v>404.43158518930801</v>
      </c>
      <c r="AR319">
        <v>418.65200786450703</v>
      </c>
      <c r="AS319">
        <v>433.793925497224</v>
      </c>
      <c r="AT319">
        <v>450.04270631431001</v>
      </c>
      <c r="AU319">
        <v>464.03698952589798</v>
      </c>
      <c r="AV319">
        <v>476.84791510229701</v>
      </c>
      <c r="AW319">
        <v>487.03632818503098</v>
      </c>
      <c r="AX319">
        <v>492.14247454656697</v>
      </c>
      <c r="AY319">
        <v>488.379482008634</v>
      </c>
      <c r="AZ319">
        <v>474.95300311338298</v>
      </c>
      <c r="BA319">
        <v>449.72909739481702</v>
      </c>
      <c r="BB319">
        <v>411.85155336925698</v>
      </c>
      <c r="BC319">
        <v>362.73149822564397</v>
      </c>
      <c r="BD319">
        <v>306.35375166477098</v>
      </c>
      <c r="BE319">
        <v>248.35775656444099</v>
      </c>
      <c r="BF319">
        <v>194.23144782354001</v>
      </c>
      <c r="BG319">
        <v>147.73541498012801</v>
      </c>
      <c r="BH319">
        <v>110.272189158597</v>
      </c>
      <c r="BI319">
        <v>81.648460120944804</v>
      </c>
      <c r="BJ319">
        <v>60.541108364567599</v>
      </c>
      <c r="BK319">
        <v>45.515666034776402</v>
      </c>
      <c r="BL319">
        <v>35.051668821948198</v>
      </c>
      <c r="BM319">
        <v>27.888836953921</v>
      </c>
      <c r="BN319">
        <v>28.563345163689998</v>
      </c>
      <c r="BO319">
        <v>29.237887557281901</v>
      </c>
      <c r="BP319">
        <v>29.911065510673499</v>
      </c>
      <c r="BQ319">
        <v>30.579793448951101</v>
      </c>
      <c r="BR319">
        <v>31.243219371401899</v>
      </c>
      <c r="BS319">
        <v>31.901714466217602</v>
      </c>
      <c r="BT319">
        <v>32.555288962713099</v>
      </c>
      <c r="BU319">
        <v>33.203618149361787</v>
      </c>
      <c r="BV319">
        <v>33.8441500818249</v>
      </c>
      <c r="BW319">
        <v>34.474842743017199</v>
      </c>
      <c r="BX319">
        <v>35.095330844879399</v>
      </c>
      <c r="BY319">
        <v>35.719246158759603</v>
      </c>
      <c r="BZ319">
        <v>36.3465554847878</v>
      </c>
      <c r="CA319">
        <v>36.975855624933303</v>
      </c>
      <c r="CB319">
        <v>37.6054412659064</v>
      </c>
      <c r="CC319">
        <v>38.238100775289098</v>
      </c>
      <c r="CD319">
        <v>38.874482362333097</v>
      </c>
      <c r="CE319">
        <v>39.511177085651099</v>
      </c>
      <c r="CF319">
        <v>40.149148181444502</v>
      </c>
      <c r="CG319">
        <v>40.787592343852502</v>
      </c>
      <c r="CH319">
        <v>41.426584318086398</v>
      </c>
      <c r="CI319">
        <v>42.066876574847299</v>
      </c>
      <c r="CJ319">
        <v>42.707500414893801</v>
      </c>
      <c r="CK319">
        <v>43.3480925382962</v>
      </c>
      <c r="CL319">
        <v>43.990626773765797</v>
      </c>
    </row>
    <row r="320" spans="4:90" x14ac:dyDescent="0.2">
      <c r="D320" t="s">
        <v>0</v>
      </c>
      <c r="F320" t="s">
        <v>1</v>
      </c>
      <c r="G320" t="s">
        <v>35</v>
      </c>
      <c r="H320" t="s">
        <v>39</v>
      </c>
      <c r="L320" t="s">
        <v>16</v>
      </c>
      <c r="N320" t="s">
        <v>6</v>
      </c>
      <c r="O320">
        <v>0.1116</v>
      </c>
      <c r="P320">
        <v>0.1116</v>
      </c>
      <c r="Q320">
        <v>0.13950000000000001</v>
      </c>
      <c r="R320">
        <v>0.13950000000000001</v>
      </c>
      <c r="S320">
        <v>0.16739999999999999</v>
      </c>
      <c r="T320">
        <v>0.1953</v>
      </c>
      <c r="U320">
        <v>0.1953</v>
      </c>
      <c r="V320">
        <v>0.22320000000000001</v>
      </c>
      <c r="W320">
        <v>0.22320000000000001</v>
      </c>
      <c r="X320">
        <v>0.25109999999999999</v>
      </c>
      <c r="Y320">
        <v>0.30690000000000001</v>
      </c>
      <c r="Z320">
        <v>0.41849999999999998</v>
      </c>
      <c r="AA320">
        <v>0.44640000000000002</v>
      </c>
      <c r="AB320">
        <v>0.50219999999999998</v>
      </c>
      <c r="AC320">
        <v>0.55799999999999994</v>
      </c>
      <c r="AD320">
        <v>0.6137999999999999</v>
      </c>
      <c r="AE320">
        <v>0.64169999999999994</v>
      </c>
      <c r="AF320">
        <v>0.6137999999999999</v>
      </c>
      <c r="AG320">
        <v>0.58589999999999998</v>
      </c>
      <c r="AH320">
        <v>0.97650000000000003</v>
      </c>
      <c r="AI320">
        <v>0.69750000000000001</v>
      </c>
      <c r="AJ320">
        <v>1.0881000000000001</v>
      </c>
      <c r="AK320">
        <v>1.1438999999999999</v>
      </c>
      <c r="AL320">
        <v>0.69750000000000001</v>
      </c>
      <c r="AM320">
        <v>1.9809000000000001</v>
      </c>
      <c r="AN320">
        <v>0.86739604658589997</v>
      </c>
      <c r="AO320">
        <v>0.89106611629489996</v>
      </c>
      <c r="AP320">
        <v>0.89841433777199997</v>
      </c>
      <c r="AQ320">
        <v>0.90115985706159996</v>
      </c>
      <c r="AR320">
        <v>0.93306758559890002</v>
      </c>
      <c r="AS320">
        <v>0.96910319397919997</v>
      </c>
      <c r="AT320">
        <v>1.0120913961588001</v>
      </c>
      <c r="AU320">
        <v>1.1586804781782001</v>
      </c>
      <c r="AV320">
        <v>1.3727334800618001</v>
      </c>
      <c r="AW320">
        <v>1.6866913776254</v>
      </c>
      <c r="AX320">
        <v>2.1458443629013999</v>
      </c>
      <c r="AY320">
        <v>2.8078785598096001</v>
      </c>
      <c r="AZ320">
        <v>3.7393438534877999</v>
      </c>
      <c r="BA320">
        <v>4.9974118033141002</v>
      </c>
      <c r="BB320">
        <v>6.6032186330139</v>
      </c>
      <c r="BC320">
        <v>8.5132729443071007</v>
      </c>
      <c r="BD320">
        <v>10.610309080998899</v>
      </c>
      <c r="BE320">
        <v>12.729942862931599</v>
      </c>
      <c r="BF320">
        <v>14.713335665599899</v>
      </c>
      <c r="BG320">
        <v>16.453345251337701</v>
      </c>
      <c r="BH320">
        <v>17.905628368932501</v>
      </c>
      <c r="BI320">
        <v>19.080274683847598</v>
      </c>
      <c r="BJ320">
        <v>20.0141476269566</v>
      </c>
      <c r="BK320">
        <v>20.756823912873099</v>
      </c>
      <c r="BL320">
        <v>21.333951800786899</v>
      </c>
      <c r="BM320">
        <v>21.735087043844299</v>
      </c>
      <c r="BN320">
        <v>21.987087196508</v>
      </c>
      <c r="BO320">
        <v>22.263365992555102</v>
      </c>
      <c r="BP320">
        <v>22.5596250987779</v>
      </c>
      <c r="BQ320">
        <v>22.870817053979899</v>
      </c>
      <c r="BR320">
        <v>23.193317051785201</v>
      </c>
      <c r="BS320">
        <v>23.523626228633699</v>
      </c>
      <c r="BT320">
        <v>23.859289008285899</v>
      </c>
      <c r="BU320">
        <v>24.198558505106401</v>
      </c>
      <c r="BV320">
        <v>24.539878896823598</v>
      </c>
      <c r="BW320">
        <v>24.8818823453066</v>
      </c>
      <c r="BX320">
        <v>25.223519105285401</v>
      </c>
      <c r="BY320">
        <v>25.568519430341901</v>
      </c>
      <c r="BZ320">
        <v>25.918636184206701</v>
      </c>
      <c r="CA320">
        <v>26.274801669568198</v>
      </c>
      <c r="CB320">
        <v>26.6373687254281</v>
      </c>
      <c r="CC320">
        <v>27.007004363819501</v>
      </c>
      <c r="CD320">
        <v>27.384033601075998</v>
      </c>
      <c r="CE320">
        <v>27.767648191347</v>
      </c>
      <c r="CF320">
        <v>28.158197383904799</v>
      </c>
      <c r="CG320">
        <v>28.5557157648459</v>
      </c>
      <c r="CH320">
        <v>28.960208866240698</v>
      </c>
      <c r="CI320">
        <v>29.371729790219302</v>
      </c>
      <c r="CJ320">
        <v>29.791703837197499</v>
      </c>
      <c r="CK320">
        <v>30.224969944501701</v>
      </c>
      <c r="CL320">
        <v>30.674671650430501</v>
      </c>
    </row>
    <row r="321" spans="4:90" x14ac:dyDescent="0.2">
      <c r="D321" t="s">
        <v>0</v>
      </c>
      <c r="F321" t="s">
        <v>1</v>
      </c>
      <c r="G321" t="s">
        <v>35</v>
      </c>
      <c r="H321" t="s">
        <v>39</v>
      </c>
      <c r="L321" t="s">
        <v>16</v>
      </c>
      <c r="N321" t="s">
        <v>7</v>
      </c>
      <c r="O321">
        <v>32.606999999999999</v>
      </c>
      <c r="P321">
        <v>32.606999999999999</v>
      </c>
      <c r="Q321">
        <v>34.021999999999998</v>
      </c>
      <c r="R321">
        <v>40.497999999999998</v>
      </c>
      <c r="S321">
        <v>47.002000000000002</v>
      </c>
      <c r="T321">
        <v>48.636000000000003</v>
      </c>
      <c r="U321">
        <v>49.866</v>
      </c>
      <c r="V321">
        <v>59.673999999999999</v>
      </c>
      <c r="W321">
        <v>59.725000000000001</v>
      </c>
      <c r="X321">
        <v>68.245999999999995</v>
      </c>
      <c r="Y321">
        <v>83.578999999999994</v>
      </c>
      <c r="Z321">
        <v>109.17700000000001</v>
      </c>
      <c r="AA321">
        <v>121.38200000000001</v>
      </c>
      <c r="AB321">
        <v>136.624</v>
      </c>
      <c r="AC321">
        <v>148.702</v>
      </c>
      <c r="AD321">
        <v>164.102</v>
      </c>
      <c r="AE321">
        <v>172.131</v>
      </c>
      <c r="AF321">
        <v>165.309</v>
      </c>
      <c r="AG321">
        <v>153.239</v>
      </c>
      <c r="AH321">
        <v>255.10300000000001</v>
      </c>
      <c r="AI321">
        <v>173.804</v>
      </c>
      <c r="AJ321">
        <v>273.45800000000003</v>
      </c>
      <c r="AK321">
        <v>284.38400000000001</v>
      </c>
      <c r="AL321">
        <v>179.82400000000001</v>
      </c>
      <c r="AM321">
        <v>508.23099999999999</v>
      </c>
      <c r="AN321">
        <v>646.54224341132203</v>
      </c>
      <c r="AO321">
        <v>664.185510326903</v>
      </c>
      <c r="AP321">
        <v>669.66274949292108</v>
      </c>
      <c r="AQ321">
        <v>671.70921282166796</v>
      </c>
      <c r="AR321">
        <v>695.49269035981399</v>
      </c>
      <c r="AS321">
        <v>722.35301924489909</v>
      </c>
      <c r="AT321">
        <v>754.39569316166296</v>
      </c>
      <c r="AU321">
        <v>789.58334159717504</v>
      </c>
      <c r="AV321">
        <v>828.93243476214991</v>
      </c>
      <c r="AW321">
        <v>871.16485316685794</v>
      </c>
      <c r="AX321">
        <v>914.29436824045695</v>
      </c>
      <c r="AY321">
        <v>955.51148542875796</v>
      </c>
      <c r="AZ321">
        <v>992.33394789315298</v>
      </c>
      <c r="BA321">
        <v>1022.09637737534</v>
      </c>
      <c r="BB321">
        <v>1042.97926226148</v>
      </c>
      <c r="BC321">
        <v>1054.7663270283899</v>
      </c>
      <c r="BD321">
        <v>1059.1492071913201</v>
      </c>
      <c r="BE321">
        <v>1059.2043756273399</v>
      </c>
      <c r="BF321">
        <v>1058.2497315291</v>
      </c>
      <c r="BG321">
        <v>1058.79919765772</v>
      </c>
      <c r="BH321">
        <v>1061.9187716438801</v>
      </c>
      <c r="BI321">
        <v>1067.77447005522</v>
      </c>
      <c r="BJ321">
        <v>1075.81915123611</v>
      </c>
      <c r="BK321">
        <v>1085.5123470425001</v>
      </c>
      <c r="BL321">
        <v>1095.2449813461899</v>
      </c>
      <c r="BM321">
        <v>1102.1389122545299</v>
      </c>
      <c r="BN321">
        <v>1114.9172909923</v>
      </c>
      <c r="BO321">
        <v>1128.9267868429599</v>
      </c>
      <c r="BP321">
        <v>1143.94944069382</v>
      </c>
      <c r="BQ321">
        <v>1159.72930678392</v>
      </c>
      <c r="BR321">
        <v>1176.0825790789099</v>
      </c>
      <c r="BS321">
        <v>1192.8318378302199</v>
      </c>
      <c r="BT321">
        <v>1209.8525661164099</v>
      </c>
      <c r="BU321">
        <v>1227.05618317268</v>
      </c>
      <c r="BV321">
        <v>1244.36379664112</v>
      </c>
      <c r="BW321">
        <v>1261.70604643004</v>
      </c>
      <c r="BX321">
        <v>1279.0297022437701</v>
      </c>
      <c r="BY321">
        <v>1296.52391711479</v>
      </c>
      <c r="BZ321">
        <v>1314.2775749441</v>
      </c>
      <c r="CA321">
        <v>1332.3379507699301</v>
      </c>
      <c r="CB321">
        <v>1350.72293628936</v>
      </c>
      <c r="CC321">
        <v>1369.46635422946</v>
      </c>
      <c r="CD321">
        <v>1388.5846854604199</v>
      </c>
      <c r="CE321">
        <v>1408.0369455959999</v>
      </c>
      <c r="CF321">
        <v>1427.84084430592</v>
      </c>
      <c r="CG321">
        <v>1447.9981353757901</v>
      </c>
      <c r="CH321">
        <v>1468.50909932483</v>
      </c>
      <c r="CI321">
        <v>1489.3764288463899</v>
      </c>
      <c r="CJ321">
        <v>1510.67239781942</v>
      </c>
      <c r="CK321">
        <v>1532.6423782136901</v>
      </c>
      <c r="CL321">
        <v>1555.4457720078599</v>
      </c>
    </row>
    <row r="322" spans="4:90" x14ac:dyDescent="0.2">
      <c r="D322" t="s">
        <v>0</v>
      </c>
      <c r="F322" t="s">
        <v>1</v>
      </c>
      <c r="G322" t="s">
        <v>35</v>
      </c>
      <c r="H322" t="s">
        <v>39</v>
      </c>
      <c r="L322" t="s">
        <v>16</v>
      </c>
      <c r="N322" t="s">
        <v>8</v>
      </c>
      <c r="O322">
        <v>0</v>
      </c>
      <c r="P322">
        <v>0</v>
      </c>
      <c r="Q322">
        <v>0</v>
      </c>
      <c r="R322">
        <v>0</v>
      </c>
      <c r="S322">
        <v>0</v>
      </c>
      <c r="T322">
        <v>0</v>
      </c>
      <c r="U322">
        <v>0</v>
      </c>
      <c r="V322">
        <v>0</v>
      </c>
      <c r="W322">
        <v>0</v>
      </c>
      <c r="X322">
        <v>0.27300000000000002</v>
      </c>
      <c r="Y322">
        <v>0.27300000000000002</v>
      </c>
      <c r="Z322">
        <v>0.27300000000000002</v>
      </c>
      <c r="AA322">
        <v>0.27300000000000002</v>
      </c>
      <c r="AB322">
        <v>0.27300000000000002</v>
      </c>
      <c r="AC322">
        <v>0.27300000000000002</v>
      </c>
      <c r="AD322">
        <v>0.27300000000000002</v>
      </c>
      <c r="AE322">
        <v>0.27300000000000002</v>
      </c>
      <c r="AF322">
        <v>0.27300000000000002</v>
      </c>
      <c r="AG322">
        <v>0.27300000000000002</v>
      </c>
      <c r="AH322">
        <v>0.54600000000000004</v>
      </c>
      <c r="AI322">
        <v>0.54600000000000004</v>
      </c>
      <c r="AJ322">
        <v>0.54600000000000004</v>
      </c>
      <c r="AK322">
        <v>0.54600000000000004</v>
      </c>
      <c r="AL322">
        <v>0.54600000000000004</v>
      </c>
      <c r="AM322">
        <v>1.0920000000000001</v>
      </c>
      <c r="AN322">
        <v>3.3873009728887999</v>
      </c>
      <c r="AO322">
        <v>3.4797358536675</v>
      </c>
      <c r="AP322">
        <v>3.5084316701356002</v>
      </c>
      <c r="AQ322">
        <v>3.5191533009260998</v>
      </c>
      <c r="AR322">
        <v>3.6437573734747999</v>
      </c>
      <c r="AS322">
        <v>3.7844813850791001</v>
      </c>
      <c r="AT322">
        <v>3.952356232605899</v>
      </c>
      <c r="AU322">
        <v>4.2174646890921004</v>
      </c>
      <c r="AV322">
        <v>4.554659393633</v>
      </c>
      <c r="AW322">
        <v>4.9849988118006001</v>
      </c>
      <c r="AX322">
        <v>5.5370446901039001</v>
      </c>
      <c r="AY322">
        <v>6.2460159420402999</v>
      </c>
      <c r="AZ322">
        <v>7.1556917963483997</v>
      </c>
      <c r="BA322">
        <v>8.3014709641923989</v>
      </c>
      <c r="BB322">
        <v>9.6929795520221997</v>
      </c>
      <c r="BC322">
        <v>11.293979455152</v>
      </c>
      <c r="BD322">
        <v>13.0161999447465</v>
      </c>
      <c r="BE322">
        <v>14.7388277237034</v>
      </c>
      <c r="BF322">
        <v>16.346557434755901</v>
      </c>
      <c r="BG322">
        <v>17.762756180597801</v>
      </c>
      <c r="BH322">
        <v>18.9558137141739</v>
      </c>
      <c r="BI322">
        <v>19.934617615584799</v>
      </c>
      <c r="BJ322">
        <v>20.7268527840125</v>
      </c>
      <c r="BK322">
        <v>21.370562527865602</v>
      </c>
      <c r="BL322">
        <v>21.879912483577598</v>
      </c>
      <c r="BM322">
        <v>22.234474510987301</v>
      </c>
      <c r="BN322">
        <v>22.492264643589898</v>
      </c>
      <c r="BO322">
        <v>22.7748912480406</v>
      </c>
      <c r="BP322">
        <v>23.077957232210299</v>
      </c>
      <c r="BQ322">
        <v>23.396299163945201</v>
      </c>
      <c r="BR322">
        <v>23.726208952966498</v>
      </c>
      <c r="BS322">
        <v>24.064107345485901</v>
      </c>
      <c r="BT322">
        <v>24.407482345705802</v>
      </c>
      <c r="BU322">
        <v>24.7545469313776</v>
      </c>
      <c r="BV322">
        <v>25.103709533505999</v>
      </c>
      <c r="BW322">
        <v>25.453570886378799</v>
      </c>
      <c r="BX322">
        <v>25.803057125676499</v>
      </c>
      <c r="BY322">
        <v>26.155984211649599</v>
      </c>
      <c r="BZ322">
        <v>26.514145281995201</v>
      </c>
      <c r="CA322">
        <v>26.878494060078602</v>
      </c>
      <c r="CB322">
        <v>27.249391491765099</v>
      </c>
      <c r="CC322">
        <v>27.627519914420201</v>
      </c>
      <c r="CD322">
        <v>28.013211811984998</v>
      </c>
      <c r="CE322">
        <v>28.4056403682739</v>
      </c>
      <c r="CF322">
        <v>28.8051628569436</v>
      </c>
      <c r="CG322">
        <v>29.2118146587448</v>
      </c>
      <c r="CH322">
        <v>29.6256014328529</v>
      </c>
      <c r="CI322">
        <v>30.046577501477799</v>
      </c>
      <c r="CJ322">
        <v>30.476200912876301</v>
      </c>
      <c r="CK322">
        <v>30.919421784267101</v>
      </c>
      <c r="CL322">
        <v>31.379455880189902</v>
      </c>
    </row>
    <row r="323" spans="4:90" x14ac:dyDescent="0.2">
      <c r="D323" t="s">
        <v>0</v>
      </c>
      <c r="F323" t="s">
        <v>1</v>
      </c>
      <c r="G323" t="s">
        <v>40</v>
      </c>
      <c r="L323" t="s">
        <v>41</v>
      </c>
      <c r="N323" t="s">
        <v>6</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row>
    <row r="324" spans="4:90" x14ac:dyDescent="0.2">
      <c r="D324" t="s">
        <v>0</v>
      </c>
      <c r="F324" t="s">
        <v>1</v>
      </c>
      <c r="G324" t="s">
        <v>40</v>
      </c>
      <c r="L324" t="s">
        <v>41</v>
      </c>
      <c r="N324" t="s">
        <v>7</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3.1850000000000001</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row>
    <row r="325" spans="4:90" x14ac:dyDescent="0.2">
      <c r="D325" t="s">
        <v>0</v>
      </c>
      <c r="F325" t="s">
        <v>1</v>
      </c>
      <c r="G325" t="s">
        <v>40</v>
      </c>
      <c r="L325" t="s">
        <v>41</v>
      </c>
      <c r="N325" t="s">
        <v>8</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row>
    <row r="326" spans="4:90" x14ac:dyDescent="0.2">
      <c r="D326" t="s">
        <v>0</v>
      </c>
      <c r="F326" t="s">
        <v>42</v>
      </c>
      <c r="G326" t="s">
        <v>43</v>
      </c>
      <c r="L326" t="s">
        <v>44</v>
      </c>
      <c r="N326" t="s">
        <v>6</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row>
    <row r="327" spans="4:90" x14ac:dyDescent="0.2">
      <c r="D327" t="s">
        <v>0</v>
      </c>
      <c r="F327" t="s">
        <v>42</v>
      </c>
      <c r="G327" t="s">
        <v>43</v>
      </c>
      <c r="L327" t="s">
        <v>44</v>
      </c>
      <c r="N327" t="s">
        <v>7</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row>
    <row r="328" spans="4:90" x14ac:dyDescent="0.2">
      <c r="D328" t="s">
        <v>0</v>
      </c>
      <c r="F328" t="s">
        <v>42</v>
      </c>
      <c r="G328" t="s">
        <v>43</v>
      </c>
      <c r="L328" t="s">
        <v>44</v>
      </c>
      <c r="N328" t="s">
        <v>8</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row>
    <row r="329" spans="4:90" x14ac:dyDescent="0.2">
      <c r="D329" t="s">
        <v>0</v>
      </c>
      <c r="F329" t="s">
        <v>42</v>
      </c>
      <c r="G329" t="s">
        <v>45</v>
      </c>
      <c r="H329" t="s">
        <v>46</v>
      </c>
      <c r="L329" t="s">
        <v>44</v>
      </c>
      <c r="N329" t="s">
        <v>6</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0.14756023641579999</v>
      </c>
      <c r="AO329">
        <v>0.1702316302836</v>
      </c>
      <c r="AP329">
        <v>0.19228136861799999</v>
      </c>
      <c r="AQ329">
        <v>0.2134289398384</v>
      </c>
      <c r="AR329">
        <v>0.2139770989757</v>
      </c>
      <c r="AS329">
        <v>0.21607121875679999</v>
      </c>
      <c r="AT329">
        <v>0.218265303464</v>
      </c>
      <c r="AU329">
        <v>4.5828029228603997</v>
      </c>
      <c r="AV329">
        <v>9.5891415067079997</v>
      </c>
      <c r="AW329">
        <v>15.3260761348541</v>
      </c>
      <c r="AX329">
        <v>21.779480261201499</v>
      </c>
      <c r="AY329">
        <v>22.957829198693499</v>
      </c>
      <c r="AZ329">
        <v>24.1417151214821</v>
      </c>
      <c r="BA329">
        <v>25.331898761935999</v>
      </c>
      <c r="BB329">
        <v>26.5356470929006</v>
      </c>
      <c r="BC329">
        <v>27.763528750100999</v>
      </c>
      <c r="BD329">
        <v>29.031415346382399</v>
      </c>
      <c r="BE329">
        <v>30.3567139295732</v>
      </c>
      <c r="BF329">
        <v>31.756501998155201</v>
      </c>
      <c r="BG329">
        <v>33.247349279687697</v>
      </c>
      <c r="BH329">
        <v>34.671234482410803</v>
      </c>
      <c r="BI329">
        <v>36.523536266349097</v>
      </c>
      <c r="BJ329">
        <v>38.303358742688602</v>
      </c>
      <c r="BK329">
        <v>39.973980205326697</v>
      </c>
      <c r="BL329">
        <v>41.505883449861301</v>
      </c>
      <c r="BM329">
        <v>42.867647384301897</v>
      </c>
      <c r="BN329">
        <v>44.0308486337075</v>
      </c>
      <c r="BO329">
        <v>45.152983059796398</v>
      </c>
      <c r="BP329">
        <v>46.224976342761913</v>
      </c>
      <c r="BQ329">
        <v>47.237837535103907</v>
      </c>
      <c r="BR329">
        <v>48.182444227489498</v>
      </c>
      <c r="BS329">
        <v>49.168054524364997</v>
      </c>
      <c r="BT329">
        <v>50.072187051157002</v>
      </c>
      <c r="BU329">
        <v>50.8867935492217</v>
      </c>
      <c r="BV329">
        <v>51.605839436341903</v>
      </c>
      <c r="BW329">
        <v>52.224140916421199</v>
      </c>
      <c r="BX329">
        <v>52.737036274328098</v>
      </c>
      <c r="BY329">
        <v>53.247314939848302</v>
      </c>
      <c r="BZ329">
        <v>53.755195005640502</v>
      </c>
      <c r="CA329">
        <v>54.261418594687598</v>
      </c>
      <c r="CB329">
        <v>54.7666820044942</v>
      </c>
      <c r="CC329">
        <v>55.272232174594301</v>
      </c>
      <c r="CD329">
        <v>55.778254748453598</v>
      </c>
      <c r="CE329">
        <v>56.287857516035302</v>
      </c>
      <c r="CF329">
        <v>56.803470101024899</v>
      </c>
      <c r="CG329">
        <v>57.328760605511803</v>
      </c>
      <c r="CH329">
        <v>57.868034047507301</v>
      </c>
      <c r="CI329">
        <v>58.426241677299807</v>
      </c>
      <c r="CJ329">
        <v>59.0094470089495</v>
      </c>
      <c r="CK329">
        <v>59.6239387501696</v>
      </c>
      <c r="CL329">
        <v>60.274813059143398</v>
      </c>
    </row>
    <row r="330" spans="4:90" x14ac:dyDescent="0.2">
      <c r="D330" t="s">
        <v>0</v>
      </c>
      <c r="F330" t="s">
        <v>42</v>
      </c>
      <c r="G330" t="s">
        <v>45</v>
      </c>
      <c r="H330" t="s">
        <v>46</v>
      </c>
      <c r="L330" t="s">
        <v>44</v>
      </c>
      <c r="N330" t="s">
        <v>7</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row>
    <row r="331" spans="4:90" x14ac:dyDescent="0.2">
      <c r="D331" t="s">
        <v>0</v>
      </c>
      <c r="F331" t="s">
        <v>42</v>
      </c>
      <c r="G331" t="s">
        <v>45</v>
      </c>
      <c r="H331" t="s">
        <v>46</v>
      </c>
      <c r="L331" t="s">
        <v>44</v>
      </c>
      <c r="N331" t="s">
        <v>8</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9.0905587145376207E-5</v>
      </c>
      <c r="AV331">
        <v>1.95010942726438E-4</v>
      </c>
      <c r="AW331">
        <v>3.1422769871051901E-4</v>
      </c>
      <c r="AX331">
        <v>4.4817599872984599E-4</v>
      </c>
      <c r="AY331">
        <v>4.7159178128716001E-4</v>
      </c>
      <c r="AZ331">
        <v>4.9465752760702504E-4</v>
      </c>
      <c r="BA331">
        <v>5.1728013221517496E-4</v>
      </c>
      <c r="BB331">
        <v>5.3955276615319698E-4</v>
      </c>
      <c r="BC331">
        <v>5.6174979572928309E-4</v>
      </c>
      <c r="BD331">
        <v>5.8437827858847801E-4</v>
      </c>
      <c r="BE331">
        <v>6.0806205565323303E-4</v>
      </c>
      <c r="BF331">
        <v>6.334153543063409E-4</v>
      </c>
      <c r="BG331">
        <v>6.6096231243771802E-4</v>
      </c>
      <c r="BH331">
        <v>6.8754680968462505E-4</v>
      </c>
      <c r="BI331">
        <v>7.2347430741675697E-4</v>
      </c>
      <c r="BJ331">
        <v>7.5828986755875497E-4</v>
      </c>
      <c r="BK331">
        <v>7.9117062041502405E-4</v>
      </c>
      <c r="BL331">
        <v>8.2144667343588603E-4</v>
      </c>
      <c r="BM331">
        <v>8.4843875130274698E-4</v>
      </c>
      <c r="BN331">
        <v>8.7173584989293793E-4</v>
      </c>
      <c r="BO331">
        <v>8.9416719522419799E-4</v>
      </c>
      <c r="BP331">
        <v>9.1554882597975006E-4</v>
      </c>
      <c r="BQ331">
        <v>9.3569874356490409E-4</v>
      </c>
      <c r="BR331">
        <v>9.544325898706731E-4</v>
      </c>
      <c r="BS331">
        <v>9.7404190651012904E-4</v>
      </c>
      <c r="BT331">
        <v>9.9197498986353214E-4</v>
      </c>
      <c r="BU331">
        <v>1.00806877414587E-3</v>
      </c>
      <c r="BV331">
        <v>1.02220207571989E-3</v>
      </c>
      <c r="BW331">
        <v>1.03427130990659E-3</v>
      </c>
      <c r="BX331">
        <v>1.0441835509435501E-3</v>
      </c>
      <c r="BY331">
        <v>1.0540242655707E-3</v>
      </c>
      <c r="BZ331">
        <v>1.0637969340738099E-3</v>
      </c>
      <c r="CA331">
        <v>1.0735163282586601E-3</v>
      </c>
      <c r="CB331">
        <v>1.0831965137499801E-3</v>
      </c>
      <c r="CC331">
        <v>1.0928629502994999E-3</v>
      </c>
      <c r="CD331">
        <v>1.1025190606153801E-3</v>
      </c>
      <c r="CE331">
        <v>1.11222974942461E-3</v>
      </c>
      <c r="CF331">
        <v>1.12204527380444E-3</v>
      </c>
      <c r="CG331">
        <v>1.1320418682239401E-3</v>
      </c>
      <c r="CH331">
        <v>1.14230908043268E-3</v>
      </c>
      <c r="CI331">
        <v>1.15294992918554E-3</v>
      </c>
      <c r="CJ331">
        <v>1.1640900142544E-3</v>
      </c>
      <c r="CK331">
        <v>1.1758580952931301E-3</v>
      </c>
      <c r="CL331">
        <v>1.1883588077813601E-3</v>
      </c>
    </row>
    <row r="332" spans="4:90" x14ac:dyDescent="0.2">
      <c r="D332" t="s">
        <v>0</v>
      </c>
      <c r="F332" t="s">
        <v>42</v>
      </c>
      <c r="G332" t="s">
        <v>45</v>
      </c>
      <c r="H332" t="s">
        <v>47</v>
      </c>
      <c r="L332" t="s">
        <v>44</v>
      </c>
      <c r="N332" t="s">
        <v>6</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11.7691924587422</v>
      </c>
      <c r="AO332">
        <v>11.845561546030799</v>
      </c>
      <c r="AP332">
        <v>11.9120496601286</v>
      </c>
      <c r="AQ332">
        <v>12.0034979137861</v>
      </c>
      <c r="AR332">
        <v>12.090701006795999</v>
      </c>
      <c r="AS332">
        <v>12.174498488815701</v>
      </c>
      <c r="AT332">
        <v>12.2541557553168</v>
      </c>
      <c r="AU332">
        <v>14.704511749390999</v>
      </c>
      <c r="AV332">
        <v>18.349125056008202</v>
      </c>
      <c r="AW332">
        <v>23.759208606732098</v>
      </c>
      <c r="AX332">
        <v>31.721513664818001</v>
      </c>
      <c r="AY332">
        <v>215.10321438413999</v>
      </c>
      <c r="AZ332">
        <v>384.78395428344089</v>
      </c>
      <c r="BA332">
        <v>564.12335528873405</v>
      </c>
      <c r="BB332">
        <v>757.03435789010302</v>
      </c>
      <c r="BC332">
        <v>963.00507337366605</v>
      </c>
      <c r="BD332">
        <v>1178.36049865519</v>
      </c>
      <c r="BE332">
        <v>1397.39907243567</v>
      </c>
      <c r="BF332">
        <v>1614.20614939489</v>
      </c>
      <c r="BG332">
        <v>1824.3481534662401</v>
      </c>
      <c r="BH332">
        <v>2024.5093753005301</v>
      </c>
      <c r="BI332">
        <v>2213.9532256623402</v>
      </c>
      <c r="BJ332">
        <v>2393.4922855650998</v>
      </c>
      <c r="BK332">
        <v>2564.1830398447</v>
      </c>
      <c r="BL332">
        <v>2727.3970614131299</v>
      </c>
      <c r="BM332">
        <v>2884.0719240406202</v>
      </c>
      <c r="BN332">
        <v>2901.9577189155498</v>
      </c>
      <c r="BO332">
        <v>2919.7780680921101</v>
      </c>
      <c r="BP332">
        <v>2937.4436505362</v>
      </c>
      <c r="BQ332">
        <v>2954.8656563668701</v>
      </c>
      <c r="BR332">
        <v>2971.95213154158</v>
      </c>
      <c r="BS332">
        <v>2988.6091769283198</v>
      </c>
      <c r="BT332">
        <v>3004.7437131931501</v>
      </c>
      <c r="BU332">
        <v>3020.2637760129801</v>
      </c>
      <c r="BV332">
        <v>3035.0811277222901</v>
      </c>
      <c r="BW332">
        <v>3049.1083533872702</v>
      </c>
      <c r="BX332">
        <v>3062.2579854896599</v>
      </c>
      <c r="BY332">
        <v>3075.77332895974</v>
      </c>
      <c r="BZ332">
        <v>3089.66094922204</v>
      </c>
      <c r="CA332">
        <v>3103.92896201451</v>
      </c>
      <c r="CB332">
        <v>3118.5858038035199</v>
      </c>
      <c r="CC332">
        <v>3133.6347110414599</v>
      </c>
      <c r="CD332">
        <v>3149.0816164889402</v>
      </c>
      <c r="CE332">
        <v>3164.9371858535001</v>
      </c>
      <c r="CF332">
        <v>3181.20737276408</v>
      </c>
      <c r="CG332">
        <v>3197.90038547722</v>
      </c>
      <c r="CH332">
        <v>3215.0235587626198</v>
      </c>
      <c r="CI332">
        <v>3232.5836440610001</v>
      </c>
      <c r="CJ332">
        <v>3250.5902467995102</v>
      </c>
      <c r="CK332">
        <v>3269.0537776986298</v>
      </c>
      <c r="CL332">
        <v>3287.9813895330099</v>
      </c>
    </row>
    <row r="333" spans="4:90" x14ac:dyDescent="0.2">
      <c r="D333" t="s">
        <v>0</v>
      </c>
      <c r="F333" t="s">
        <v>42</v>
      </c>
      <c r="G333" t="s">
        <v>45</v>
      </c>
      <c r="H333" t="s">
        <v>47</v>
      </c>
      <c r="L333" t="s">
        <v>44</v>
      </c>
      <c r="N333" t="s">
        <v>7</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row>
    <row r="334" spans="4:90" x14ac:dyDescent="0.2">
      <c r="D334" t="s">
        <v>0</v>
      </c>
      <c r="F334" t="s">
        <v>42</v>
      </c>
      <c r="G334" t="s">
        <v>45</v>
      </c>
      <c r="H334" t="s">
        <v>47</v>
      </c>
      <c r="L334" t="s">
        <v>44</v>
      </c>
      <c r="N334" t="s">
        <v>8</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5.2120640466546599E-17</v>
      </c>
      <c r="AP334">
        <v>0</v>
      </c>
      <c r="AQ334">
        <v>5.87780667956883E-17</v>
      </c>
      <c r="AR334">
        <v>0</v>
      </c>
      <c r="AS334">
        <v>0</v>
      </c>
      <c r="AT334">
        <v>0</v>
      </c>
      <c r="AU334">
        <v>0</v>
      </c>
      <c r="AV334">
        <v>0</v>
      </c>
      <c r="AW334">
        <v>0</v>
      </c>
      <c r="AX334">
        <v>0</v>
      </c>
      <c r="AY334">
        <v>9.3881137723146896E-3</v>
      </c>
      <c r="AZ334">
        <v>1.76928827327738E-2</v>
      </c>
      <c r="BA334">
        <v>2.6310619735519899E-2</v>
      </c>
      <c r="BB334">
        <v>3.5484078842755E-2</v>
      </c>
      <c r="BC334">
        <v>4.5242626174857997E-2</v>
      </c>
      <c r="BD334">
        <v>5.5479117660485112E-2</v>
      </c>
      <c r="BE334">
        <v>6.5989317496815608E-2</v>
      </c>
      <c r="BF334">
        <v>7.65367673638183E-2</v>
      </c>
      <c r="BG334">
        <v>8.69228499976753E-2</v>
      </c>
      <c r="BH334">
        <v>9.6981554484513302E-2</v>
      </c>
      <c r="BI334">
        <v>0.1066489349409</v>
      </c>
      <c r="BJ334">
        <v>0.1159306314546</v>
      </c>
      <c r="BK334">
        <v>0.1248499894812</v>
      </c>
      <c r="BL334">
        <v>0.13345083368310001</v>
      </c>
      <c r="BM334">
        <v>0.14176331627710001</v>
      </c>
      <c r="BN334">
        <v>0.14257301454919999</v>
      </c>
      <c r="BO334">
        <v>0.1433794516238</v>
      </c>
      <c r="BP334">
        <v>0.14417859562650001</v>
      </c>
      <c r="BQ334">
        <v>0.1449664432385</v>
      </c>
      <c r="BR334">
        <v>0.1457388540705</v>
      </c>
      <c r="BS334">
        <v>0.1464916046536</v>
      </c>
      <c r="BT334">
        <v>0.1472205129876</v>
      </c>
      <c r="BU334">
        <v>0.14792145128750001</v>
      </c>
      <c r="BV334">
        <v>0.1485904632542</v>
      </c>
      <c r="BW334">
        <v>0.1492236322114</v>
      </c>
      <c r="BX334">
        <v>0.1498170409813</v>
      </c>
      <c r="BY334">
        <v>0.1504268070193</v>
      </c>
      <c r="BZ334">
        <v>0.1510532162188</v>
      </c>
      <c r="CA334">
        <v>0.1516966240231</v>
      </c>
      <c r="CB334">
        <v>0.1523573999134</v>
      </c>
      <c r="CC334">
        <v>0.1530356785941</v>
      </c>
      <c r="CD334">
        <v>0.1537317160611</v>
      </c>
      <c r="CE334">
        <v>0.15444598118630001</v>
      </c>
      <c r="CF334">
        <v>0.1551787301276</v>
      </c>
      <c r="CG334">
        <v>0.15593032024430001</v>
      </c>
      <c r="CH334">
        <v>0.15670106918179999</v>
      </c>
      <c r="CI334">
        <v>0.15749126798740001</v>
      </c>
      <c r="CJ334">
        <v>0.15830133576720001</v>
      </c>
      <c r="CK334">
        <v>0.15913172738869999</v>
      </c>
      <c r="CL334">
        <v>0.15998275076970001</v>
      </c>
    </row>
    <row r="335" spans="4:90" x14ac:dyDescent="0.2">
      <c r="D335" t="s">
        <v>0</v>
      </c>
      <c r="K335" t="s">
        <v>48</v>
      </c>
      <c r="L335" t="s">
        <v>48</v>
      </c>
      <c r="N335" t="s">
        <v>6</v>
      </c>
      <c r="O335">
        <v>-99999</v>
      </c>
      <c r="P335">
        <v>-99999</v>
      </c>
      <c r="Q335">
        <v>-99999</v>
      </c>
      <c r="R335">
        <v>-99999</v>
      </c>
      <c r="S335">
        <v>-99999</v>
      </c>
      <c r="T335">
        <v>-99999</v>
      </c>
      <c r="U335">
        <v>-99999</v>
      </c>
      <c r="V335">
        <v>-99999</v>
      </c>
      <c r="W335">
        <v>-99999</v>
      </c>
      <c r="X335">
        <v>-99999</v>
      </c>
      <c r="Y335">
        <v>-99999</v>
      </c>
      <c r="Z335">
        <v>-99999</v>
      </c>
      <c r="AA335">
        <v>-99999</v>
      </c>
      <c r="AB335">
        <v>-99999</v>
      </c>
      <c r="AC335">
        <v>-99999</v>
      </c>
      <c r="AD335">
        <v>-99999</v>
      </c>
      <c r="AE335">
        <v>-99999</v>
      </c>
      <c r="AF335">
        <v>-99999</v>
      </c>
      <c r="AG335">
        <v>-99999</v>
      </c>
      <c r="AH335">
        <v>-99999</v>
      </c>
      <c r="AI335">
        <v>-99999</v>
      </c>
      <c r="AJ335">
        <v>-99999</v>
      </c>
      <c r="AK335">
        <v>-99999</v>
      </c>
      <c r="AL335">
        <v>-99999</v>
      </c>
      <c r="AM335">
        <v>-99999</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row>
    <row r="336" spans="4:90" x14ac:dyDescent="0.2">
      <c r="D336" t="s">
        <v>0</v>
      </c>
      <c r="K336" t="s">
        <v>48</v>
      </c>
      <c r="L336" t="s">
        <v>48</v>
      </c>
      <c r="N336" t="s">
        <v>7</v>
      </c>
      <c r="O336">
        <v>-99999</v>
      </c>
      <c r="P336">
        <v>-99999</v>
      </c>
      <c r="Q336">
        <v>-99999</v>
      </c>
      <c r="R336">
        <v>-99999</v>
      </c>
      <c r="S336">
        <v>-99999</v>
      </c>
      <c r="T336">
        <v>-99999</v>
      </c>
      <c r="U336">
        <v>-99999</v>
      </c>
      <c r="V336">
        <v>-99999</v>
      </c>
      <c r="W336">
        <v>-99999</v>
      </c>
      <c r="X336">
        <v>-99999</v>
      </c>
      <c r="Y336">
        <v>-99999</v>
      </c>
      <c r="Z336">
        <v>-99999</v>
      </c>
      <c r="AA336">
        <v>-99999</v>
      </c>
      <c r="AB336">
        <v>-99999</v>
      </c>
      <c r="AC336">
        <v>-99999</v>
      </c>
      <c r="AD336">
        <v>-99999</v>
      </c>
      <c r="AE336">
        <v>-99999</v>
      </c>
      <c r="AF336">
        <v>-99999</v>
      </c>
      <c r="AG336">
        <v>-99999</v>
      </c>
      <c r="AH336">
        <v>-99999</v>
      </c>
      <c r="AI336">
        <v>-99999</v>
      </c>
      <c r="AJ336">
        <v>-99999</v>
      </c>
      <c r="AK336">
        <v>-99999</v>
      </c>
      <c r="AL336">
        <v>-99999</v>
      </c>
      <c r="AM336">
        <v>-99999</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row>
    <row r="337" spans="4:90" x14ac:dyDescent="0.2">
      <c r="D337" t="s">
        <v>0</v>
      </c>
      <c r="K337" t="s">
        <v>48</v>
      </c>
      <c r="L337" t="s">
        <v>48</v>
      </c>
      <c r="N337" t="s">
        <v>8</v>
      </c>
      <c r="O337">
        <v>-99999</v>
      </c>
      <c r="P337">
        <v>-99999</v>
      </c>
      <c r="Q337">
        <v>-99999</v>
      </c>
      <c r="R337">
        <v>-99999</v>
      </c>
      <c r="S337">
        <v>-99999</v>
      </c>
      <c r="T337">
        <v>-99999</v>
      </c>
      <c r="U337">
        <v>-99999</v>
      </c>
      <c r="V337">
        <v>-99999</v>
      </c>
      <c r="W337">
        <v>-99999</v>
      </c>
      <c r="X337">
        <v>-99999</v>
      </c>
      <c r="Y337">
        <v>-99999</v>
      </c>
      <c r="Z337">
        <v>-99999</v>
      </c>
      <c r="AA337">
        <v>-99999</v>
      </c>
      <c r="AB337">
        <v>-99999</v>
      </c>
      <c r="AC337">
        <v>-99999</v>
      </c>
      <c r="AD337">
        <v>-99999</v>
      </c>
      <c r="AE337">
        <v>-99999</v>
      </c>
      <c r="AF337">
        <v>-99999</v>
      </c>
      <c r="AG337">
        <v>-99999</v>
      </c>
      <c r="AH337">
        <v>-99999</v>
      </c>
      <c r="AI337">
        <v>-99999</v>
      </c>
      <c r="AJ337">
        <v>-99999</v>
      </c>
      <c r="AK337">
        <v>-99999</v>
      </c>
      <c r="AL337">
        <v>-99999</v>
      </c>
      <c r="AM337">
        <v>-99999</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row>
    <row r="338" spans="4:90" x14ac:dyDescent="0.2">
      <c r="D338" t="s">
        <v>49</v>
      </c>
      <c r="F338" t="s">
        <v>50</v>
      </c>
      <c r="G338" t="s">
        <v>51</v>
      </c>
      <c r="L338" t="s">
        <v>52</v>
      </c>
      <c r="N338" t="s">
        <v>7</v>
      </c>
      <c r="O338">
        <v>100.09</v>
      </c>
      <c r="P338">
        <v>100.09</v>
      </c>
      <c r="Q338">
        <v>99.442999999999998</v>
      </c>
      <c r="R338">
        <v>99.034000000000006</v>
      </c>
      <c r="S338">
        <v>107.751</v>
      </c>
      <c r="T338">
        <v>114.167</v>
      </c>
      <c r="U338">
        <v>83.114999999999995</v>
      </c>
      <c r="V338">
        <v>146.976</v>
      </c>
      <c r="W338">
        <v>118.19799999999999</v>
      </c>
      <c r="X338">
        <v>161.94900000000001</v>
      </c>
      <c r="Y338">
        <v>161.565</v>
      </c>
      <c r="Z338">
        <v>165.02500000000001</v>
      </c>
      <c r="AA338">
        <v>135.22999999999999</v>
      </c>
      <c r="AB338">
        <v>188.59</v>
      </c>
      <c r="AC338">
        <v>208.20400000000001</v>
      </c>
      <c r="AD338">
        <v>263.24200000000002</v>
      </c>
      <c r="AE338">
        <v>402.67399999999998</v>
      </c>
      <c r="AF338">
        <v>316.14699999999999</v>
      </c>
      <c r="AG338">
        <v>364.59</v>
      </c>
      <c r="AH338">
        <v>414.51100000000002</v>
      </c>
      <c r="AI338">
        <v>356.46600000000001</v>
      </c>
      <c r="AJ338">
        <v>369.19</v>
      </c>
      <c r="AK338">
        <v>350.31799999999998</v>
      </c>
      <c r="AL338">
        <v>355.58199999999999</v>
      </c>
      <c r="AM338">
        <v>355.58199999999999</v>
      </c>
      <c r="AN338">
        <v>313.79508560339701</v>
      </c>
      <c r="AO338">
        <v>386.81432908173099</v>
      </c>
      <c r="AP338">
        <v>391.26337914639402</v>
      </c>
      <c r="AQ338">
        <v>398.033195388651</v>
      </c>
      <c r="AR338">
        <v>404.919643227731</v>
      </c>
      <c r="AS338">
        <v>411.92473201350401</v>
      </c>
      <c r="AT338">
        <v>419.050505713272</v>
      </c>
      <c r="AU338">
        <v>432.097873744097</v>
      </c>
      <c r="AV338">
        <v>445.549850048466</v>
      </c>
      <c r="AW338">
        <v>455.99450483949499</v>
      </c>
      <c r="AX338">
        <v>468.43530719059697</v>
      </c>
      <c r="AY338">
        <v>479.801259680567</v>
      </c>
      <c r="AZ338">
        <v>489.20156795425498</v>
      </c>
      <c r="BA338">
        <v>497.12418206434802</v>
      </c>
      <c r="BB338">
        <v>504.04930473726802</v>
      </c>
      <c r="BC338">
        <v>510.428765269037</v>
      </c>
      <c r="BD338">
        <v>516.67205815813895</v>
      </c>
      <c r="BE338">
        <v>523.13763672001596</v>
      </c>
      <c r="BF338">
        <v>530.12786655172499</v>
      </c>
      <c r="BG338">
        <v>537.88608313035604</v>
      </c>
      <c r="BH338">
        <v>546.59436982382306</v>
      </c>
      <c r="BI338">
        <v>556.37090979290906</v>
      </c>
      <c r="BJ338">
        <v>565.17986962932196</v>
      </c>
      <c r="BK338">
        <v>573.02399605179403</v>
      </c>
      <c r="BL338">
        <v>580.58609371192301</v>
      </c>
      <c r="BM338">
        <v>587.75461408090905</v>
      </c>
      <c r="BN338">
        <v>594.41367132766402</v>
      </c>
      <c r="BO338">
        <v>601.1415785802709</v>
      </c>
      <c r="BP338">
        <v>607.90564718596693</v>
      </c>
      <c r="BQ338">
        <v>614.6716963499041</v>
      </c>
      <c r="BR338">
        <v>621.40403708429005</v>
      </c>
      <c r="BS338">
        <v>628.06547578464802</v>
      </c>
      <c r="BT338">
        <v>634.61733890225503</v>
      </c>
      <c r="BU338">
        <v>641.01952016821792</v>
      </c>
      <c r="BV338">
        <v>647.23055177578703</v>
      </c>
      <c r="BW338">
        <v>653.20770084038008</v>
      </c>
      <c r="BX338">
        <v>658.90709232818097</v>
      </c>
      <c r="BY338">
        <v>664.84827149214993</v>
      </c>
      <c r="BZ338">
        <v>671.03679949884202</v>
      </c>
      <c r="CA338">
        <v>677.47850179662908</v>
      </c>
      <c r="CB338">
        <v>684.17947719489507</v>
      </c>
      <c r="CC338">
        <v>691.14610741989304</v>
      </c>
      <c r="CD338">
        <v>698.38506716808899</v>
      </c>
      <c r="CE338">
        <v>705.90333467901405</v>
      </c>
      <c r="CF338">
        <v>713.708202850916</v>
      </c>
      <c r="CG338">
        <v>721.80729092379704</v>
      </c>
      <c r="CH338">
        <v>730.20855675583493</v>
      </c>
      <c r="CI338">
        <v>738.92030972065004</v>
      </c>
      <c r="CJ338">
        <v>747.951224254409</v>
      </c>
      <c r="CK338">
        <v>757.31035408339994</v>
      </c>
      <c r="CL338">
        <v>767.00714716440996</v>
      </c>
    </row>
    <row r="339" spans="4:90" x14ac:dyDescent="0.2">
      <c r="D339" t="s">
        <v>49</v>
      </c>
      <c r="F339" t="s">
        <v>50</v>
      </c>
      <c r="G339" t="s">
        <v>53</v>
      </c>
      <c r="L339" t="s">
        <v>52</v>
      </c>
      <c r="N339" t="s">
        <v>7</v>
      </c>
      <c r="O339">
        <v>22.021999999999998</v>
      </c>
      <c r="P339">
        <v>22.021999999999998</v>
      </c>
      <c r="Q339">
        <v>26.646999999999998</v>
      </c>
      <c r="R339">
        <v>29.312000000000001</v>
      </c>
      <c r="S339">
        <v>31.363</v>
      </c>
      <c r="T339">
        <v>33.558</v>
      </c>
      <c r="U339">
        <v>35.930999999999997</v>
      </c>
      <c r="V339">
        <v>38.420999999999999</v>
      </c>
      <c r="W339">
        <v>40.341999999999999</v>
      </c>
      <c r="X339">
        <v>42.359000000000002</v>
      </c>
      <c r="Y339">
        <v>44.478000000000002</v>
      </c>
      <c r="Z339">
        <v>46.701000000000001</v>
      </c>
      <c r="AA339">
        <v>49.036000000000001</v>
      </c>
      <c r="AB339">
        <v>51.488</v>
      </c>
      <c r="AC339">
        <v>30.891999999999999</v>
      </c>
      <c r="AD339">
        <v>15.446</v>
      </c>
      <c r="AE339">
        <v>10.811999999999999</v>
      </c>
      <c r="AF339">
        <v>7.569</v>
      </c>
      <c r="AG339">
        <v>6.8120000000000003</v>
      </c>
      <c r="AH339">
        <v>6.1310000000000002</v>
      </c>
      <c r="AI339">
        <v>6.1920000000000002</v>
      </c>
      <c r="AJ339">
        <v>6.2539999999999996</v>
      </c>
      <c r="AK339">
        <v>6.3159999999999998</v>
      </c>
      <c r="AL339">
        <v>13.86</v>
      </c>
      <c r="AM339">
        <v>13.86</v>
      </c>
      <c r="AN339">
        <v>33.011338737215603</v>
      </c>
      <c r="AO339">
        <v>31.789919203938702</v>
      </c>
      <c r="AP339">
        <v>32.203188153589899</v>
      </c>
      <c r="AQ339">
        <v>32.536069501272401</v>
      </c>
      <c r="AR339">
        <v>32.872391812349903</v>
      </c>
      <c r="AS339">
        <v>33.212190655739413</v>
      </c>
      <c r="AT339">
        <v>33.555501968030804</v>
      </c>
      <c r="AU339">
        <v>34.172142126708202</v>
      </c>
      <c r="AV339">
        <v>34.800114110659997</v>
      </c>
      <c r="AW339">
        <v>35.559534671267812</v>
      </c>
      <c r="AX339">
        <v>36.253844115461803</v>
      </c>
      <c r="AY339">
        <v>37.0541216835326</v>
      </c>
      <c r="AZ339">
        <v>37.994728835170399</v>
      </c>
      <c r="BA339">
        <v>39.038320184506297</v>
      </c>
      <c r="BB339">
        <v>40.149231118074297</v>
      </c>
      <c r="BC339">
        <v>41.293152970646602</v>
      </c>
      <c r="BD339">
        <v>42.437289957474903</v>
      </c>
      <c r="BE339">
        <v>43.5508942181335</v>
      </c>
      <c r="BF339">
        <v>44.606077782318401</v>
      </c>
      <c r="BG339">
        <v>45.578796779013487</v>
      </c>
      <c r="BH339">
        <v>46.4499001458435</v>
      </c>
      <c r="BI339">
        <v>47.206137383081902</v>
      </c>
      <c r="BJ339">
        <v>47.966715744827297</v>
      </c>
      <c r="BK339">
        <v>48.7206632279646</v>
      </c>
      <c r="BL339">
        <v>49.439200514339099</v>
      </c>
      <c r="BM339">
        <v>50.113215784084403</v>
      </c>
      <c r="BN339">
        <v>50.733290669059102</v>
      </c>
      <c r="BO339">
        <v>51.354172223133403</v>
      </c>
      <c r="BP339">
        <v>51.973243440074413</v>
      </c>
      <c r="BQ339">
        <v>52.587766740154301</v>
      </c>
      <c r="BR339">
        <v>53.1948852667389</v>
      </c>
      <c r="BS339">
        <v>53.791625647547797</v>
      </c>
      <c r="BT339">
        <v>54.374902320152302</v>
      </c>
      <c r="BU339">
        <v>54.941523516677002</v>
      </c>
      <c r="BV339">
        <v>55.488198995689302</v>
      </c>
      <c r="BW339">
        <v>56.011549599718698</v>
      </c>
      <c r="BX339">
        <v>56.508118704602097</v>
      </c>
      <c r="BY339">
        <v>57.0233307567227</v>
      </c>
      <c r="BZ339">
        <v>57.557610712139301</v>
      </c>
      <c r="CA339">
        <v>58.111401710270002</v>
      </c>
      <c r="CB339">
        <v>58.685165681799198</v>
      </c>
      <c r="CC339">
        <v>59.279383985652103</v>
      </c>
      <c r="CD339">
        <v>59.8945580762567</v>
      </c>
      <c r="CE339">
        <v>60.531210202380002</v>
      </c>
      <c r="CF339">
        <v>61.189884138888601</v>
      </c>
      <c r="CG339">
        <v>61.871145952860097</v>
      </c>
      <c r="CH339">
        <v>62.575584805539691</v>
      </c>
      <c r="CI339">
        <v>63.303813791719499</v>
      </c>
      <c r="CJ339">
        <v>64.056470818197809</v>
      </c>
      <c r="CK339">
        <v>64.834219523060995</v>
      </c>
      <c r="CL339">
        <v>65.63775023762409</v>
      </c>
    </row>
    <row r="340" spans="4:90" x14ac:dyDescent="0.2">
      <c r="D340" t="s">
        <v>49</v>
      </c>
      <c r="F340" t="s">
        <v>50</v>
      </c>
      <c r="G340" t="s">
        <v>54</v>
      </c>
      <c r="L340" t="s">
        <v>52</v>
      </c>
      <c r="N340" t="s">
        <v>7</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0.4314991770203</v>
      </c>
      <c r="AO340">
        <v>0.40327690502750002</v>
      </c>
      <c r="AP340">
        <v>0.40506576906030001</v>
      </c>
      <c r="AQ340">
        <v>0.40494925853829999</v>
      </c>
      <c r="AR340">
        <v>0.4044627644689</v>
      </c>
      <c r="AS340">
        <v>0.4036584082552</v>
      </c>
      <c r="AT340">
        <v>0.40248370735549999</v>
      </c>
      <c r="AU340">
        <v>0.40562173679620001</v>
      </c>
      <c r="AV340">
        <v>0.40844561448029998</v>
      </c>
      <c r="AW340">
        <v>0.41324472215660002</v>
      </c>
      <c r="AX340">
        <v>0.41660741127259998</v>
      </c>
      <c r="AY340">
        <v>0.42234347010939999</v>
      </c>
      <c r="AZ340">
        <v>0.43045872406180002</v>
      </c>
      <c r="BA340">
        <v>0.44025493721109998</v>
      </c>
      <c r="BB340">
        <v>0.45106535587009999</v>
      </c>
      <c r="BC340">
        <v>0.46224777059650002</v>
      </c>
      <c r="BD340">
        <v>0.47318916974390002</v>
      </c>
      <c r="BE340">
        <v>0.48331487496660003</v>
      </c>
      <c r="BF340">
        <v>0.49210372498110011</v>
      </c>
      <c r="BG340">
        <v>0.49910639387900002</v>
      </c>
      <c r="BH340">
        <v>0.50424157920330004</v>
      </c>
      <c r="BI340">
        <v>0.50728797528839997</v>
      </c>
      <c r="BJ340">
        <v>0.5111108926529</v>
      </c>
      <c r="BK340">
        <v>0.51493725676059998</v>
      </c>
      <c r="BL340">
        <v>0.51827405060340004</v>
      </c>
      <c r="BM340">
        <v>0.52100262702790001</v>
      </c>
      <c r="BN340">
        <v>0.52295539524379997</v>
      </c>
      <c r="BO340">
        <v>0.52490509694020004</v>
      </c>
      <c r="BP340">
        <v>0.52682182920849996</v>
      </c>
      <c r="BQ340">
        <v>0.52869992364170004</v>
      </c>
      <c r="BR340">
        <v>0.53049619381989999</v>
      </c>
      <c r="BS340">
        <v>0.53214615506199991</v>
      </c>
      <c r="BT340">
        <v>0.53358891526929997</v>
      </c>
      <c r="BU340">
        <v>0.53476687533239997</v>
      </c>
      <c r="BV340">
        <v>0.53565554058190001</v>
      </c>
      <c r="BW340">
        <v>0.53622071639019997</v>
      </c>
      <c r="BX340">
        <v>0.536400556232</v>
      </c>
      <c r="BY340">
        <v>0.53688681810540007</v>
      </c>
      <c r="BZ340">
        <v>0.53768812586350001</v>
      </c>
      <c r="CA340">
        <v>0.53883492976040004</v>
      </c>
      <c r="CB340">
        <v>0.54036266365050001</v>
      </c>
      <c r="CC340">
        <v>0.54223686201849997</v>
      </c>
      <c r="CD340">
        <v>0.54445691781989991</v>
      </c>
      <c r="CE340">
        <v>0.54708609229130001</v>
      </c>
      <c r="CF340">
        <v>0.55011958502859992</v>
      </c>
      <c r="CG340">
        <v>0.55358067890249996</v>
      </c>
      <c r="CH340">
        <v>0.55747931919329996</v>
      </c>
      <c r="CI340">
        <v>0.56181534557220003</v>
      </c>
      <c r="CJ340">
        <v>0.56661592120439996</v>
      </c>
      <c r="CK340">
        <v>0.57189920020730001</v>
      </c>
      <c r="CL340">
        <v>0.57764740512909996</v>
      </c>
    </row>
    <row r="341" spans="4:90" x14ac:dyDescent="0.2">
      <c r="D341" t="s">
        <v>49</v>
      </c>
      <c r="F341" t="s">
        <v>55</v>
      </c>
      <c r="L341" t="s">
        <v>52</v>
      </c>
      <c r="N341" t="s">
        <v>6</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row>
    <row r="342" spans="4:90" x14ac:dyDescent="0.2">
      <c r="D342" t="s">
        <v>49</v>
      </c>
      <c r="F342" t="s">
        <v>55</v>
      </c>
      <c r="L342" t="s">
        <v>52</v>
      </c>
      <c r="N342" t="s">
        <v>7</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35.854362793610797</v>
      </c>
      <c r="AO342">
        <v>32.0099899467643</v>
      </c>
      <c r="AP342">
        <v>31.795869546037999</v>
      </c>
      <c r="AQ342">
        <v>31.830565739601099</v>
      </c>
      <c r="AR342">
        <v>31.840429855660599</v>
      </c>
      <c r="AS342">
        <v>31.829026783372999</v>
      </c>
      <c r="AT342">
        <v>31.792776127372001</v>
      </c>
      <c r="AU342">
        <v>32.086145215694401</v>
      </c>
      <c r="AV342">
        <v>32.359507130207199</v>
      </c>
      <c r="AW342">
        <v>32.784637506952798</v>
      </c>
      <c r="AX342">
        <v>33.103305154835098</v>
      </c>
      <c r="AY342">
        <v>33.597672544718499</v>
      </c>
      <c r="AZ342">
        <v>34.272540618699097</v>
      </c>
      <c r="BA342">
        <v>35.075428601084099</v>
      </c>
      <c r="BB342">
        <v>35.956221589404002</v>
      </c>
      <c r="BC342">
        <v>36.866655008982903</v>
      </c>
      <c r="BD342">
        <v>37.760652598781803</v>
      </c>
      <c r="BE342">
        <v>38.595019002993688</v>
      </c>
      <c r="BF342">
        <v>39.330580993921501</v>
      </c>
      <c r="BG342">
        <v>39.933564882125907</v>
      </c>
      <c r="BH342">
        <v>40.395963039829098</v>
      </c>
      <c r="BI342">
        <v>40.700960527318003</v>
      </c>
      <c r="BJ342">
        <v>41.035307862440803</v>
      </c>
      <c r="BK342">
        <v>41.348219722067597</v>
      </c>
      <c r="BL342">
        <v>41.612612547342202</v>
      </c>
      <c r="BM342">
        <v>41.822155588116587</v>
      </c>
      <c r="BN342">
        <v>41.967389141665201</v>
      </c>
      <c r="BO342">
        <v>42.103603882226913</v>
      </c>
      <c r="BP342">
        <v>42.229285911143997</v>
      </c>
      <c r="BQ342">
        <v>42.344629337886097</v>
      </c>
      <c r="BR342">
        <v>42.447320672024901</v>
      </c>
      <c r="BS342">
        <v>42.533648655864702</v>
      </c>
      <c r="BT342">
        <v>42.600205606070404</v>
      </c>
      <c r="BU342">
        <v>42.643867159381898</v>
      </c>
      <c r="BV342">
        <v>42.663827904655307</v>
      </c>
      <c r="BW342">
        <v>42.658675716339097</v>
      </c>
      <c r="BX342">
        <v>42.625162630966599</v>
      </c>
      <c r="BY342">
        <v>42.6066533675667</v>
      </c>
      <c r="BZ342">
        <v>42.6035381329432</v>
      </c>
      <c r="CA342">
        <v>42.6176868415778</v>
      </c>
      <c r="CB342">
        <v>42.651298169632803</v>
      </c>
      <c r="CC342">
        <v>42.701783951901298</v>
      </c>
      <c r="CD342">
        <v>42.768856227640804</v>
      </c>
      <c r="CE342">
        <v>42.856576647828888</v>
      </c>
      <c r="CF342">
        <v>42.964344005357702</v>
      </c>
      <c r="CG342">
        <v>43.093461171584593</v>
      </c>
      <c r="CH342">
        <v>43.244305099549003</v>
      </c>
      <c r="CI342">
        <v>43.416546961816302</v>
      </c>
      <c r="CJ342">
        <v>43.611708206932299</v>
      </c>
      <c r="CK342">
        <v>43.830678038818803</v>
      </c>
      <c r="CL342">
        <v>44.071873643527901</v>
      </c>
    </row>
    <row r="343" spans="4:90" x14ac:dyDescent="0.2">
      <c r="D343" t="s">
        <v>49</v>
      </c>
      <c r="F343" t="s">
        <v>55</v>
      </c>
      <c r="L343" t="s">
        <v>52</v>
      </c>
      <c r="N343" t="s">
        <v>56</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row>
    <row r="344" spans="4:90" x14ac:dyDescent="0.2">
      <c r="D344" t="s">
        <v>49</v>
      </c>
      <c r="F344" t="s">
        <v>55</v>
      </c>
      <c r="L344" t="s">
        <v>52</v>
      </c>
      <c r="N344" t="s">
        <v>8</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row>
    <row r="345" spans="4:90" x14ac:dyDescent="0.2">
      <c r="D345" t="s">
        <v>49</v>
      </c>
      <c r="F345" t="s">
        <v>55</v>
      </c>
      <c r="L345" t="s">
        <v>52</v>
      </c>
      <c r="N345" t="s">
        <v>57</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row>
    <row r="346" spans="4:90" x14ac:dyDescent="0.2">
      <c r="D346" t="s">
        <v>49</v>
      </c>
      <c r="F346" t="s">
        <v>55</v>
      </c>
      <c r="L346" t="s">
        <v>52</v>
      </c>
      <c r="N346" t="s">
        <v>58</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row>
    <row r="347" spans="4:90" x14ac:dyDescent="0.2">
      <c r="D347" t="s">
        <v>49</v>
      </c>
      <c r="F347" t="s">
        <v>55</v>
      </c>
      <c r="L347" t="s">
        <v>52</v>
      </c>
      <c r="N347" t="s">
        <v>59</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row>
    <row r="348" spans="4:90" x14ac:dyDescent="0.2">
      <c r="D348" t="s">
        <v>49</v>
      </c>
      <c r="F348" t="s">
        <v>60</v>
      </c>
      <c r="L348" t="s">
        <v>52</v>
      </c>
      <c r="N348" t="s">
        <v>6</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row>
    <row r="349" spans="4:90" x14ac:dyDescent="0.2">
      <c r="D349" t="s">
        <v>49</v>
      </c>
      <c r="F349" t="s">
        <v>60</v>
      </c>
      <c r="L349" t="s">
        <v>52</v>
      </c>
      <c r="N349" t="s">
        <v>7</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152.17204867878499</v>
      </c>
      <c r="AO349">
        <v>154.58919659205301</v>
      </c>
      <c r="AP349">
        <v>162.65532922887101</v>
      </c>
      <c r="AQ349">
        <v>164.30655555714199</v>
      </c>
      <c r="AR349">
        <v>165.97226890461599</v>
      </c>
      <c r="AS349">
        <v>167.65301065846199</v>
      </c>
      <c r="AT349">
        <v>169.348591774922</v>
      </c>
      <c r="AU349">
        <v>172.43085465031899</v>
      </c>
      <c r="AV349">
        <v>175.56715658745799</v>
      </c>
      <c r="AW349">
        <v>179.369645918103</v>
      </c>
      <c r="AX349">
        <v>182.83894289026401</v>
      </c>
      <c r="AY349">
        <v>186.850758542656</v>
      </c>
      <c r="AZ349">
        <v>191.57566460410601</v>
      </c>
      <c r="BA349">
        <v>196.82343349304799</v>
      </c>
      <c r="BB349">
        <v>202.412399442062</v>
      </c>
      <c r="BC349">
        <v>208.16779787480201</v>
      </c>
      <c r="BD349">
        <v>213.922576814096</v>
      </c>
      <c r="BE349">
        <v>219.520116178054</v>
      </c>
      <c r="BF349">
        <v>224.81836373917</v>
      </c>
      <c r="BG349">
        <v>229.69484784500901</v>
      </c>
      <c r="BH349">
        <v>234.05395540676699</v>
      </c>
      <c r="BI349">
        <v>237.82837691380499</v>
      </c>
      <c r="BJ349">
        <v>241.411745139695</v>
      </c>
      <c r="BK349">
        <v>244.77518488607799</v>
      </c>
      <c r="BL349">
        <v>247.94368133586099</v>
      </c>
      <c r="BM349">
        <v>250.88271817551501</v>
      </c>
      <c r="BN349">
        <v>253.5567447919</v>
      </c>
      <c r="BO349">
        <v>256.21016361941798</v>
      </c>
      <c r="BP349">
        <v>258.83303482520989</v>
      </c>
      <c r="BQ349">
        <v>261.41523946244502</v>
      </c>
      <c r="BR349">
        <v>263.946059569098</v>
      </c>
      <c r="BS349">
        <v>266.41430803885697</v>
      </c>
      <c r="BT349">
        <v>268.80852331999</v>
      </c>
      <c r="BU349">
        <v>271.11699206685</v>
      </c>
      <c r="BV349">
        <v>273.32798701100302</v>
      </c>
      <c r="BW349">
        <v>275.42950105078802</v>
      </c>
      <c r="BX349">
        <v>277.40915994616898</v>
      </c>
      <c r="BY349">
        <v>279.45363623420599</v>
      </c>
      <c r="BZ349">
        <v>281.56416397262399</v>
      </c>
      <c r="CA349">
        <v>283.74217214519598</v>
      </c>
      <c r="CB349">
        <v>285.98916791325098</v>
      </c>
      <c r="CC349">
        <v>288.30621361650901</v>
      </c>
      <c r="CD349">
        <v>290.69465435507402</v>
      </c>
      <c r="CE349">
        <v>293.15632936476402</v>
      </c>
      <c r="CF349">
        <v>295.692649821933</v>
      </c>
      <c r="CG349">
        <v>298.30527328608002</v>
      </c>
      <c r="CH349">
        <v>300.99581519979301</v>
      </c>
      <c r="CI349">
        <v>303.76587302724801</v>
      </c>
      <c r="CJ349">
        <v>306.61728984036898</v>
      </c>
      <c r="CK349">
        <v>309.55190161452202</v>
      </c>
      <c r="CL349">
        <v>312.57135045989702</v>
      </c>
    </row>
    <row r="350" spans="4:90" x14ac:dyDescent="0.2">
      <c r="D350" t="s">
        <v>49</v>
      </c>
      <c r="F350" t="s">
        <v>60</v>
      </c>
      <c r="L350" t="s">
        <v>52</v>
      </c>
      <c r="N350" t="s">
        <v>56</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row>
    <row r="351" spans="4:90" x14ac:dyDescent="0.2">
      <c r="D351" t="s">
        <v>49</v>
      </c>
      <c r="F351" t="s">
        <v>60</v>
      </c>
      <c r="L351" t="s">
        <v>52</v>
      </c>
      <c r="N351" t="s">
        <v>59</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row>
    <row r="352" spans="4:90" x14ac:dyDescent="0.2">
      <c r="D352" t="s">
        <v>49</v>
      </c>
      <c r="F352" t="s">
        <v>61</v>
      </c>
      <c r="G352" t="s">
        <v>62</v>
      </c>
      <c r="L352" t="s">
        <v>52</v>
      </c>
      <c r="N352" t="s">
        <v>7</v>
      </c>
      <c r="O352">
        <v>1E-3</v>
      </c>
      <c r="P352">
        <v>1E-3</v>
      </c>
      <c r="Q352">
        <v>1E-3</v>
      </c>
      <c r="R352">
        <v>1E-3</v>
      </c>
      <c r="S352">
        <v>1E-3</v>
      </c>
      <c r="T352">
        <v>1E-3</v>
      </c>
      <c r="U352">
        <v>2E-3</v>
      </c>
      <c r="V352">
        <v>2E-3</v>
      </c>
      <c r="W352">
        <v>2E-3</v>
      </c>
      <c r="X352">
        <v>3.0000000000000001E-3</v>
      </c>
      <c r="Y352">
        <v>3.0000000000000001E-3</v>
      </c>
      <c r="Z352">
        <v>3.0000000000000001E-3</v>
      </c>
      <c r="AA352">
        <v>4.0000000000000001E-3</v>
      </c>
      <c r="AB352">
        <v>4.0000000000000001E-3</v>
      </c>
      <c r="AC352">
        <v>4.0000000000000001E-3</v>
      </c>
      <c r="AD352">
        <v>5.0000000000000001E-3</v>
      </c>
      <c r="AE352">
        <v>5.0000000000000001E-3</v>
      </c>
      <c r="AF352">
        <v>5.0000000000000001E-3</v>
      </c>
      <c r="AG352">
        <v>5.0000000000000001E-3</v>
      </c>
      <c r="AH352">
        <v>6.0000000000000001E-3</v>
      </c>
      <c r="AI352">
        <v>8.9999999999999993E-3</v>
      </c>
      <c r="AJ352">
        <v>0.01</v>
      </c>
      <c r="AK352">
        <v>1.2E-2</v>
      </c>
      <c r="AL352">
        <v>1.4E-2</v>
      </c>
      <c r="AM352">
        <v>1.4999999999999999E-2</v>
      </c>
      <c r="AN352">
        <v>4.4665993239789996</v>
      </c>
      <c r="AO352">
        <v>4.6246295744605996</v>
      </c>
      <c r="AP352">
        <v>4.8365337739698999</v>
      </c>
      <c r="AQ352">
        <v>5.0948549631777</v>
      </c>
      <c r="AR352">
        <v>5.4056411159315001</v>
      </c>
      <c r="AS352">
        <v>5.7624134295830007</v>
      </c>
      <c r="AT352">
        <v>6.1859508166574004</v>
      </c>
      <c r="AU352">
        <v>6.7457793655648999</v>
      </c>
      <c r="AV352">
        <v>7.4082148992633998</v>
      </c>
      <c r="AW352">
        <v>8.1749651413370987</v>
      </c>
      <c r="AX352">
        <v>9.0030891101545993</v>
      </c>
      <c r="AY352">
        <v>9.7519727787835997</v>
      </c>
      <c r="AZ352">
        <v>10.558214986808499</v>
      </c>
      <c r="BA352">
        <v>11.425770998667801</v>
      </c>
      <c r="BB352">
        <v>12.358832012618899</v>
      </c>
      <c r="BC352">
        <v>13.362086429238399</v>
      </c>
      <c r="BD352">
        <v>14.4402918262985</v>
      </c>
      <c r="BE352">
        <v>15.5984850817865</v>
      </c>
      <c r="BF352">
        <v>16.841995396165998</v>
      </c>
      <c r="BG352">
        <v>18.1764576681283</v>
      </c>
      <c r="BH352">
        <v>19.512181367897799</v>
      </c>
      <c r="BI352">
        <v>20.833911645560601</v>
      </c>
      <c r="BJ352">
        <v>22.125426237017301</v>
      </c>
      <c r="BK352">
        <v>23.369831777423599</v>
      </c>
      <c r="BL352">
        <v>24.5499028793711</v>
      </c>
      <c r="BM352">
        <v>25.648455670633499</v>
      </c>
      <c r="BN352">
        <v>26.648745441788201</v>
      </c>
      <c r="BO352">
        <v>27.637413897678499</v>
      </c>
      <c r="BP352">
        <v>28.6102508668768</v>
      </c>
      <c r="BQ352">
        <v>29.562972220743799</v>
      </c>
      <c r="BR352">
        <v>30.491249548475199</v>
      </c>
      <c r="BS352">
        <v>31.390741410155201</v>
      </c>
      <c r="BT352">
        <v>32.257125873075488</v>
      </c>
      <c r="BU352">
        <v>33.086134008013502</v>
      </c>
      <c r="BV352">
        <v>33.873583997404197</v>
      </c>
      <c r="BW352">
        <v>34.615415486947413</v>
      </c>
      <c r="BX352">
        <v>35.307723796686297</v>
      </c>
      <c r="BY352">
        <v>36.013878272620097</v>
      </c>
      <c r="BZ352">
        <v>36.734155838072503</v>
      </c>
      <c r="CA352">
        <v>37.468838954833899</v>
      </c>
      <c r="CB352">
        <v>38.218215733930599</v>
      </c>
      <c r="CC352">
        <v>38.982580048609201</v>
      </c>
      <c r="CD352">
        <v>39.762231649581388</v>
      </c>
      <c r="CE352">
        <v>40.557476282572999</v>
      </c>
      <c r="CF352">
        <v>41.3686258082245</v>
      </c>
      <c r="CG352">
        <v>42.195998324389002</v>
      </c>
      <c r="CH352">
        <v>43.039918290876798</v>
      </c>
      <c r="CI352">
        <v>43.9007166566943</v>
      </c>
      <c r="CJ352">
        <v>44.778730989828198</v>
      </c>
      <c r="CK352">
        <v>45.674305609624803</v>
      </c>
      <c r="CL352">
        <v>46.587791721817297</v>
      </c>
    </row>
    <row r="353" spans="4:90" x14ac:dyDescent="0.2">
      <c r="D353" t="s">
        <v>49</v>
      </c>
      <c r="F353" t="s">
        <v>61</v>
      </c>
      <c r="G353" t="s">
        <v>63</v>
      </c>
      <c r="L353" t="s">
        <v>52</v>
      </c>
      <c r="N353" t="s">
        <v>7</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3.9306074051016</v>
      </c>
      <c r="AO353">
        <v>4.0696740255253001</v>
      </c>
      <c r="AP353">
        <v>4.2561497210935002</v>
      </c>
      <c r="AQ353">
        <v>4.4834723675964003</v>
      </c>
      <c r="AR353">
        <v>4.7569641820197006</v>
      </c>
      <c r="AS353">
        <v>5.0709238180331004</v>
      </c>
      <c r="AT353">
        <v>5.4436367186585004</v>
      </c>
      <c r="AU353">
        <v>5.9362858416971003</v>
      </c>
      <c r="AV353">
        <v>6.5192291113516996</v>
      </c>
      <c r="AW353">
        <v>7.1939693243766998</v>
      </c>
      <c r="AX353">
        <v>7.9227184169360001</v>
      </c>
      <c r="AY353">
        <v>8.5817360453296008</v>
      </c>
      <c r="AZ353">
        <v>9.2912291883913998</v>
      </c>
      <c r="BA353">
        <v>10.054678478827601</v>
      </c>
      <c r="BB353">
        <v>10.8757721711047</v>
      </c>
      <c r="BC353">
        <v>11.758636057729801</v>
      </c>
      <c r="BD353">
        <v>12.7074568071426</v>
      </c>
      <c r="BE353">
        <v>13.7266668719721</v>
      </c>
      <c r="BF353">
        <v>14.820955948626001</v>
      </c>
      <c r="BG353">
        <v>15.995282747952899</v>
      </c>
      <c r="BH353">
        <v>17.170719603750101</v>
      </c>
      <c r="BI353">
        <v>18.333842248093301</v>
      </c>
      <c r="BJ353">
        <v>19.470375088575199</v>
      </c>
      <c r="BK353">
        <v>20.565451964132698</v>
      </c>
      <c r="BL353">
        <v>21.603914533846599</v>
      </c>
      <c r="BM353">
        <v>22.5706409901575</v>
      </c>
      <c r="BN353">
        <v>23.450895988773599</v>
      </c>
      <c r="BO353">
        <v>24.3209242299571</v>
      </c>
      <c r="BP353">
        <v>25.177020762851601</v>
      </c>
      <c r="BQ353">
        <v>26.015415554254499</v>
      </c>
      <c r="BR353">
        <v>26.8322996026581</v>
      </c>
      <c r="BS353">
        <v>27.623852440936499</v>
      </c>
      <c r="BT353">
        <v>28.3862707683064</v>
      </c>
      <c r="BU353">
        <v>29.115797927051901</v>
      </c>
      <c r="BV353">
        <v>29.808753917715698</v>
      </c>
      <c r="BW353">
        <v>30.4615656285137</v>
      </c>
      <c r="BX353">
        <v>31.070796941083898</v>
      </c>
      <c r="BY353">
        <v>31.6922128799056</v>
      </c>
      <c r="BZ353">
        <v>32.326057137503803</v>
      </c>
      <c r="CA353">
        <v>32.972578280253799</v>
      </c>
      <c r="CB353">
        <v>33.632029845858902</v>
      </c>
      <c r="CC353">
        <v>34.3046704427761</v>
      </c>
      <c r="CD353">
        <v>34.990763851631598</v>
      </c>
      <c r="CE353">
        <v>35.690579128664297</v>
      </c>
      <c r="CF353">
        <v>36.404390711237603</v>
      </c>
      <c r="CG353">
        <v>37.132478525462297</v>
      </c>
      <c r="CH353">
        <v>37.875128095971597</v>
      </c>
      <c r="CI353">
        <v>38.632630657890999</v>
      </c>
      <c r="CJ353">
        <v>39.405283271048802</v>
      </c>
      <c r="CK353">
        <v>40.193388936469802</v>
      </c>
      <c r="CL353">
        <v>40.9972567151992</v>
      </c>
    </row>
    <row r="354" spans="4:90" x14ac:dyDescent="0.2">
      <c r="D354" t="s">
        <v>49</v>
      </c>
      <c r="F354" t="s">
        <v>61</v>
      </c>
      <c r="G354" t="s">
        <v>64</v>
      </c>
      <c r="L354" t="s">
        <v>52</v>
      </c>
      <c r="N354" t="s">
        <v>7</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0.28359360787159998</v>
      </c>
      <c r="AO354">
        <v>0.29362727456889998</v>
      </c>
      <c r="AP354">
        <v>0.30708150945840001</v>
      </c>
      <c r="AQ354">
        <v>0.32348285480490002</v>
      </c>
      <c r="AR354">
        <v>0.34321530894800001</v>
      </c>
      <c r="AS354">
        <v>0.36586751933849998</v>
      </c>
      <c r="AT354">
        <v>0.3927587820099</v>
      </c>
      <c r="AU354">
        <v>0.42830345178180002</v>
      </c>
      <c r="AV354">
        <v>0.47036285074680001</v>
      </c>
      <c r="AW354">
        <v>0.51904540579910008</v>
      </c>
      <c r="AX354">
        <v>0.57162470540659993</v>
      </c>
      <c r="AY354">
        <v>0.61917287484329997</v>
      </c>
      <c r="AZ354">
        <v>0.67036285630519998</v>
      </c>
      <c r="BA354">
        <v>0.72544577769310004</v>
      </c>
      <c r="BB354">
        <v>0.7846877468329001</v>
      </c>
      <c r="BC354">
        <v>0.84838643995160001</v>
      </c>
      <c r="BD354">
        <v>0.91684392547920002</v>
      </c>
      <c r="BE354">
        <v>0.99038000519269986</v>
      </c>
      <c r="BF354">
        <v>1.0693330410263</v>
      </c>
      <c r="BG354">
        <v>1.1540608043255001</v>
      </c>
      <c r="BH354">
        <v>1.2388686582791999</v>
      </c>
      <c r="BI354">
        <v>1.3227880409879</v>
      </c>
      <c r="BJ354">
        <v>1.4047889674295999</v>
      </c>
      <c r="BK354">
        <v>1.4837988430110001</v>
      </c>
      <c r="BL354">
        <v>1.5587239923409999</v>
      </c>
      <c r="BM354">
        <v>1.6284733759132</v>
      </c>
      <c r="BN354">
        <v>1.6919838375738001</v>
      </c>
      <c r="BO354">
        <v>1.7547564379478</v>
      </c>
      <c r="BP354">
        <v>1.8165238645635</v>
      </c>
      <c r="BQ354">
        <v>1.8770141092535</v>
      </c>
      <c r="BR354">
        <v>1.9359523522841</v>
      </c>
      <c r="BS354">
        <v>1.9930629466765</v>
      </c>
      <c r="BT354">
        <v>2.0480714840047001</v>
      </c>
      <c r="BU354">
        <v>2.1007069211435998</v>
      </c>
      <c r="BV354">
        <v>2.1507037458668998</v>
      </c>
      <c r="BW354">
        <v>2.1978041579014</v>
      </c>
      <c r="BX354">
        <v>2.2417602410594002</v>
      </c>
      <c r="BY354">
        <v>2.2865954458806002</v>
      </c>
      <c r="BZ354">
        <v>2.3323273547982</v>
      </c>
      <c r="CA354">
        <v>2.3789739018942</v>
      </c>
      <c r="CB354">
        <v>2.4265533799319998</v>
      </c>
      <c r="CC354">
        <v>2.4750844475306999</v>
      </c>
      <c r="CD354">
        <v>2.5245861364812998</v>
      </c>
      <c r="CE354">
        <v>2.5750778592109</v>
      </c>
      <c r="CF354">
        <v>2.6265794163952001</v>
      </c>
      <c r="CG354">
        <v>2.679111004723</v>
      </c>
      <c r="CH354">
        <v>2.7326932248175</v>
      </c>
      <c r="CI354">
        <v>2.7873470893138999</v>
      </c>
      <c r="CJ354">
        <v>2.8430940311002</v>
      </c>
      <c r="CK354">
        <v>2.8999559117220999</v>
      </c>
      <c r="CL354">
        <v>2.9579550299566</v>
      </c>
    </row>
    <row r="355" spans="4:90" x14ac:dyDescent="0.2">
      <c r="D355" t="s">
        <v>49</v>
      </c>
      <c r="F355" t="s">
        <v>65</v>
      </c>
      <c r="L355" t="s">
        <v>52</v>
      </c>
      <c r="N355" t="s">
        <v>56</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row>
    <row r="356" spans="4:90" x14ac:dyDescent="0.2">
      <c r="D356" t="s">
        <v>49</v>
      </c>
      <c r="F356" t="s">
        <v>65</v>
      </c>
      <c r="L356" t="s">
        <v>52</v>
      </c>
      <c r="N356" t="s">
        <v>57</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row>
    <row r="357" spans="4:90" x14ac:dyDescent="0.2">
      <c r="D357" t="s">
        <v>49</v>
      </c>
      <c r="F357" t="s">
        <v>65</v>
      </c>
      <c r="L357" t="s">
        <v>52</v>
      </c>
      <c r="N357" t="s">
        <v>58</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row>
    <row r="358" spans="4:90" x14ac:dyDescent="0.2">
      <c r="D358" t="s">
        <v>49</v>
      </c>
      <c r="F358" t="s">
        <v>65</v>
      </c>
      <c r="L358" t="s">
        <v>52</v>
      </c>
      <c r="N358" t="s">
        <v>59</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row>
    <row r="359" spans="4:90" x14ac:dyDescent="0.2">
      <c r="D359" t="s">
        <v>49</v>
      </c>
      <c r="F359" t="s">
        <v>66</v>
      </c>
      <c r="G359" t="s">
        <v>67</v>
      </c>
      <c r="L359" t="s">
        <v>52</v>
      </c>
      <c r="N359" t="s">
        <v>56</v>
      </c>
      <c r="O359">
        <v>12.494999999999999</v>
      </c>
      <c r="P359">
        <v>15.680999999999999</v>
      </c>
      <c r="Q359">
        <v>18.548999999999999</v>
      </c>
      <c r="R359">
        <v>21.16</v>
      </c>
      <c r="S359">
        <v>23.552</v>
      </c>
      <c r="T359">
        <v>25.762</v>
      </c>
      <c r="U359">
        <v>27.827000000000002</v>
      </c>
      <c r="V359">
        <v>29.609000000000002</v>
      </c>
      <c r="W359">
        <v>31.148</v>
      </c>
      <c r="X359">
        <v>32.484000000000002</v>
      </c>
      <c r="Y359">
        <v>33.648000000000003</v>
      </c>
      <c r="Z359">
        <v>34.668999999999997</v>
      </c>
      <c r="AA359">
        <v>36.191000000000003</v>
      </c>
      <c r="AB359">
        <v>61.344999999999999</v>
      </c>
      <c r="AC359">
        <v>57.152999999999999</v>
      </c>
      <c r="AD359">
        <v>54.966000000000001</v>
      </c>
      <c r="AE359">
        <v>55.043999999999997</v>
      </c>
      <c r="AF359">
        <v>56.491999999999997</v>
      </c>
      <c r="AG359">
        <v>59.246000000000002</v>
      </c>
      <c r="AH359">
        <v>63.134</v>
      </c>
      <c r="AI359">
        <v>68.143000000000001</v>
      </c>
      <c r="AJ359">
        <v>74.992999999999995</v>
      </c>
      <c r="AK359">
        <v>81.099999999999994</v>
      </c>
      <c r="AL359">
        <v>86.685000000000002</v>
      </c>
      <c r="AM359">
        <v>90.837000000000003</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row>
    <row r="360" spans="4:90" x14ac:dyDescent="0.2">
      <c r="D360" t="s">
        <v>49</v>
      </c>
      <c r="F360" t="s">
        <v>66</v>
      </c>
      <c r="G360" t="s">
        <v>68</v>
      </c>
      <c r="L360" t="s">
        <v>52</v>
      </c>
      <c r="N360" t="s">
        <v>56</v>
      </c>
      <c r="O360">
        <v>1.18</v>
      </c>
      <c r="P360">
        <v>1.4790000000000001</v>
      </c>
      <c r="Q360">
        <v>1.748</v>
      </c>
      <c r="R360">
        <v>1.9930000000000001</v>
      </c>
      <c r="S360">
        <v>2.2170000000000001</v>
      </c>
      <c r="T360">
        <v>2.4220000000000002</v>
      </c>
      <c r="U360">
        <v>2.6150000000000002</v>
      </c>
      <c r="V360">
        <v>2.7959999999999998</v>
      </c>
      <c r="W360">
        <v>2.9670000000000001</v>
      </c>
      <c r="X360">
        <v>3.1309999999999998</v>
      </c>
      <c r="Y360">
        <v>3.2890000000000001</v>
      </c>
      <c r="Z360">
        <v>3.4430000000000001</v>
      </c>
      <c r="AA360">
        <v>3.593</v>
      </c>
      <c r="AB360">
        <v>5.9279999999999999</v>
      </c>
      <c r="AC360">
        <v>5.4420000000000002</v>
      </c>
      <c r="AD360">
        <v>5.0979999999999999</v>
      </c>
      <c r="AE360">
        <v>4.9059999999999997</v>
      </c>
      <c r="AF360">
        <v>4.8049999999999997</v>
      </c>
      <c r="AG360">
        <v>4.766</v>
      </c>
      <c r="AH360">
        <v>4.774</v>
      </c>
      <c r="AI360">
        <v>4.8239999999999998</v>
      </c>
      <c r="AJ360">
        <v>4.9219999999999997</v>
      </c>
      <c r="AK360">
        <v>5.0709999999999997</v>
      </c>
      <c r="AL360">
        <v>5.2190000000000003</v>
      </c>
      <c r="AM360">
        <v>5.5869999999999997</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row>
    <row r="361" spans="4:90" x14ac:dyDescent="0.2">
      <c r="D361" t="s">
        <v>49</v>
      </c>
      <c r="F361" t="s">
        <v>66</v>
      </c>
      <c r="G361" t="s">
        <v>68</v>
      </c>
      <c r="L361" t="s">
        <v>52</v>
      </c>
      <c r="N361" t="s">
        <v>58</v>
      </c>
      <c r="O361">
        <v>0</v>
      </c>
      <c r="P361">
        <v>0</v>
      </c>
      <c r="Q361">
        <v>0</v>
      </c>
      <c r="R361">
        <v>0</v>
      </c>
      <c r="S361">
        <v>0</v>
      </c>
      <c r="T361">
        <v>0</v>
      </c>
      <c r="U361">
        <v>0</v>
      </c>
      <c r="V361">
        <v>0</v>
      </c>
      <c r="W361">
        <v>0</v>
      </c>
      <c r="X361">
        <v>0</v>
      </c>
      <c r="Y361">
        <v>0</v>
      </c>
      <c r="Z361">
        <v>0</v>
      </c>
      <c r="AA361">
        <v>0</v>
      </c>
      <c r="AB361">
        <v>0</v>
      </c>
      <c r="AC361">
        <v>0</v>
      </c>
      <c r="AD361">
        <v>174.02</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row>
    <row r="362" spans="4:90" x14ac:dyDescent="0.2">
      <c r="D362" t="s">
        <v>49</v>
      </c>
      <c r="F362" t="s">
        <v>69</v>
      </c>
      <c r="L362" t="s">
        <v>52</v>
      </c>
      <c r="N362" t="s">
        <v>59</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row>
    <row r="363" spans="4:90" x14ac:dyDescent="0.2">
      <c r="D363" t="s">
        <v>49</v>
      </c>
      <c r="F363" t="s">
        <v>69</v>
      </c>
      <c r="L363" t="s">
        <v>52</v>
      </c>
      <c r="N363" t="s">
        <v>8</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row>
    <row r="364" spans="4:90" x14ac:dyDescent="0.2">
      <c r="D364" t="s">
        <v>49</v>
      </c>
      <c r="F364" t="s">
        <v>69</v>
      </c>
      <c r="L364" t="s">
        <v>52</v>
      </c>
      <c r="N364" t="s">
        <v>58</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row>
    <row r="365" spans="4:90" x14ac:dyDescent="0.2">
      <c r="D365" t="s">
        <v>49</v>
      </c>
      <c r="F365" t="s">
        <v>70</v>
      </c>
      <c r="G365" t="s">
        <v>71</v>
      </c>
      <c r="L365" t="s">
        <v>52</v>
      </c>
      <c r="N365" t="s">
        <v>6</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row>
    <row r="366" spans="4:90" x14ac:dyDescent="0.2">
      <c r="D366" t="s">
        <v>49</v>
      </c>
      <c r="F366" t="s">
        <v>70</v>
      </c>
      <c r="G366" t="s">
        <v>71</v>
      </c>
      <c r="L366" t="s">
        <v>52</v>
      </c>
      <c r="N366" t="s">
        <v>7</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row>
    <row r="367" spans="4:90" x14ac:dyDescent="0.2">
      <c r="D367" t="s">
        <v>49</v>
      </c>
      <c r="F367" t="s">
        <v>70</v>
      </c>
      <c r="G367" t="s">
        <v>71</v>
      </c>
      <c r="L367" t="s">
        <v>52</v>
      </c>
      <c r="N367" t="s">
        <v>8</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row>
    <row r="368" spans="4:90" x14ac:dyDescent="0.2">
      <c r="D368" t="s">
        <v>72</v>
      </c>
      <c r="F368" t="s">
        <v>73</v>
      </c>
      <c r="G368" t="s">
        <v>74</v>
      </c>
      <c r="H368" t="s">
        <v>75</v>
      </c>
      <c r="I368" t="s">
        <v>76</v>
      </c>
      <c r="L368" t="s">
        <v>77</v>
      </c>
      <c r="N368" t="s">
        <v>6</v>
      </c>
      <c r="O368">
        <v>214.27199999999999</v>
      </c>
      <c r="P368">
        <v>214.27199999999999</v>
      </c>
      <c r="Q368">
        <v>226.85489999999999</v>
      </c>
      <c r="R368">
        <v>233.13239999999999</v>
      </c>
      <c r="S368">
        <v>239.43780000000001</v>
      </c>
      <c r="T368">
        <v>245.71530000000001</v>
      </c>
      <c r="U368">
        <v>252.02070000000001</v>
      </c>
      <c r="V368">
        <v>258.29820000000001</v>
      </c>
      <c r="W368">
        <v>264.60359999999997</v>
      </c>
      <c r="X368">
        <v>270.8811</v>
      </c>
      <c r="Y368">
        <v>277.18650000000002</v>
      </c>
      <c r="Z368">
        <v>283.464</v>
      </c>
      <c r="AA368">
        <v>289.76940000000002</v>
      </c>
      <c r="AB368">
        <v>316.86029999999988</v>
      </c>
      <c r="AC368">
        <v>411.02280000000002</v>
      </c>
      <c r="AD368">
        <v>505.21319999999997</v>
      </c>
      <c r="AE368">
        <v>599.34780000000001</v>
      </c>
      <c r="AF368">
        <v>693.51029999999992</v>
      </c>
      <c r="AG368">
        <v>787.70069999999998</v>
      </c>
      <c r="AH368">
        <v>881.83529999999996</v>
      </c>
      <c r="AI368">
        <v>976.02569999999992</v>
      </c>
      <c r="AJ368">
        <v>1070.1603</v>
      </c>
      <c r="AK368">
        <v>1164.3507</v>
      </c>
      <c r="AL368">
        <v>1164.3507</v>
      </c>
      <c r="AM368">
        <v>1352.6757</v>
      </c>
      <c r="AN368">
        <v>5387.9058535896702</v>
      </c>
      <c r="AO368">
        <v>5327.5908423975097</v>
      </c>
      <c r="AP368">
        <v>5325.6419788425401</v>
      </c>
      <c r="AQ368">
        <v>5323.5007229073699</v>
      </c>
      <c r="AR368">
        <v>5464.6098453172199</v>
      </c>
      <c r="AS368">
        <v>5618.7802726494192</v>
      </c>
      <c r="AT368">
        <v>5815.9022988608695</v>
      </c>
      <c r="AU368">
        <v>6052.4398232599797</v>
      </c>
      <c r="AV368">
        <v>6334.4175776044303</v>
      </c>
      <c r="AW368">
        <v>6656.9438074865893</v>
      </c>
      <c r="AX368">
        <v>7013.2153045733303</v>
      </c>
      <c r="AY368">
        <v>7394.7133618081098</v>
      </c>
      <c r="AZ368">
        <v>7790.0351678423103</v>
      </c>
      <c r="BA368">
        <v>8189.0587457844003</v>
      </c>
      <c r="BB368">
        <v>8582.3212407861211</v>
      </c>
      <c r="BC368">
        <v>8961.8009594397408</v>
      </c>
      <c r="BD368">
        <v>9321.5497706574697</v>
      </c>
      <c r="BE368">
        <v>9657.9620987215294</v>
      </c>
      <c r="BF368">
        <v>9969.7713604622804</v>
      </c>
      <c r="BG368">
        <v>10257.738218345899</v>
      </c>
      <c r="BH368">
        <v>10522.6215534275</v>
      </c>
      <c r="BI368">
        <v>10765.575719988399</v>
      </c>
      <c r="BJ368">
        <v>10987.208179154901</v>
      </c>
      <c r="BK368">
        <v>11189.2433367052</v>
      </c>
      <c r="BL368">
        <v>11350.5198122282</v>
      </c>
      <c r="BM368">
        <v>11419.5459228571</v>
      </c>
      <c r="BN368">
        <v>11518.5424909347</v>
      </c>
      <c r="BO368">
        <v>11643.2483815217</v>
      </c>
      <c r="BP368">
        <v>11785.467322939499</v>
      </c>
      <c r="BQ368">
        <v>11937.273817970599</v>
      </c>
      <c r="BR368">
        <v>12093.097394643701</v>
      </c>
      <c r="BS368">
        <v>12248.1763415491</v>
      </c>
      <c r="BT368">
        <v>12399.4911671641</v>
      </c>
      <c r="BU368">
        <v>12545.299651601399</v>
      </c>
      <c r="BV368">
        <v>12684.6469586037</v>
      </c>
      <c r="BW368">
        <v>12817.166117519801</v>
      </c>
      <c r="BX368">
        <v>12942.985389936701</v>
      </c>
      <c r="BY368">
        <v>13065.179491115599</v>
      </c>
      <c r="BZ368">
        <v>13186.074943728099</v>
      </c>
      <c r="CA368">
        <v>13307.307083006001</v>
      </c>
      <c r="CB368">
        <v>13430.032044641401</v>
      </c>
      <c r="CC368">
        <v>13555.4113085591</v>
      </c>
      <c r="CD368">
        <v>13684.2162256909</v>
      </c>
      <c r="CE368">
        <v>13816.357725490399</v>
      </c>
      <c r="CF368">
        <v>13952.738983297901</v>
      </c>
      <c r="CG368">
        <v>14093.967460239999</v>
      </c>
      <c r="CH368">
        <v>14240.5187930341</v>
      </c>
      <c r="CI368">
        <v>14392.7688593862</v>
      </c>
      <c r="CJ368">
        <v>14552.6362388654</v>
      </c>
      <c r="CK368">
        <v>14725.646868169601</v>
      </c>
      <c r="CL368">
        <v>14915.137329966499</v>
      </c>
    </row>
    <row r="369" spans="4:90" x14ac:dyDescent="0.2">
      <c r="D369" t="s">
        <v>72</v>
      </c>
      <c r="F369" t="s">
        <v>73</v>
      </c>
      <c r="G369" t="s">
        <v>74</v>
      </c>
      <c r="H369" t="s">
        <v>75</v>
      </c>
      <c r="I369" t="s">
        <v>78</v>
      </c>
      <c r="L369" t="s">
        <v>77</v>
      </c>
      <c r="N369" t="s">
        <v>6</v>
      </c>
      <c r="O369">
        <v>10981.3284</v>
      </c>
      <c r="P369">
        <v>10981.3284</v>
      </c>
      <c r="Q369">
        <v>11626.320599999999</v>
      </c>
      <c r="R369">
        <v>11948.816699999999</v>
      </c>
      <c r="S369">
        <v>12271.3128</v>
      </c>
      <c r="T369">
        <v>12593.8089</v>
      </c>
      <c r="U369">
        <v>12916.305</v>
      </c>
      <c r="V369">
        <v>13238.801100000001</v>
      </c>
      <c r="W369">
        <v>13561.297200000001</v>
      </c>
      <c r="X369">
        <v>13883.793299999999</v>
      </c>
      <c r="Y369">
        <v>14206.2894</v>
      </c>
      <c r="Z369">
        <v>14528.7855</v>
      </c>
      <c r="AA369">
        <v>14851.253699999999</v>
      </c>
      <c r="AB369">
        <v>16240.5342</v>
      </c>
      <c r="AC369">
        <v>16525.895400000001</v>
      </c>
      <c r="AD369">
        <v>16811.2287</v>
      </c>
      <c r="AE369">
        <v>17096.589899999999</v>
      </c>
      <c r="AF369">
        <v>17381.951099999998</v>
      </c>
      <c r="AG369">
        <v>17667.2844</v>
      </c>
      <c r="AH369">
        <v>17952.6456</v>
      </c>
      <c r="AI369">
        <v>18237.978899999998</v>
      </c>
      <c r="AJ369">
        <v>18523.340100000001</v>
      </c>
      <c r="AK369">
        <v>18808.6734</v>
      </c>
      <c r="AL369">
        <v>18808.6734</v>
      </c>
      <c r="AM369">
        <v>19379.367900000001</v>
      </c>
      <c r="AN369">
        <v>14147.184955262001</v>
      </c>
      <c r="AO369">
        <v>14001.2569287756</v>
      </c>
      <c r="AP369">
        <v>14002.590361734299</v>
      </c>
      <c r="AQ369">
        <v>14004.0554315847</v>
      </c>
      <c r="AR369">
        <v>14383.1635854222</v>
      </c>
      <c r="AS369">
        <v>14797.385880124501</v>
      </c>
      <c r="AT369">
        <v>15325.704450720499</v>
      </c>
      <c r="AU369">
        <v>15959.982187125899</v>
      </c>
      <c r="AV369">
        <v>16715.2793248411</v>
      </c>
      <c r="AW369">
        <v>17578.617441431001</v>
      </c>
      <c r="AX369">
        <v>18531.365041277699</v>
      </c>
      <c r="AY369">
        <v>19549.355785010401</v>
      </c>
      <c r="AZ369">
        <v>20604.387687439499</v>
      </c>
      <c r="BA369">
        <v>21669.687267422301</v>
      </c>
      <c r="BB369">
        <v>22720.1606330457</v>
      </c>
      <c r="BC369">
        <v>23734.522830235499</v>
      </c>
      <c r="BD369">
        <v>24696.911613540098</v>
      </c>
      <c r="BE369">
        <v>25597.699206962701</v>
      </c>
      <c r="BF369">
        <v>26433.426485515502</v>
      </c>
      <c r="BG369">
        <v>27206.0302179108</v>
      </c>
      <c r="BH369">
        <v>27916.753641459301</v>
      </c>
      <c r="BI369">
        <v>28568.582963426699</v>
      </c>
      <c r="BJ369">
        <v>29162.2044020541</v>
      </c>
      <c r="BK369">
        <v>29703.011413321401</v>
      </c>
      <c r="BL369">
        <v>30134.7280071606</v>
      </c>
      <c r="BM369">
        <v>30320.522510074799</v>
      </c>
      <c r="BN369">
        <v>30593.455759863598</v>
      </c>
      <c r="BO369">
        <v>30934.342898419702</v>
      </c>
      <c r="BP369">
        <v>31321.441899128298</v>
      </c>
      <c r="BQ369">
        <v>31733.6945158954</v>
      </c>
      <c r="BR369">
        <v>32156.303787004101</v>
      </c>
      <c r="BS369">
        <v>32576.627695409399</v>
      </c>
      <c r="BT369">
        <v>32986.629077556201</v>
      </c>
      <c r="BU369">
        <v>33381.666514151198</v>
      </c>
      <c r="BV369">
        <v>33759.1572406247</v>
      </c>
      <c r="BW369">
        <v>34118.078633345802</v>
      </c>
      <c r="BX369">
        <v>34458.7585656835</v>
      </c>
      <c r="BY369">
        <v>34789.746122438599</v>
      </c>
      <c r="BZ369">
        <v>35117.246520423403</v>
      </c>
      <c r="CA369">
        <v>35445.596463903799</v>
      </c>
      <c r="CB369">
        <v>35777.866261493102</v>
      </c>
      <c r="CC369">
        <v>36117.184727089603</v>
      </c>
      <c r="CD369">
        <v>36465.632454898601</v>
      </c>
      <c r="CE369">
        <v>36822.935201395601</v>
      </c>
      <c r="CF369">
        <v>37191.519717056501</v>
      </c>
      <c r="CG369">
        <v>37573.014398986401</v>
      </c>
      <c r="CH369">
        <v>37968.699050299001</v>
      </c>
      <c r="CI369">
        <v>38379.588981464804</v>
      </c>
      <c r="CJ369">
        <v>38810.811936960097</v>
      </c>
      <c r="CK369">
        <v>39277.106373216397</v>
      </c>
      <c r="CL369">
        <v>39787.413847989599</v>
      </c>
    </row>
    <row r="370" spans="4:90" x14ac:dyDescent="0.2">
      <c r="D370" t="s">
        <v>72</v>
      </c>
      <c r="F370" t="s">
        <v>73</v>
      </c>
      <c r="G370" t="s">
        <v>74</v>
      </c>
      <c r="H370" t="s">
        <v>79</v>
      </c>
      <c r="L370" t="s">
        <v>77</v>
      </c>
      <c r="N370" t="s">
        <v>6</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row>
    <row r="371" spans="4:90" x14ac:dyDescent="0.2">
      <c r="D371" t="s">
        <v>72</v>
      </c>
      <c r="F371" t="s">
        <v>73</v>
      </c>
      <c r="G371" t="s">
        <v>74</v>
      </c>
      <c r="H371" t="s">
        <v>80</v>
      </c>
      <c r="L371" t="s">
        <v>77</v>
      </c>
      <c r="N371" t="s">
        <v>6</v>
      </c>
      <c r="O371">
        <v>344.45339999999999</v>
      </c>
      <c r="P371">
        <v>344.45339999999999</v>
      </c>
      <c r="Q371">
        <v>365.04360000000003</v>
      </c>
      <c r="R371">
        <v>375.31079999999997</v>
      </c>
      <c r="S371">
        <v>385.60590000000002</v>
      </c>
      <c r="T371">
        <v>395.87310000000002</v>
      </c>
      <c r="U371">
        <v>406.16820000000001</v>
      </c>
      <c r="V371">
        <v>416.43540000000002</v>
      </c>
      <c r="W371">
        <v>426.73049999999989</v>
      </c>
      <c r="X371">
        <v>436.99770000000001</v>
      </c>
      <c r="Y371">
        <v>447.2928</v>
      </c>
      <c r="Z371">
        <v>457.55999999999989</v>
      </c>
      <c r="AA371">
        <v>467.85509999999988</v>
      </c>
      <c r="AB371">
        <v>478.56869999999992</v>
      </c>
      <c r="AC371">
        <v>489.22649999999999</v>
      </c>
      <c r="AD371">
        <v>499.91219999999993</v>
      </c>
      <c r="AE371">
        <v>510.57</v>
      </c>
      <c r="AF371">
        <v>521.25569999999993</v>
      </c>
      <c r="AG371">
        <v>531.94139999999993</v>
      </c>
      <c r="AH371">
        <v>542.5992</v>
      </c>
      <c r="AI371">
        <v>553.28489999999999</v>
      </c>
      <c r="AJ371">
        <v>563.94269999999995</v>
      </c>
      <c r="AK371">
        <v>574.62839999999994</v>
      </c>
      <c r="AL371">
        <v>574.62839999999994</v>
      </c>
      <c r="AM371">
        <v>595.97190000000001</v>
      </c>
      <c r="AN371">
        <v>740.67456675234996</v>
      </c>
      <c r="AO371">
        <v>791.03777267579505</v>
      </c>
      <c r="AP371">
        <v>792.125113090637</v>
      </c>
      <c r="AQ371">
        <v>793.64217201256508</v>
      </c>
      <c r="AR371">
        <v>817.01433026403208</v>
      </c>
      <c r="AS371">
        <v>842.74083401309201</v>
      </c>
      <c r="AT371">
        <v>875.52266262078808</v>
      </c>
      <c r="AU371">
        <v>915.54259822415293</v>
      </c>
      <c r="AV371">
        <v>963.24775152643906</v>
      </c>
      <c r="AW371">
        <v>1017.8672872675101</v>
      </c>
      <c r="AX371">
        <v>1077.9479726038101</v>
      </c>
      <c r="AY371">
        <v>1141.0466962063799</v>
      </c>
      <c r="AZ371">
        <v>1206.6180650559099</v>
      </c>
      <c r="BA371">
        <v>1273.09464849255</v>
      </c>
      <c r="BB371">
        <v>1338.98728073914</v>
      </c>
      <c r="BC371">
        <v>1403.0146819858901</v>
      </c>
      <c r="BD371">
        <v>1464.2015766290899</v>
      </c>
      <c r="BE371">
        <v>1521.9333310194299</v>
      </c>
      <c r="BF371">
        <v>1575.9590709311201</v>
      </c>
      <c r="BG371">
        <v>1626.3490214581</v>
      </c>
      <c r="BH371">
        <v>1672.7285940735701</v>
      </c>
      <c r="BI371">
        <v>1715.2306914086</v>
      </c>
      <c r="BJ371">
        <v>1754.0205393267299</v>
      </c>
      <c r="BK371">
        <v>1789.23514239208</v>
      </c>
      <c r="BL371">
        <v>1817.4680913165</v>
      </c>
      <c r="BM371">
        <v>1830.44463858207</v>
      </c>
      <c r="BN371">
        <v>1848.2297999321099</v>
      </c>
      <c r="BO371">
        <v>1869.9792334660899</v>
      </c>
      <c r="BP371">
        <v>1894.39098563161</v>
      </c>
      <c r="BQ371">
        <v>1920.20510667078</v>
      </c>
      <c r="BR371">
        <v>1946.53065672353</v>
      </c>
      <c r="BS371">
        <v>1972.60319954531</v>
      </c>
      <c r="BT371">
        <v>1997.9382148033801</v>
      </c>
      <c r="BU371">
        <v>2022.25759143645</v>
      </c>
      <c r="BV371">
        <v>2045.4143161637401</v>
      </c>
      <c r="BW371">
        <v>2067.3547357008702</v>
      </c>
      <c r="BX371">
        <v>2088.1037898008299</v>
      </c>
      <c r="BY371">
        <v>2108.2726664891502</v>
      </c>
      <c r="BZ371">
        <v>2128.2352979833499</v>
      </c>
      <c r="CA371">
        <v>2148.2543720764202</v>
      </c>
      <c r="CB371">
        <v>2168.5156242971998</v>
      </c>
      <c r="CC371">
        <v>2189.2029853239701</v>
      </c>
      <c r="CD371">
        <v>2210.4395131484598</v>
      </c>
      <c r="CE371">
        <v>2232.2099485796898</v>
      </c>
      <c r="CF371">
        <v>2254.6580233519999</v>
      </c>
      <c r="CG371">
        <v>2277.8803790082102</v>
      </c>
      <c r="CH371">
        <v>2301.95199888462</v>
      </c>
      <c r="CI371">
        <v>2326.9316226626001</v>
      </c>
      <c r="CJ371">
        <v>2353.1277157080599</v>
      </c>
      <c r="CK371">
        <v>2381.4313819583899</v>
      </c>
      <c r="CL371">
        <v>2412.3814513399998</v>
      </c>
    </row>
    <row r="372" spans="4:90" x14ac:dyDescent="0.2">
      <c r="D372" t="s">
        <v>72</v>
      </c>
      <c r="F372" t="s">
        <v>73</v>
      </c>
      <c r="G372" t="s">
        <v>74</v>
      </c>
      <c r="H372" t="s">
        <v>81</v>
      </c>
      <c r="L372" t="s">
        <v>77</v>
      </c>
      <c r="N372" t="s">
        <v>6</v>
      </c>
      <c r="O372">
        <v>1056.7125000000001</v>
      </c>
      <c r="P372">
        <v>1056.7125000000001</v>
      </c>
      <c r="Q372">
        <v>1163.5137</v>
      </c>
      <c r="R372">
        <v>1216.9142999999999</v>
      </c>
      <c r="S372">
        <v>1270.3149000000001</v>
      </c>
      <c r="T372">
        <v>1323.7155</v>
      </c>
      <c r="U372">
        <v>1377.1161</v>
      </c>
      <c r="V372">
        <v>1430.5445999999999</v>
      </c>
      <c r="W372">
        <v>1483.9452000000001</v>
      </c>
      <c r="X372">
        <v>1537.3458000000001</v>
      </c>
      <c r="Y372">
        <v>1590.7464</v>
      </c>
      <c r="Z372">
        <v>1644.1469999999999</v>
      </c>
      <c r="AA372">
        <v>1697.5476000000001</v>
      </c>
      <c r="AB372">
        <v>1750.9482</v>
      </c>
      <c r="AC372">
        <v>1806.7203</v>
      </c>
      <c r="AD372">
        <v>1862.4924000000001</v>
      </c>
      <c r="AE372">
        <v>1918.2645</v>
      </c>
      <c r="AF372">
        <v>1974.0645</v>
      </c>
      <c r="AG372">
        <v>2029.8366000000001</v>
      </c>
      <c r="AH372">
        <v>2085.6087000000002</v>
      </c>
      <c r="AI372">
        <v>2141.3807999999999</v>
      </c>
      <c r="AJ372">
        <v>2197.1529</v>
      </c>
      <c r="AK372">
        <v>2252.9529000000002</v>
      </c>
      <c r="AL372">
        <v>2252.9529000000002</v>
      </c>
      <c r="AM372">
        <v>2364.4971</v>
      </c>
      <c r="AN372">
        <v>2815.46381000368</v>
      </c>
      <c r="AO372">
        <v>2842.1751058411501</v>
      </c>
      <c r="AP372">
        <v>2846.04519764209</v>
      </c>
      <c r="AQ372">
        <v>2851.4522017209601</v>
      </c>
      <c r="AR372">
        <v>2935.3736501412</v>
      </c>
      <c r="AS372">
        <v>3027.7477058967202</v>
      </c>
      <c r="AT372">
        <v>3145.4605506887301</v>
      </c>
      <c r="AU372">
        <v>3289.1573365484701</v>
      </c>
      <c r="AV372">
        <v>3460.4522561726799</v>
      </c>
      <c r="AW372">
        <v>3656.5766688249701</v>
      </c>
      <c r="AX372">
        <v>3872.3157049708798</v>
      </c>
      <c r="AY372">
        <v>4098.9092763731296</v>
      </c>
      <c r="AZ372">
        <v>4334.3807435300596</v>
      </c>
      <c r="BA372">
        <v>4573.0996290498297</v>
      </c>
      <c r="BB372">
        <v>4809.7158636844006</v>
      </c>
      <c r="BC372">
        <v>5039.62871931666</v>
      </c>
      <c r="BD372">
        <v>5259.3354732702801</v>
      </c>
      <c r="BE372">
        <v>5466.6296137150403</v>
      </c>
      <c r="BF372">
        <v>5660.6095357649501</v>
      </c>
      <c r="BG372">
        <v>5841.5290670375998</v>
      </c>
      <c r="BH372">
        <v>6008.0495006603796</v>
      </c>
      <c r="BI372">
        <v>6160.6491220277903</v>
      </c>
      <c r="BJ372">
        <v>6299.9228755104596</v>
      </c>
      <c r="BK372">
        <v>6426.3631571525902</v>
      </c>
      <c r="BL372">
        <v>6527.7335724894801</v>
      </c>
      <c r="BM372">
        <v>6574.3166009846</v>
      </c>
      <c r="BN372">
        <v>6638.1420230476106</v>
      </c>
      <c r="BO372">
        <v>6716.2075518351803</v>
      </c>
      <c r="BP372">
        <v>6803.8379681258702</v>
      </c>
      <c r="BQ372">
        <v>6896.5068708295503</v>
      </c>
      <c r="BR372">
        <v>6991.0154084708001</v>
      </c>
      <c r="BS372">
        <v>7084.6174189063686</v>
      </c>
      <c r="BT372">
        <v>7175.5722058240499</v>
      </c>
      <c r="BU372">
        <v>7262.8821791043001</v>
      </c>
      <c r="BV372">
        <v>7346.0185175373599</v>
      </c>
      <c r="BW372">
        <v>7424.7882661922104</v>
      </c>
      <c r="BX372">
        <v>7499.2824879827294</v>
      </c>
      <c r="BY372">
        <v>7571.6927637028002</v>
      </c>
      <c r="BZ372">
        <v>7643.3623943900293</v>
      </c>
      <c r="CA372">
        <v>7715.2348246476204</v>
      </c>
      <c r="CB372">
        <v>7787.9778491773004</v>
      </c>
      <c r="CC372">
        <v>7862.2505665827202</v>
      </c>
      <c r="CD372">
        <v>7938.4956574794414</v>
      </c>
      <c r="CE372">
        <v>8016.6586481964496</v>
      </c>
      <c r="CF372">
        <v>8097.2552337577299</v>
      </c>
      <c r="CG372">
        <v>8180.6326017772408</v>
      </c>
      <c r="CH372">
        <v>8267.06033129551</v>
      </c>
      <c r="CI372">
        <v>8356.7487694397296</v>
      </c>
      <c r="CJ372">
        <v>8450.805766290021</v>
      </c>
      <c r="CK372">
        <v>8552.431814095049</v>
      </c>
      <c r="CL372">
        <v>8663.5622048712703</v>
      </c>
    </row>
    <row r="373" spans="4:90" x14ac:dyDescent="0.2">
      <c r="D373" t="s">
        <v>72</v>
      </c>
      <c r="F373" t="s">
        <v>73</v>
      </c>
      <c r="G373" t="s">
        <v>74</v>
      </c>
      <c r="H373" t="s">
        <v>82</v>
      </c>
      <c r="L373" t="s">
        <v>77</v>
      </c>
      <c r="N373" t="s">
        <v>6</v>
      </c>
      <c r="O373">
        <v>42.184800000000003</v>
      </c>
      <c r="P373">
        <v>42.184800000000003</v>
      </c>
      <c r="Q373">
        <v>42.184800000000003</v>
      </c>
      <c r="R373">
        <v>42.184800000000003</v>
      </c>
      <c r="S373">
        <v>42.184800000000003</v>
      </c>
      <c r="T373">
        <v>42.184800000000003</v>
      </c>
      <c r="U373">
        <v>42.184800000000003</v>
      </c>
      <c r="V373">
        <v>42.184800000000003</v>
      </c>
      <c r="W373">
        <v>42.184800000000003</v>
      </c>
      <c r="X373">
        <v>42.184800000000003</v>
      </c>
      <c r="Y373">
        <v>42.184800000000003</v>
      </c>
      <c r="Z373">
        <v>42.184800000000003</v>
      </c>
      <c r="AA373">
        <v>42.184800000000003</v>
      </c>
      <c r="AB373">
        <v>42.993899999999996</v>
      </c>
      <c r="AC373">
        <v>41.5152</v>
      </c>
      <c r="AD373">
        <v>39.980699999999999</v>
      </c>
      <c r="AE373">
        <v>38.446199999999997</v>
      </c>
      <c r="AF373">
        <v>36.883800000000001</v>
      </c>
      <c r="AG373">
        <v>35.377200000000002</v>
      </c>
      <c r="AH373">
        <v>33.842700000000001</v>
      </c>
      <c r="AI373">
        <v>32.280299999999997</v>
      </c>
      <c r="AJ373">
        <v>30.745799999999999</v>
      </c>
      <c r="AK373">
        <v>29.211300000000001</v>
      </c>
      <c r="AL373">
        <v>29.211300000000001</v>
      </c>
      <c r="AM373">
        <v>26.142299999999999</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row>
    <row r="374" spans="4:90" x14ac:dyDescent="0.2">
      <c r="D374" t="s">
        <v>72</v>
      </c>
      <c r="F374" t="s">
        <v>73</v>
      </c>
      <c r="G374" t="s">
        <v>74</v>
      </c>
      <c r="H374" t="s">
        <v>83</v>
      </c>
      <c r="L374" t="s">
        <v>77</v>
      </c>
      <c r="N374" t="s">
        <v>6</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row>
    <row r="375" spans="4:90" x14ac:dyDescent="0.2">
      <c r="D375" t="s">
        <v>72</v>
      </c>
      <c r="F375" t="s">
        <v>73</v>
      </c>
      <c r="G375" t="s">
        <v>74</v>
      </c>
      <c r="H375" t="s">
        <v>84</v>
      </c>
      <c r="L375" t="s">
        <v>77</v>
      </c>
      <c r="N375" t="s">
        <v>6</v>
      </c>
      <c r="O375">
        <v>33.145200000000003</v>
      </c>
      <c r="P375">
        <v>33.145200000000003</v>
      </c>
      <c r="Q375">
        <v>31.415399999999991</v>
      </c>
      <c r="R375">
        <v>30.5505</v>
      </c>
      <c r="S375">
        <v>29.685600000000001</v>
      </c>
      <c r="T375">
        <v>28.820699999999999</v>
      </c>
      <c r="U375">
        <v>28.011600000000001</v>
      </c>
      <c r="V375">
        <v>28.1511</v>
      </c>
      <c r="W375">
        <v>30.0762</v>
      </c>
      <c r="X375">
        <v>32.894100000000002</v>
      </c>
      <c r="Y375">
        <v>36.855899999999998</v>
      </c>
      <c r="Z375">
        <v>42.212699999999998</v>
      </c>
      <c r="AA375">
        <v>48.1554</v>
      </c>
      <c r="AB375">
        <v>54.767699999999998</v>
      </c>
      <c r="AC375">
        <v>61.38</v>
      </c>
      <c r="AD375">
        <v>68.020200000000003</v>
      </c>
      <c r="AE375">
        <v>74.632499999999993</v>
      </c>
      <c r="AF375">
        <v>81.272699999999986</v>
      </c>
      <c r="AG375">
        <v>87.884999999999991</v>
      </c>
      <c r="AH375">
        <v>94.497299999999996</v>
      </c>
      <c r="AI375">
        <v>101.1375</v>
      </c>
      <c r="AJ375">
        <v>107.74979999999999</v>
      </c>
      <c r="AK375">
        <v>114.39</v>
      </c>
      <c r="AL375">
        <v>114.39</v>
      </c>
      <c r="AM375">
        <v>127.6146</v>
      </c>
      <c r="AN375">
        <v>184.24570675018501</v>
      </c>
      <c r="AO375">
        <v>172.65361463060401</v>
      </c>
      <c r="AP375">
        <v>177.17502894210699</v>
      </c>
      <c r="AQ375">
        <v>182.45787922714101</v>
      </c>
      <c r="AR375">
        <v>188.560149239423</v>
      </c>
      <c r="AS375">
        <v>195.30870810441101</v>
      </c>
      <c r="AT375">
        <v>202.970386567487</v>
      </c>
      <c r="AU375">
        <v>212.58191890937201</v>
      </c>
      <c r="AV375">
        <v>223.39903867633299</v>
      </c>
      <c r="AW375">
        <v>235.28981012153201</v>
      </c>
      <c r="AX375">
        <v>247.49256287526501</v>
      </c>
      <c r="AY375">
        <v>258.04531305667899</v>
      </c>
      <c r="AZ375">
        <v>268.90758338679302</v>
      </c>
      <c r="BA375">
        <v>280.07987195747597</v>
      </c>
      <c r="BB375">
        <v>291.56188577351099</v>
      </c>
      <c r="BC375">
        <v>303.35573440046898</v>
      </c>
      <c r="BD375">
        <v>315.460040760825</v>
      </c>
      <c r="BE375">
        <v>327.87290038565902</v>
      </c>
      <c r="BF375">
        <v>340.59141262230901</v>
      </c>
      <c r="BG375">
        <v>353.61200292911002</v>
      </c>
      <c r="BH375">
        <v>366.01284974998998</v>
      </c>
      <c r="BI375">
        <v>377.69032067620702</v>
      </c>
      <c r="BJ375">
        <v>388.181073069413</v>
      </c>
      <c r="BK375">
        <v>397.73936818011799</v>
      </c>
      <c r="BL375">
        <v>406.26696471159897</v>
      </c>
      <c r="BM375">
        <v>413.66834622266498</v>
      </c>
      <c r="BN375">
        <v>425.96265998214102</v>
      </c>
      <c r="BO375">
        <v>438.167873895708</v>
      </c>
      <c r="BP375">
        <v>450.24944382711698</v>
      </c>
      <c r="BQ375">
        <v>462.15633000932701</v>
      </c>
      <c r="BR375">
        <v>473.85823673675799</v>
      </c>
      <c r="BS375">
        <v>485.33629511734398</v>
      </c>
      <c r="BT375">
        <v>496.56847191066498</v>
      </c>
      <c r="BU375">
        <v>507.52971602554697</v>
      </c>
      <c r="BV375">
        <v>518.17405651222907</v>
      </c>
      <c r="BW375">
        <v>528.46053263917804</v>
      </c>
      <c r="BX375">
        <v>538.36488440231403</v>
      </c>
      <c r="BY375">
        <v>548.38063294747894</v>
      </c>
      <c r="BZ375">
        <v>558.50900885458896</v>
      </c>
      <c r="CA375">
        <v>568.73779422303903</v>
      </c>
      <c r="CB375">
        <v>579.05198769764797</v>
      </c>
      <c r="CC375">
        <v>589.47971681937906</v>
      </c>
      <c r="CD375">
        <v>600.02862876343295</v>
      </c>
      <c r="CE375">
        <v>610.66725584335597</v>
      </c>
      <c r="CF375">
        <v>621.40614588700907</v>
      </c>
      <c r="CG375">
        <v>632.23885299958704</v>
      </c>
      <c r="CH375">
        <v>643.16742814762097</v>
      </c>
      <c r="CI375">
        <v>654.20045609100691</v>
      </c>
      <c r="CJ375">
        <v>665.32985016171892</v>
      </c>
      <c r="CK375">
        <v>676.55332499705401</v>
      </c>
      <c r="CL375">
        <v>687.89136096277605</v>
      </c>
    </row>
    <row r="376" spans="4:90" x14ac:dyDescent="0.2">
      <c r="D376" t="s">
        <v>72</v>
      </c>
      <c r="F376" t="s">
        <v>73</v>
      </c>
      <c r="G376" t="s">
        <v>74</v>
      </c>
      <c r="H376" t="s">
        <v>85</v>
      </c>
      <c r="L376" t="s">
        <v>77</v>
      </c>
      <c r="N376" t="s">
        <v>6</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row>
    <row r="377" spans="4:90" x14ac:dyDescent="0.2">
      <c r="D377" t="s">
        <v>72</v>
      </c>
      <c r="F377" t="s">
        <v>73</v>
      </c>
      <c r="G377" t="s">
        <v>74</v>
      </c>
      <c r="H377" t="s">
        <v>86</v>
      </c>
      <c r="L377" t="s">
        <v>77</v>
      </c>
      <c r="N377" t="s">
        <v>6</v>
      </c>
      <c r="O377">
        <v>315.04680000000002</v>
      </c>
      <c r="P377">
        <v>315.04680000000002</v>
      </c>
      <c r="Q377">
        <v>330.7824</v>
      </c>
      <c r="R377">
        <v>338.67809999999997</v>
      </c>
      <c r="S377">
        <v>346.68540000000002</v>
      </c>
      <c r="T377">
        <v>354.69269999999989</v>
      </c>
      <c r="U377">
        <v>362.75580000000002</v>
      </c>
      <c r="V377">
        <v>371.43270000000001</v>
      </c>
      <c r="W377">
        <v>381.30930000000001</v>
      </c>
      <c r="X377">
        <v>391.79969999999997</v>
      </c>
      <c r="Y377">
        <v>403.07130000000001</v>
      </c>
      <c r="Z377">
        <v>415.23570000000001</v>
      </c>
      <c r="AA377">
        <v>427.79070000000002</v>
      </c>
      <c r="AB377">
        <v>461.68919999999991</v>
      </c>
      <c r="AC377">
        <v>475.16489999999988</v>
      </c>
      <c r="AD377">
        <v>488.61270000000002</v>
      </c>
      <c r="AE377">
        <v>502.06049999999999</v>
      </c>
      <c r="AF377">
        <v>515.53620000000001</v>
      </c>
      <c r="AG377">
        <v>528.98400000000004</v>
      </c>
      <c r="AH377">
        <v>542.43179999999995</v>
      </c>
      <c r="AI377">
        <v>555.87959999999998</v>
      </c>
      <c r="AJ377">
        <v>569.35529999999994</v>
      </c>
      <c r="AK377">
        <v>582.80309999999997</v>
      </c>
      <c r="AL377">
        <v>583.30529999999999</v>
      </c>
      <c r="AM377">
        <v>609.72659999999996</v>
      </c>
      <c r="AN377">
        <v>1155.272451975369</v>
      </c>
      <c r="AO377">
        <v>1126.8184980986609</v>
      </c>
      <c r="AP377">
        <v>1142.817516549931</v>
      </c>
      <c r="AQ377">
        <v>1161.4997423491229</v>
      </c>
      <c r="AR377">
        <v>1196.7566854514139</v>
      </c>
      <c r="AS377">
        <v>1235.564265013852</v>
      </c>
      <c r="AT377">
        <v>1281.728684327308</v>
      </c>
      <c r="AU377">
        <v>1338.612482540811</v>
      </c>
      <c r="AV377">
        <v>1404.139339131272</v>
      </c>
      <c r="AW377">
        <v>1477.3764073120519</v>
      </c>
      <c r="AX377">
        <v>1554.9652930070131</v>
      </c>
      <c r="AY377">
        <v>1629.1128102675409</v>
      </c>
      <c r="AZ377">
        <v>1705.7037050596221</v>
      </c>
      <c r="BA377">
        <v>1783.7677056234679</v>
      </c>
      <c r="BB377">
        <v>1862.39243036785</v>
      </c>
      <c r="BC377">
        <v>1940.8108944836199</v>
      </c>
      <c r="BD377">
        <v>2018.440967672281</v>
      </c>
      <c r="BE377">
        <v>2094.9239942657091</v>
      </c>
      <c r="BF377">
        <v>2170.122281069217</v>
      </c>
      <c r="BG377">
        <v>2244.0915971129161</v>
      </c>
      <c r="BH377">
        <v>2313.6300391167852</v>
      </c>
      <c r="BI377">
        <v>2378.4814436776869</v>
      </c>
      <c r="BJ377">
        <v>2437.0668522699311</v>
      </c>
      <c r="BK377">
        <v>2490.451788572123</v>
      </c>
      <c r="BL377">
        <v>2536.2457987554872</v>
      </c>
      <c r="BM377">
        <v>2569.1381597285372</v>
      </c>
      <c r="BN377">
        <v>2622.2146514292908</v>
      </c>
      <c r="BO377">
        <v>2677.4461679387682</v>
      </c>
      <c r="BP377">
        <v>2733.9213760133848</v>
      </c>
      <c r="BQ377">
        <v>2790.696686231262</v>
      </c>
      <c r="BR377">
        <v>2847.1280971595702</v>
      </c>
      <c r="BS377">
        <v>2902.6898726992708</v>
      </c>
      <c r="BT377">
        <v>2957.0130047417092</v>
      </c>
      <c r="BU377">
        <v>3009.8414691118878</v>
      </c>
      <c r="BV377">
        <v>3060.9214096284049</v>
      </c>
      <c r="BW377">
        <v>3110.073803815721</v>
      </c>
      <c r="BX377">
        <v>3157.2260590401238</v>
      </c>
      <c r="BY377">
        <v>3204.4176070893859</v>
      </c>
      <c r="BZ377">
        <v>3251.8778522392799</v>
      </c>
      <c r="CA377">
        <v>3299.721916185897</v>
      </c>
      <c r="CB377">
        <v>3348.0090509716042</v>
      </c>
      <c r="CC377">
        <v>3396.9505752141122</v>
      </c>
      <c r="CD377">
        <v>3446.6485567026421</v>
      </c>
      <c r="CE377">
        <v>3496.9830485193888</v>
      </c>
      <c r="CF377">
        <v>3548.0789106421639</v>
      </c>
      <c r="CG377">
        <v>3599.9724740444731</v>
      </c>
      <c r="CH377">
        <v>3652.717157985524</v>
      </c>
      <c r="CI377">
        <v>3706.379447761341</v>
      </c>
      <c r="CJ377">
        <v>3761.1170554408968</v>
      </c>
      <c r="CK377">
        <v>3817.4574917738528</v>
      </c>
      <c r="CL377">
        <v>3875.7966558226158</v>
      </c>
    </row>
    <row r="378" spans="4:90" x14ac:dyDescent="0.2">
      <c r="D378" t="s">
        <v>72</v>
      </c>
      <c r="F378" t="s">
        <v>73</v>
      </c>
      <c r="G378" t="s">
        <v>74</v>
      </c>
      <c r="H378" t="s">
        <v>86</v>
      </c>
      <c r="L378" t="s">
        <v>77</v>
      </c>
      <c r="N378" t="s">
        <v>8</v>
      </c>
      <c r="O378">
        <v>1623.8040000000001</v>
      </c>
      <c r="P378">
        <v>1623.8040000000001</v>
      </c>
      <c r="Q378">
        <v>1717.989</v>
      </c>
      <c r="R378">
        <v>1765.491</v>
      </c>
      <c r="S378">
        <v>1814.085</v>
      </c>
      <c r="T378">
        <v>1862.6790000000001</v>
      </c>
      <c r="U378">
        <v>1911.2729999999999</v>
      </c>
      <c r="V378">
        <v>1959.867</v>
      </c>
      <c r="W378">
        <v>2008.461</v>
      </c>
      <c r="X378">
        <v>2057.0549999999998</v>
      </c>
      <c r="Y378">
        <v>2105.922</v>
      </c>
      <c r="Z378">
        <v>2154.7890000000002</v>
      </c>
      <c r="AA378">
        <v>2203.3829999999998</v>
      </c>
      <c r="AB378">
        <v>2404.038</v>
      </c>
      <c r="AC378">
        <v>2444.7150000000001</v>
      </c>
      <c r="AD378">
        <v>2485.3919999999998</v>
      </c>
      <c r="AE378">
        <v>2526.069</v>
      </c>
      <c r="AF378">
        <v>2566.7460000000001</v>
      </c>
      <c r="AG378">
        <v>2607.4229999999998</v>
      </c>
      <c r="AH378">
        <v>2648.1</v>
      </c>
      <c r="AI378">
        <v>2688.777</v>
      </c>
      <c r="AJ378">
        <v>2729.4540000000002</v>
      </c>
      <c r="AK378">
        <v>2770.1309999999999</v>
      </c>
      <c r="AL378">
        <v>2772.3150000000001</v>
      </c>
      <c r="AM378">
        <v>2851.4850000000001</v>
      </c>
      <c r="AN378">
        <v>2926.1340277991731</v>
      </c>
      <c r="AO378">
        <v>2885.0148294567011</v>
      </c>
      <c r="AP378">
        <v>2895.2053322000379</v>
      </c>
      <c r="AQ378">
        <v>2907.203008111474</v>
      </c>
      <c r="AR378">
        <v>2988.7391773288632</v>
      </c>
      <c r="AS378">
        <v>3078.0702597195041</v>
      </c>
      <c r="AT378">
        <v>3189.9857024243111</v>
      </c>
      <c r="AU378">
        <v>3325.4691240469579</v>
      </c>
      <c r="AV378">
        <v>3485.483928114505</v>
      </c>
      <c r="AW378">
        <v>3667.4113472815129</v>
      </c>
      <c r="AX378">
        <v>3866.1433537267681</v>
      </c>
      <c r="AY378">
        <v>4072.7639581578628</v>
      </c>
      <c r="AZ378">
        <v>4286.7960164462456</v>
      </c>
      <c r="BA378">
        <v>4503.4350241641523</v>
      </c>
      <c r="BB378">
        <v>4718.1719127722818</v>
      </c>
      <c r="BC378">
        <v>4927.1814078884236</v>
      </c>
      <c r="BD378">
        <v>5127.6024925362026</v>
      </c>
      <c r="BE378">
        <v>5317.6889195243948</v>
      </c>
      <c r="BF378">
        <v>5496.8007633310472</v>
      </c>
      <c r="BG378">
        <v>5665.2661160737562</v>
      </c>
      <c r="BH378">
        <v>5821.1694460354693</v>
      </c>
      <c r="BI378">
        <v>5964.8082648220752</v>
      </c>
      <c r="BJ378">
        <v>6095.379035555794</v>
      </c>
      <c r="BK378">
        <v>6214.3048892207325</v>
      </c>
      <c r="BL378">
        <v>6311.2444553154828</v>
      </c>
      <c r="BM378">
        <v>6361.3653493026322</v>
      </c>
      <c r="BN378">
        <v>6437.3578909150874</v>
      </c>
      <c r="BO378">
        <v>6525.3489689506951</v>
      </c>
      <c r="BP378">
        <v>6621.3535048725216</v>
      </c>
      <c r="BQ378">
        <v>6721.4748775660191</v>
      </c>
      <c r="BR378">
        <v>6822.9854060748967</v>
      </c>
      <c r="BS378">
        <v>6923.5686177011376</v>
      </c>
      <c r="BT378">
        <v>7021.7316132724309</v>
      </c>
      <c r="BU378">
        <v>7116.5860500166582</v>
      </c>
      <c r="BV378">
        <v>7207.5718537159746</v>
      </c>
      <c r="BW378">
        <v>7294.4213000544369</v>
      </c>
      <c r="BX378">
        <v>7377.1429967503282</v>
      </c>
      <c r="BY378">
        <v>7458.3679818097844</v>
      </c>
      <c r="BZ378">
        <v>7539.214197697368</v>
      </c>
      <c r="CA378">
        <v>7620.4355301755613</v>
      </c>
      <c r="CB378">
        <v>7702.5520453290319</v>
      </c>
      <c r="CC378">
        <v>7786.1841995049972</v>
      </c>
      <c r="CD378">
        <v>7871.7211910170399</v>
      </c>
      <c r="CE378">
        <v>7959.0463346000188</v>
      </c>
      <c r="CF378">
        <v>8048.6172035760892</v>
      </c>
      <c r="CG378">
        <v>8140.7113483845496</v>
      </c>
      <c r="CH378">
        <v>8235.5621494633306</v>
      </c>
      <c r="CI378">
        <v>8333.3690809845975</v>
      </c>
      <c r="CJ378">
        <v>8435.0352137948048</v>
      </c>
      <c r="CK378">
        <v>8543.2052583715686</v>
      </c>
      <c r="CL378">
        <v>8659.5289661584538</v>
      </c>
    </row>
    <row r="379" spans="4:90" x14ac:dyDescent="0.2">
      <c r="D379" t="s">
        <v>72</v>
      </c>
      <c r="F379" t="s">
        <v>87</v>
      </c>
      <c r="G379" t="s">
        <v>88</v>
      </c>
      <c r="H379" t="s">
        <v>89</v>
      </c>
      <c r="K379" t="s">
        <v>90</v>
      </c>
      <c r="L379" t="s">
        <v>90</v>
      </c>
      <c r="N379" t="s">
        <v>7</v>
      </c>
      <c r="O379">
        <v>-5899.6840000000002</v>
      </c>
      <c r="P379">
        <v>-3804.1480000000001</v>
      </c>
      <c r="Q379">
        <v>-5827.3909999999996</v>
      </c>
      <c r="R379">
        <v>-1027.9469999999999</v>
      </c>
      <c r="S379">
        <v>2092.018</v>
      </c>
      <c r="T379">
        <v>5333.9579999999996</v>
      </c>
      <c r="U379">
        <v>8704.9060000000009</v>
      </c>
      <c r="V379">
        <v>5930.1890000000003</v>
      </c>
      <c r="W379">
        <v>8684.5650000000005</v>
      </c>
      <c r="X379">
        <v>11593.858</v>
      </c>
      <c r="Y379">
        <v>22733.442999999999</v>
      </c>
      <c r="Z379">
        <v>25062.136999999999</v>
      </c>
      <c r="AA379">
        <v>30893.936000000002</v>
      </c>
      <c r="AB379">
        <v>33340.254999999997</v>
      </c>
      <c r="AC379">
        <v>35825.004000000001</v>
      </c>
      <c r="AD379">
        <v>38348.031999999999</v>
      </c>
      <c r="AE379">
        <v>40902.154000000002</v>
      </c>
      <c r="AF379">
        <v>43486.574000000001</v>
      </c>
      <c r="AG379">
        <v>51094.434999999998</v>
      </c>
      <c r="AH379">
        <v>53805.942999999999</v>
      </c>
      <c r="AI379">
        <v>56406.758000000002</v>
      </c>
      <c r="AJ379">
        <v>58900.826000000001</v>
      </c>
      <c r="AK379">
        <v>60287.247000000003</v>
      </c>
      <c r="AL379">
        <v>62360.968999999997</v>
      </c>
      <c r="AM379">
        <v>63581.68</v>
      </c>
      <c r="AN379">
        <v>50432.226955131409</v>
      </c>
      <c r="AO379">
        <v>48924.623013767647</v>
      </c>
      <c r="AP379">
        <v>49930.41789059517</v>
      </c>
      <c r="AQ379">
        <v>51008.255191383403</v>
      </c>
      <c r="AR379">
        <v>52917.456273581804</v>
      </c>
      <c r="AS379">
        <v>55065.337428747713</v>
      </c>
      <c r="AT379">
        <v>57507.153422280768</v>
      </c>
      <c r="AU379">
        <v>60002.382562758779</v>
      </c>
      <c r="AV379">
        <v>62638.440876297951</v>
      </c>
      <c r="AW379">
        <v>65156.844236480109</v>
      </c>
      <c r="AX379">
        <v>67086.076738571894</v>
      </c>
      <c r="AY379">
        <v>67502.504174945134</v>
      </c>
      <c r="AZ379">
        <v>66595.354177169342</v>
      </c>
      <c r="BA379">
        <v>63993.451128862231</v>
      </c>
      <c r="BB379">
        <v>59491.224020556423</v>
      </c>
      <c r="BC379">
        <v>53196.371400343793</v>
      </c>
      <c r="BD379">
        <v>45610.152130072878</v>
      </c>
      <c r="BE379">
        <v>37519.625330803327</v>
      </c>
      <c r="BF379">
        <v>29746.53978581071</v>
      </c>
      <c r="BG379">
        <v>22902.180684742769</v>
      </c>
      <c r="BH379">
        <v>17228.7542308636</v>
      </c>
      <c r="BI379">
        <v>12779.769450169881</v>
      </c>
      <c r="BJ379">
        <v>9436.8038644694643</v>
      </c>
      <c r="BK379">
        <v>7005.6075564234643</v>
      </c>
      <c r="BL379">
        <v>5278.6970848421624</v>
      </c>
      <c r="BM379">
        <v>4073.8126124467708</v>
      </c>
      <c r="BN379">
        <v>4198.9916484322694</v>
      </c>
      <c r="BO379">
        <v>4325.0304502611189</v>
      </c>
      <c r="BP379">
        <v>4451.6966561902627</v>
      </c>
      <c r="BQ379">
        <v>4583.9175741474937</v>
      </c>
      <c r="BR379">
        <v>4722.7064665348908</v>
      </c>
      <c r="BS379">
        <v>4837.031605080655</v>
      </c>
      <c r="BT379">
        <v>4943.2354927937668</v>
      </c>
      <c r="BU379">
        <v>5044.0383195058103</v>
      </c>
      <c r="BV379">
        <v>5137.3607068137017</v>
      </c>
      <c r="BW379">
        <v>5224.3817980158474</v>
      </c>
      <c r="BX379">
        <v>5302.2564497506391</v>
      </c>
      <c r="BY379">
        <v>5379.9372787977109</v>
      </c>
      <c r="BZ379">
        <v>5457.0137086589712</v>
      </c>
      <c r="CA379">
        <v>5533.8284645863587</v>
      </c>
      <c r="CB379">
        <v>5609.9799391614069</v>
      </c>
      <c r="CC379">
        <v>5686.587910807918</v>
      </c>
      <c r="CD379">
        <v>5762.3593183840539</v>
      </c>
      <c r="CE379">
        <v>5837.4906716992591</v>
      </c>
      <c r="CF379">
        <v>5911.4320206492102</v>
      </c>
      <c r="CG379">
        <v>5984.0102600070059</v>
      </c>
      <c r="CH379">
        <v>6055.0590261174184</v>
      </c>
      <c r="CI379">
        <v>6124.4180848176557</v>
      </c>
      <c r="CJ379">
        <v>6191.9052191201099</v>
      </c>
      <c r="CK379">
        <v>6257.37253929502</v>
      </c>
      <c r="CL379">
        <v>6320.7238405323669</v>
      </c>
    </row>
    <row r="380" spans="4:90" x14ac:dyDescent="0.2">
      <c r="D380" t="s">
        <v>72</v>
      </c>
      <c r="F380" t="s">
        <v>87</v>
      </c>
      <c r="G380" t="s">
        <v>88</v>
      </c>
      <c r="H380" t="s">
        <v>89</v>
      </c>
      <c r="K380" t="s">
        <v>91</v>
      </c>
      <c r="L380" t="s">
        <v>91</v>
      </c>
      <c r="N380" t="s">
        <v>7</v>
      </c>
      <c r="O380">
        <v>-99999</v>
      </c>
      <c r="P380">
        <v>-99999</v>
      </c>
      <c r="Q380">
        <v>-99999</v>
      </c>
      <c r="R380">
        <v>-99999</v>
      </c>
      <c r="S380">
        <v>-99999</v>
      </c>
      <c r="T380">
        <v>-99999</v>
      </c>
      <c r="U380">
        <v>-99999</v>
      </c>
      <c r="V380">
        <v>-99999</v>
      </c>
      <c r="W380">
        <v>-99999</v>
      </c>
      <c r="X380">
        <v>-99999</v>
      </c>
      <c r="Y380">
        <v>-99999</v>
      </c>
      <c r="Z380">
        <v>-99999</v>
      </c>
      <c r="AA380">
        <v>-99999</v>
      </c>
      <c r="AB380">
        <v>-99999</v>
      </c>
      <c r="AC380">
        <v>-99999</v>
      </c>
      <c r="AD380">
        <v>-99999</v>
      </c>
      <c r="AE380">
        <v>-99999</v>
      </c>
      <c r="AF380">
        <v>-99999</v>
      </c>
      <c r="AG380">
        <v>-99999</v>
      </c>
      <c r="AH380">
        <v>-99999</v>
      </c>
      <c r="AI380">
        <v>-99999</v>
      </c>
      <c r="AJ380">
        <v>-99999</v>
      </c>
      <c r="AK380">
        <v>-99999</v>
      </c>
      <c r="AL380">
        <v>-99999</v>
      </c>
      <c r="AM380">
        <v>-99999</v>
      </c>
      <c r="AN380">
        <v>-11007.39220987017</v>
      </c>
      <c r="AO380">
        <v>-10941.025686921899</v>
      </c>
      <c r="AP380">
        <v>-10874.06769175027</v>
      </c>
      <c r="AQ380">
        <v>-10806.66608503769</v>
      </c>
      <c r="AR380">
        <v>-10734.502553859509</v>
      </c>
      <c r="AS380">
        <v>-10671.46933012483</v>
      </c>
      <c r="AT380">
        <v>-10618.394685519101</v>
      </c>
      <c r="AU380">
        <v>-10573.307675012609</v>
      </c>
      <c r="AV380">
        <v>-10537.24067464958</v>
      </c>
      <c r="AW380">
        <v>-10503.123450417221</v>
      </c>
      <c r="AX380">
        <v>-10473.92760792843</v>
      </c>
      <c r="AY380">
        <v>-10453.269761709849</v>
      </c>
      <c r="AZ380">
        <v>-10443.25397455788</v>
      </c>
      <c r="BA380">
        <v>-10445.23117657542</v>
      </c>
      <c r="BB380">
        <v>-10459.22961515066</v>
      </c>
      <c r="BC380">
        <v>-10483.89560327415</v>
      </c>
      <c r="BD380">
        <v>-10516.570334071699</v>
      </c>
      <c r="BE380">
        <v>-10553.46343887154</v>
      </c>
      <c r="BF380">
        <v>-10589.889181865279</v>
      </c>
      <c r="BG380">
        <v>-10620.52993705275</v>
      </c>
      <c r="BH380">
        <v>-10641.11060786746</v>
      </c>
      <c r="BI380">
        <v>-10647.523371467591</v>
      </c>
      <c r="BJ380">
        <v>-10637.77385281328</v>
      </c>
      <c r="BK380">
        <v>-10608.77638567441</v>
      </c>
      <c r="BL380">
        <v>-10556.709843183429</v>
      </c>
      <c r="BM380">
        <v>-10477.668208454401</v>
      </c>
      <c r="BN380">
        <v>-10374.18804311155</v>
      </c>
      <c r="BO380">
        <v>-10257.39544745035</v>
      </c>
      <c r="BP380">
        <v>-10119.26597499241</v>
      </c>
      <c r="BQ380">
        <v>-9963.8894175361147</v>
      </c>
      <c r="BR380">
        <v>-9791.0963683465779</v>
      </c>
      <c r="BS380">
        <v>-9601.8552895311841</v>
      </c>
      <c r="BT380">
        <v>-9397.6964462369506</v>
      </c>
      <c r="BU380">
        <v>-9180.3038099772348</v>
      </c>
      <c r="BV380">
        <v>-8951.5146646475623</v>
      </c>
      <c r="BW380">
        <v>-8713.31183669651</v>
      </c>
      <c r="BX380">
        <v>-8467.8137098732677</v>
      </c>
      <c r="BY380">
        <v>-8216.0672138131067</v>
      </c>
      <c r="BZ380">
        <v>-7959.1658645905836</v>
      </c>
      <c r="CA380">
        <v>-7698.2769643950132</v>
      </c>
      <c r="CB380">
        <v>-7434.726875358363</v>
      </c>
      <c r="CC380">
        <v>-7170.0985836860054</v>
      </c>
      <c r="CD380">
        <v>-6906.8651769365943</v>
      </c>
      <c r="CE380">
        <v>-6644.6576728601149</v>
      </c>
      <c r="CF380">
        <v>-6384.7753846554342</v>
      </c>
      <c r="CG380">
        <v>-6128.5137909108144</v>
      </c>
      <c r="CH380">
        <v>-5877.1041989476444</v>
      </c>
      <c r="CI380">
        <v>-5617.8999633505646</v>
      </c>
      <c r="CJ380">
        <v>-5319.0849255274743</v>
      </c>
      <c r="CK380">
        <v>-4979.4749264475249</v>
      </c>
      <c r="CL380">
        <v>-4598.6297406580543</v>
      </c>
    </row>
    <row r="381" spans="4:90" x14ac:dyDescent="0.2">
      <c r="D381" t="s">
        <v>72</v>
      </c>
      <c r="F381" t="s">
        <v>87</v>
      </c>
      <c r="G381" t="s">
        <v>88</v>
      </c>
      <c r="K381" t="s">
        <v>92</v>
      </c>
      <c r="L381" t="s">
        <v>92</v>
      </c>
      <c r="N381" t="s">
        <v>6</v>
      </c>
      <c r="O381">
        <v>-99999</v>
      </c>
      <c r="P381">
        <v>-99999</v>
      </c>
      <c r="Q381">
        <v>-99999</v>
      </c>
      <c r="R381">
        <v>-99999</v>
      </c>
      <c r="S381">
        <v>-99999</v>
      </c>
      <c r="T381">
        <v>-99999</v>
      </c>
      <c r="U381">
        <v>-99999</v>
      </c>
      <c r="V381">
        <v>-99999</v>
      </c>
      <c r="W381">
        <v>-99999</v>
      </c>
      <c r="X381">
        <v>-99999</v>
      </c>
      <c r="Y381">
        <v>-99999</v>
      </c>
      <c r="Z381">
        <v>-99999</v>
      </c>
      <c r="AA381">
        <v>-99999</v>
      </c>
      <c r="AB381">
        <v>-99999</v>
      </c>
      <c r="AC381">
        <v>-99999</v>
      </c>
      <c r="AD381">
        <v>-99999</v>
      </c>
      <c r="AE381">
        <v>-99999</v>
      </c>
      <c r="AF381">
        <v>-99999</v>
      </c>
      <c r="AG381">
        <v>-99999</v>
      </c>
      <c r="AH381">
        <v>-99999</v>
      </c>
      <c r="AI381">
        <v>-99999</v>
      </c>
      <c r="AJ381">
        <v>-99999</v>
      </c>
      <c r="AK381">
        <v>-99999</v>
      </c>
      <c r="AL381">
        <v>-99999</v>
      </c>
      <c r="AM381">
        <v>-99999</v>
      </c>
      <c r="AN381">
        <v>76.742278649270304</v>
      </c>
      <c r="AO381">
        <v>76.238227758876903</v>
      </c>
      <c r="AP381">
        <v>75.73134100658541</v>
      </c>
      <c r="AQ381">
        <v>75.222569346850207</v>
      </c>
      <c r="AR381">
        <v>74.683687931454685</v>
      </c>
      <c r="AS381">
        <v>74.205436515298899</v>
      </c>
      <c r="AT381">
        <v>73.793211651815</v>
      </c>
      <c r="AU381">
        <v>73.434141133896802</v>
      </c>
      <c r="AV381">
        <v>73.135164980329904</v>
      </c>
      <c r="AW381">
        <v>72.849848847803798</v>
      </c>
      <c r="AX381">
        <v>72.597593627945599</v>
      </c>
      <c r="AY381">
        <v>72.402014415939888</v>
      </c>
      <c r="AZ381">
        <v>72.276844440004297</v>
      </c>
      <c r="BA381">
        <v>72.230896498669011</v>
      </c>
      <c r="BB381">
        <v>72.264342106838583</v>
      </c>
      <c r="BC381">
        <v>72.368324463533497</v>
      </c>
      <c r="BD381">
        <v>72.525460361588799</v>
      </c>
      <c r="BE381">
        <v>72.710974135223992</v>
      </c>
      <c r="BF381">
        <v>72.894240813438088</v>
      </c>
      <c r="BG381">
        <v>73.040507500539604</v>
      </c>
      <c r="BH381">
        <v>73.12183264258671</v>
      </c>
      <c r="BI381">
        <v>73.111367825708001</v>
      </c>
      <c r="BJ381">
        <v>72.996072479259595</v>
      </c>
      <c r="BK381">
        <v>72.755776655416796</v>
      </c>
      <c r="BL381">
        <v>72.365506168728189</v>
      </c>
      <c r="BM381">
        <v>71.799732681449399</v>
      </c>
      <c r="BN381">
        <v>71.075016989217701</v>
      </c>
      <c r="BO381">
        <v>70.264018498823603</v>
      </c>
      <c r="BP381">
        <v>69.314268247844197</v>
      </c>
      <c r="BQ381">
        <v>68.252447872026707</v>
      </c>
      <c r="BR381">
        <v>67.077438351262401</v>
      </c>
      <c r="BS381">
        <v>65.795560123206798</v>
      </c>
      <c r="BT381">
        <v>64.416804572692797</v>
      </c>
      <c r="BU381">
        <v>62.952167462255503</v>
      </c>
      <c r="BV381">
        <v>61.413636715069288</v>
      </c>
      <c r="BW381">
        <v>59.814112192519303</v>
      </c>
      <c r="BX381">
        <v>58.167375663011299</v>
      </c>
      <c r="BY381">
        <v>56.4802585456248</v>
      </c>
      <c r="BZ381">
        <v>54.759848735681601</v>
      </c>
      <c r="CA381">
        <v>53.013627056850012</v>
      </c>
      <c r="CB381">
        <v>51.250258418078502</v>
      </c>
      <c r="CC381">
        <v>49.4883123383498</v>
      </c>
      <c r="CD381">
        <v>47.768649951383708</v>
      </c>
      <c r="CE381">
        <v>46.055689625000007</v>
      </c>
      <c r="CF381">
        <v>44.357919567684696</v>
      </c>
      <c r="CG381">
        <v>42.683802937016587</v>
      </c>
      <c r="CH381">
        <v>41.041383669795302</v>
      </c>
      <c r="CI381">
        <v>39.348043223371903</v>
      </c>
      <c r="CJ381">
        <v>37.3959316447174</v>
      </c>
      <c r="CK381">
        <v>35.177313009388499</v>
      </c>
      <c r="CL381">
        <v>32.689311393838501</v>
      </c>
    </row>
    <row r="382" spans="4:90" x14ac:dyDescent="0.2">
      <c r="D382" t="s">
        <v>72</v>
      </c>
      <c r="F382" t="s">
        <v>87</v>
      </c>
      <c r="G382" t="s">
        <v>93</v>
      </c>
      <c r="H382" t="s">
        <v>94</v>
      </c>
      <c r="K382" t="s">
        <v>95</v>
      </c>
      <c r="L382" t="s">
        <v>96</v>
      </c>
      <c r="N382" t="s">
        <v>7</v>
      </c>
      <c r="O382">
        <v>6958.0140000000001</v>
      </c>
      <c r="P382">
        <v>6958.0140000000001</v>
      </c>
      <c r="Q382">
        <v>6958.0140000000001</v>
      </c>
      <c r="R382">
        <v>6957.317</v>
      </c>
      <c r="S382">
        <v>6956.1949999999997</v>
      </c>
      <c r="T382">
        <v>6953.7550000000001</v>
      </c>
      <c r="U382">
        <v>6953.567</v>
      </c>
      <c r="V382">
        <v>6958.8069999999998</v>
      </c>
      <c r="W382">
        <v>6959.6009999999997</v>
      </c>
      <c r="X382">
        <v>417.49799999999999</v>
      </c>
      <c r="Y382">
        <v>414.6</v>
      </c>
      <c r="Z382">
        <v>6914.9939999999997</v>
      </c>
      <c r="AA382">
        <v>330.49</v>
      </c>
      <c r="AB382">
        <v>287.97199999999998</v>
      </c>
      <c r="AC382">
        <v>246.53899999999999</v>
      </c>
      <c r="AD382">
        <v>204.37299999999999</v>
      </c>
      <c r="AE382">
        <v>203.65299999999999</v>
      </c>
      <c r="AF382">
        <v>278.17200000000003</v>
      </c>
      <c r="AG382">
        <v>278.60599999999999</v>
      </c>
      <c r="AH382">
        <v>493.57</v>
      </c>
      <c r="AI382">
        <v>396.42500000000001</v>
      </c>
      <c r="AJ382">
        <v>533.36800000000005</v>
      </c>
      <c r="AK382">
        <v>169.512</v>
      </c>
      <c r="AL382">
        <v>61.962000000000003</v>
      </c>
      <c r="AM382">
        <v>6.2290000000000001</v>
      </c>
      <c r="AN382">
        <v>26.22411437286533</v>
      </c>
      <c r="AO382">
        <v>26.990719783212299</v>
      </c>
      <c r="AP382">
        <v>27.82358563180296</v>
      </c>
      <c r="AQ382">
        <v>28.720065561357799</v>
      </c>
      <c r="AR382">
        <v>29.69594266674687</v>
      </c>
      <c r="AS382">
        <v>30.78123788941237</v>
      </c>
      <c r="AT382">
        <v>31.976260358527689</v>
      </c>
      <c r="AU382">
        <v>33.295681093604053</v>
      </c>
      <c r="AV382">
        <v>34.77450298646712</v>
      </c>
      <c r="AW382">
        <v>36.260519570071537</v>
      </c>
      <c r="AX382">
        <v>37.711475556719833</v>
      </c>
      <c r="AY382">
        <v>39.090846332101293</v>
      </c>
      <c r="AZ382">
        <v>40.373378146902247</v>
      </c>
      <c r="BA382">
        <v>41.541556982352667</v>
      </c>
      <c r="BB382">
        <v>42.588750749107618</v>
      </c>
      <c r="BC382">
        <v>43.52084598561175</v>
      </c>
      <c r="BD382">
        <v>44.35738304438599</v>
      </c>
      <c r="BE382">
        <v>45.132132002164731</v>
      </c>
      <c r="BF382">
        <v>45.892899721930029</v>
      </c>
      <c r="BG382">
        <v>46.70030387827385</v>
      </c>
      <c r="BH382">
        <v>47.610613877316183</v>
      </c>
      <c r="BI382">
        <v>48.68230268780534</v>
      </c>
      <c r="BJ382">
        <v>49.948773211506833</v>
      </c>
      <c r="BK382">
        <v>51.457264333906132</v>
      </c>
      <c r="BL382">
        <v>53.246238094531229</v>
      </c>
      <c r="BM382">
        <v>55.340243062384893</v>
      </c>
      <c r="BN382">
        <v>57.725334364694483</v>
      </c>
      <c r="BO382">
        <v>60.812014731517131</v>
      </c>
      <c r="BP382">
        <v>64.825433737586565</v>
      </c>
      <c r="BQ382">
        <v>69.089064808001041</v>
      </c>
      <c r="BR382">
        <v>73.596384053650411</v>
      </c>
      <c r="BS382">
        <v>78.334972203766171</v>
      </c>
      <c r="BT382">
        <v>83.288981203174231</v>
      </c>
      <c r="BU382">
        <v>88.440518831385475</v>
      </c>
      <c r="BV382">
        <v>93.768760903735725</v>
      </c>
      <c r="BW382">
        <v>99.251533317824567</v>
      </c>
      <c r="BX382">
        <v>104.8671795170731</v>
      </c>
      <c r="BY382">
        <v>110.61260705176031</v>
      </c>
      <c r="BZ382">
        <v>116.486795524652</v>
      </c>
      <c r="CA382">
        <v>122.4899659922054</v>
      </c>
      <c r="CB382">
        <v>128.62156135284701</v>
      </c>
      <c r="CC382">
        <v>134.89474977509931</v>
      </c>
      <c r="CD382">
        <v>141.34216227337731</v>
      </c>
      <c r="CE382">
        <v>147.93942162189981</v>
      </c>
      <c r="CF382">
        <v>154.6959230760701</v>
      </c>
      <c r="CG382">
        <v>161.6217302770761</v>
      </c>
      <c r="CH382">
        <v>168.7284856360325</v>
      </c>
      <c r="CI382">
        <v>176.1018444906434</v>
      </c>
      <c r="CJ382">
        <v>183.97879767686271</v>
      </c>
      <c r="CK382">
        <v>192.4802691060554</v>
      </c>
      <c r="CL382">
        <v>201.7250232406256</v>
      </c>
    </row>
    <row r="383" spans="4:90" x14ac:dyDescent="0.2">
      <c r="D383" t="s">
        <v>72</v>
      </c>
      <c r="F383" t="s">
        <v>87</v>
      </c>
      <c r="G383" t="s">
        <v>93</v>
      </c>
      <c r="H383" t="s">
        <v>97</v>
      </c>
      <c r="I383" t="s">
        <v>98</v>
      </c>
      <c r="K383" t="s">
        <v>90</v>
      </c>
      <c r="L383" t="s">
        <v>90</v>
      </c>
      <c r="M383" t="s">
        <v>99</v>
      </c>
      <c r="N383" t="s">
        <v>7</v>
      </c>
      <c r="O383">
        <v>12953.932000000001</v>
      </c>
      <c r="P383">
        <v>13194.951999999999</v>
      </c>
      <c r="Q383">
        <v>19136.535</v>
      </c>
      <c r="R383">
        <v>14014.99</v>
      </c>
      <c r="S383">
        <v>19148.171999999999</v>
      </c>
      <c r="T383">
        <v>13299.499</v>
      </c>
      <c r="U383">
        <v>15928.290999999999</v>
      </c>
      <c r="V383">
        <v>12321.385</v>
      </c>
      <c r="W383">
        <v>11881.502</v>
      </c>
      <c r="X383">
        <v>13500.647000000001</v>
      </c>
      <c r="Y383">
        <v>2623.8510000000001</v>
      </c>
      <c r="Z383">
        <v>4537.7309999999998</v>
      </c>
      <c r="AA383">
        <v>2920.7640000000001</v>
      </c>
      <c r="AB383">
        <v>3220.5709999999999</v>
      </c>
      <c r="AC383">
        <v>2830.2460000000001</v>
      </c>
      <c r="AD383">
        <v>2906.971</v>
      </c>
      <c r="AE383">
        <v>2941.8429999999998</v>
      </c>
      <c r="AF383">
        <v>3097.0369999999998</v>
      </c>
      <c r="AG383">
        <v>2976.232</v>
      </c>
      <c r="AH383">
        <v>2799.462</v>
      </c>
      <c r="AI383">
        <v>-759.32299999999998</v>
      </c>
      <c r="AJ383">
        <v>2197.69</v>
      </c>
      <c r="AK383">
        <v>1826.1010000000001</v>
      </c>
      <c r="AL383">
        <v>1882.3050000000001</v>
      </c>
      <c r="AM383">
        <v>1491.104</v>
      </c>
      <c r="AN383">
        <v>4579.833903890416</v>
      </c>
      <c r="AO383">
        <v>4548.071972169324</v>
      </c>
      <c r="AP383">
        <v>4516.1931459631714</v>
      </c>
      <c r="AQ383">
        <v>4613.7140696066881</v>
      </c>
      <c r="AR383">
        <v>4890.0822543949271</v>
      </c>
      <c r="AS383">
        <v>5161.0695785664993</v>
      </c>
      <c r="AT383">
        <v>5589.9388532403973</v>
      </c>
      <c r="AU383">
        <v>5679.0280046795851</v>
      </c>
      <c r="AV383">
        <v>5510.1910932011106</v>
      </c>
      <c r="AW383">
        <v>5237.119971674977</v>
      </c>
      <c r="AX383">
        <v>4831.1024308395499</v>
      </c>
      <c r="AY383">
        <v>4345.9734411814588</v>
      </c>
      <c r="AZ383">
        <v>3817.32403681713</v>
      </c>
      <c r="BA383">
        <v>3290.4225114689871</v>
      </c>
      <c r="BB383">
        <v>2811.860788518662</v>
      </c>
      <c r="BC383">
        <v>2427.1620040957168</v>
      </c>
      <c r="BD383">
        <v>2178.6067776994928</v>
      </c>
      <c r="BE383">
        <v>2103.160977678448</v>
      </c>
      <c r="BF383">
        <v>2230.3294644467951</v>
      </c>
      <c r="BG383">
        <v>2533.8424389083889</v>
      </c>
      <c r="BH383">
        <v>3011.041603384565</v>
      </c>
      <c r="BI383">
        <v>3578.8887481472548</v>
      </c>
      <c r="BJ383">
        <v>4276.0576179514092</v>
      </c>
      <c r="BK383">
        <v>5073.5854624257527</v>
      </c>
      <c r="BL383">
        <v>5931.3514016169693</v>
      </c>
      <c r="BM383">
        <v>6745.0898210574587</v>
      </c>
      <c r="BN383">
        <v>8422.392806975884</v>
      </c>
      <c r="BO383">
        <v>8979.5699464263325</v>
      </c>
      <c r="BP383">
        <v>9735.9874548717853</v>
      </c>
      <c r="BQ383">
        <v>10502.26226409923</v>
      </c>
      <c r="BR383">
        <v>11192.365979830311</v>
      </c>
      <c r="BS383">
        <v>11789.60298247912</v>
      </c>
      <c r="BT383">
        <v>12286.063245611431</v>
      </c>
      <c r="BU383">
        <v>12669.4842084474</v>
      </c>
      <c r="BV383">
        <v>12921.851308177889</v>
      </c>
      <c r="BW383">
        <v>13047.077033235621</v>
      </c>
      <c r="BX383">
        <v>13117.144548400151</v>
      </c>
      <c r="BY383">
        <v>13114.77122006985</v>
      </c>
      <c r="BZ383">
        <v>13002.870792573511</v>
      </c>
      <c r="CA383">
        <v>12838.55724448854</v>
      </c>
      <c r="CB383">
        <v>12295.701639440829</v>
      </c>
      <c r="CC383">
        <v>10700.4572540228</v>
      </c>
      <c r="CD383">
        <v>10425.3395591563</v>
      </c>
      <c r="CE383">
        <v>10118.927200059001</v>
      </c>
      <c r="CF383">
        <v>9784.6499229072397</v>
      </c>
      <c r="CG383">
        <v>9427.5394187167294</v>
      </c>
      <c r="CH383">
        <v>9606.6122877759499</v>
      </c>
      <c r="CI383">
        <v>11159.997810066299</v>
      </c>
      <c r="CJ383">
        <v>12800.2686504912</v>
      </c>
      <c r="CK383">
        <v>14474.8209502056</v>
      </c>
      <c r="CL383">
        <v>13316.5012078087</v>
      </c>
    </row>
    <row r="384" spans="4:90" x14ac:dyDescent="0.2">
      <c r="D384" t="s">
        <v>72</v>
      </c>
      <c r="F384" t="s">
        <v>87</v>
      </c>
      <c r="G384" t="s">
        <v>93</v>
      </c>
      <c r="H384" t="s">
        <v>97</v>
      </c>
      <c r="I384" t="s">
        <v>100</v>
      </c>
      <c r="K384" t="s">
        <v>101</v>
      </c>
      <c r="L384" t="s">
        <v>102</v>
      </c>
      <c r="M384" t="s">
        <v>102</v>
      </c>
      <c r="N384" t="s">
        <v>7</v>
      </c>
      <c r="O384">
        <v>-99999</v>
      </c>
      <c r="P384">
        <v>-99999</v>
      </c>
      <c r="Q384">
        <v>-99999</v>
      </c>
      <c r="R384">
        <v>-99999</v>
      </c>
      <c r="S384">
        <v>-99999</v>
      </c>
      <c r="T384">
        <v>-99999</v>
      </c>
      <c r="U384">
        <v>-99999</v>
      </c>
      <c r="V384">
        <v>-99999</v>
      </c>
      <c r="W384">
        <v>-99999</v>
      </c>
      <c r="X384">
        <v>-99999</v>
      </c>
      <c r="Y384">
        <v>-99999</v>
      </c>
      <c r="Z384">
        <v>-99999</v>
      </c>
      <c r="AA384">
        <v>-99999</v>
      </c>
      <c r="AB384">
        <v>-99999</v>
      </c>
      <c r="AC384">
        <v>-99999</v>
      </c>
      <c r="AD384">
        <v>-99999</v>
      </c>
      <c r="AE384">
        <v>-99999</v>
      </c>
      <c r="AF384">
        <v>-99999</v>
      </c>
      <c r="AG384">
        <v>-99999</v>
      </c>
      <c r="AH384">
        <v>-99999</v>
      </c>
      <c r="AI384">
        <v>-99999</v>
      </c>
      <c r="AJ384">
        <v>-99999</v>
      </c>
      <c r="AK384">
        <v>-99999</v>
      </c>
      <c r="AL384">
        <v>-99999</v>
      </c>
      <c r="AM384">
        <v>-99999</v>
      </c>
      <c r="AN384">
        <v>163.6299815992144</v>
      </c>
      <c r="AO384">
        <v>161.65000633474739</v>
      </c>
      <c r="AP384">
        <v>159.86013063992479</v>
      </c>
      <c r="AQ384">
        <v>159.6446617282771</v>
      </c>
      <c r="AR384">
        <v>162.1402928719699</v>
      </c>
      <c r="AS384">
        <v>164.5815674897101</v>
      </c>
      <c r="AT384">
        <v>164.97428550068079</v>
      </c>
      <c r="AU384">
        <v>161.6235367349374</v>
      </c>
      <c r="AV384">
        <v>158.25550725137401</v>
      </c>
      <c r="AW384">
        <v>153.47187233988581</v>
      </c>
      <c r="AX384">
        <v>146.6158838022242</v>
      </c>
      <c r="AY384">
        <v>138.5344392559233</v>
      </c>
      <c r="AZ384">
        <v>129.95058148402231</v>
      </c>
      <c r="BA384">
        <v>121.5680210570458</v>
      </c>
      <c r="BB384">
        <v>114.1153008230945</v>
      </c>
      <c r="BC384">
        <v>108.26602748014621</v>
      </c>
      <c r="BD384">
        <v>104.5944672531938</v>
      </c>
      <c r="BE384">
        <v>103.5472922651992</v>
      </c>
      <c r="BF384">
        <v>105.43113311786909</v>
      </c>
      <c r="BG384">
        <v>109.7690340700714</v>
      </c>
      <c r="BH384">
        <v>116.4615528595716</v>
      </c>
      <c r="BI384">
        <v>124.35699272579041</v>
      </c>
      <c r="BJ384">
        <v>134.03974344302731</v>
      </c>
      <c r="BK384">
        <v>144.9735009210718</v>
      </c>
      <c r="BL384">
        <v>156.36685882998449</v>
      </c>
      <c r="BM384">
        <v>165.90836730390151</v>
      </c>
      <c r="BN384">
        <v>176.1628669408567</v>
      </c>
      <c r="BO384">
        <v>196.58315631436969</v>
      </c>
      <c r="BP384">
        <v>223.1517436738938</v>
      </c>
      <c r="BQ384">
        <v>249.34116051292301</v>
      </c>
      <c r="BR384">
        <v>275.82810100510301</v>
      </c>
      <c r="BS384">
        <v>302.19577860276098</v>
      </c>
      <c r="BT384">
        <v>328.20681510248897</v>
      </c>
      <c r="BU384">
        <v>353.561648629248</v>
      </c>
      <c r="BV384">
        <v>378.09455751317103</v>
      </c>
      <c r="BW384">
        <v>401.815692162875</v>
      </c>
      <c r="BX384">
        <v>426.33388565580702</v>
      </c>
      <c r="BY384">
        <v>451.86179681504598</v>
      </c>
      <c r="BZ384">
        <v>478.54164781890597</v>
      </c>
      <c r="CA384">
        <v>506.33406622307689</v>
      </c>
      <c r="CB384">
        <v>536.39825466836999</v>
      </c>
      <c r="CC384">
        <v>570.32111996084302</v>
      </c>
      <c r="CD384">
        <v>603.53383714817005</v>
      </c>
      <c r="CE384">
        <v>638.75127259040198</v>
      </c>
      <c r="CF384">
        <v>675.97225808040503</v>
      </c>
      <c r="CG384">
        <v>715.22899437229262</v>
      </c>
      <c r="CH384">
        <v>745.86063314150692</v>
      </c>
      <c r="CI384">
        <v>752.58343179800772</v>
      </c>
      <c r="CJ384">
        <v>758.65921441749595</v>
      </c>
      <c r="CK384">
        <v>764.52006674233326</v>
      </c>
      <c r="CL384">
        <v>762.40135374492615</v>
      </c>
    </row>
    <row r="385" spans="4:90" x14ac:dyDescent="0.2">
      <c r="D385" t="s">
        <v>72</v>
      </c>
      <c r="F385" t="s">
        <v>87</v>
      </c>
      <c r="G385" t="s">
        <v>93</v>
      </c>
      <c r="H385" t="s">
        <v>97</v>
      </c>
      <c r="I385" t="s">
        <v>103</v>
      </c>
      <c r="K385" t="s">
        <v>101</v>
      </c>
      <c r="L385" t="s">
        <v>102</v>
      </c>
      <c r="M385" t="s">
        <v>102</v>
      </c>
      <c r="N385" t="s">
        <v>7</v>
      </c>
      <c r="O385">
        <v>-99999</v>
      </c>
      <c r="P385">
        <v>-99999</v>
      </c>
      <c r="Q385">
        <v>-99999</v>
      </c>
      <c r="R385">
        <v>-99999</v>
      </c>
      <c r="S385">
        <v>-99999</v>
      </c>
      <c r="T385">
        <v>-99999</v>
      </c>
      <c r="U385">
        <v>-99999</v>
      </c>
      <c r="V385">
        <v>-99999</v>
      </c>
      <c r="W385">
        <v>-99999</v>
      </c>
      <c r="X385">
        <v>-99999</v>
      </c>
      <c r="Y385">
        <v>-99999</v>
      </c>
      <c r="Z385">
        <v>-99999</v>
      </c>
      <c r="AA385">
        <v>-99999</v>
      </c>
      <c r="AB385">
        <v>-99999</v>
      </c>
      <c r="AC385">
        <v>-99999</v>
      </c>
      <c r="AD385">
        <v>-99999</v>
      </c>
      <c r="AE385">
        <v>-99999</v>
      </c>
      <c r="AF385">
        <v>-99999</v>
      </c>
      <c r="AG385">
        <v>-99999</v>
      </c>
      <c r="AH385">
        <v>-99999</v>
      </c>
      <c r="AI385">
        <v>-99999</v>
      </c>
      <c r="AJ385">
        <v>-99999</v>
      </c>
      <c r="AK385">
        <v>-99999</v>
      </c>
      <c r="AL385">
        <v>-99999</v>
      </c>
      <c r="AM385">
        <v>-99999</v>
      </c>
      <c r="AN385">
        <v>7.3819092235432997</v>
      </c>
      <c r="AO385">
        <v>7.9143419024171999</v>
      </c>
      <c r="AP385">
        <v>8.4309091802580998</v>
      </c>
      <c r="AQ385">
        <v>9.065706781571901</v>
      </c>
      <c r="AR385">
        <v>9.9254674783399999</v>
      </c>
      <c r="AS385">
        <v>10.793144885452801</v>
      </c>
      <c r="AT385">
        <v>11.8216621506467</v>
      </c>
      <c r="AU385">
        <v>13.180303124020099</v>
      </c>
      <c r="AV385">
        <v>13.248163313660701</v>
      </c>
      <c r="AW385">
        <v>13.000707657227499</v>
      </c>
      <c r="AX385">
        <v>12.4979434775667</v>
      </c>
      <c r="AY385">
        <v>11.819482812087699</v>
      </c>
      <c r="AZ385">
        <v>11.016525908809699</v>
      </c>
      <c r="BA385">
        <v>10.1639323551645</v>
      </c>
      <c r="BB385">
        <v>9.3484451416171996</v>
      </c>
      <c r="BC385">
        <v>8.6671617857391006</v>
      </c>
      <c r="BD385">
        <v>8.2247622942869985</v>
      </c>
      <c r="BE385">
        <v>8.1283694295170008</v>
      </c>
      <c r="BF385">
        <v>8.4793328353348993</v>
      </c>
      <c r="BG385">
        <v>9.2538302998224005</v>
      </c>
      <c r="BH385">
        <v>10.4740844516961</v>
      </c>
      <c r="BI385">
        <v>11.9572854968249</v>
      </c>
      <c r="BJ385">
        <v>13.8041813052194</v>
      </c>
      <c r="BK385">
        <v>15.9443980363822</v>
      </c>
      <c r="BL385">
        <v>18.267431318850001</v>
      </c>
      <c r="BM385">
        <v>20.4838540250325</v>
      </c>
      <c r="BN385">
        <v>26.175933102498401</v>
      </c>
      <c r="BO385">
        <v>33.442596350499798</v>
      </c>
      <c r="BP385">
        <v>34.622456248369403</v>
      </c>
      <c r="BQ385">
        <v>35.704836369618299</v>
      </c>
      <c r="BR385">
        <v>36.585326574897799</v>
      </c>
      <c r="BS385">
        <v>37.248407278816302</v>
      </c>
      <c r="BT385">
        <v>37.688111921493601</v>
      </c>
      <c r="BU385">
        <v>37.897109383895597</v>
      </c>
      <c r="BV385">
        <v>37.880629087337098</v>
      </c>
      <c r="BW385">
        <v>37.655727468010497</v>
      </c>
      <c r="BX385">
        <v>37.320338854630499</v>
      </c>
      <c r="BY385">
        <v>36.882956153742597</v>
      </c>
      <c r="BZ385">
        <v>36.349274216282588</v>
      </c>
      <c r="CA385">
        <v>35.719307962218807</v>
      </c>
      <c r="CB385">
        <v>35.046103488883112</v>
      </c>
      <c r="CC385">
        <v>34.3890957597769</v>
      </c>
      <c r="CD385">
        <v>33.547318273452298</v>
      </c>
      <c r="CE385">
        <v>32.6491883880594</v>
      </c>
      <c r="CF385">
        <v>31.6987123224072</v>
      </c>
      <c r="CG385">
        <v>30.7035667480271</v>
      </c>
      <c r="CH385">
        <v>31.0491110650755</v>
      </c>
      <c r="CI385">
        <v>34.916021904841998</v>
      </c>
      <c r="CJ385">
        <v>39.278919074739797</v>
      </c>
      <c r="CK385">
        <v>44.148255010498403</v>
      </c>
      <c r="CL385">
        <v>41.3592962294655</v>
      </c>
    </row>
    <row r="386" spans="4:90" x14ac:dyDescent="0.2">
      <c r="D386" t="s">
        <v>72</v>
      </c>
      <c r="F386" t="s">
        <v>87</v>
      </c>
      <c r="G386" t="s">
        <v>93</v>
      </c>
      <c r="H386" t="s">
        <v>97</v>
      </c>
      <c r="I386" t="s">
        <v>104</v>
      </c>
      <c r="K386" t="s">
        <v>101</v>
      </c>
      <c r="L386" t="s">
        <v>102</v>
      </c>
      <c r="M386" t="s">
        <v>102</v>
      </c>
      <c r="N386" t="s">
        <v>7</v>
      </c>
      <c r="O386">
        <v>-99999</v>
      </c>
      <c r="P386">
        <v>-99999</v>
      </c>
      <c r="Q386">
        <v>-99999</v>
      </c>
      <c r="R386">
        <v>-99999</v>
      </c>
      <c r="S386">
        <v>-99999</v>
      </c>
      <c r="T386">
        <v>-99999</v>
      </c>
      <c r="U386">
        <v>-99999</v>
      </c>
      <c r="V386">
        <v>-99999</v>
      </c>
      <c r="W386">
        <v>-99999</v>
      </c>
      <c r="X386">
        <v>-99999</v>
      </c>
      <c r="Y386">
        <v>-99999</v>
      </c>
      <c r="Z386">
        <v>-99999</v>
      </c>
      <c r="AA386">
        <v>-99999</v>
      </c>
      <c r="AB386">
        <v>-99999</v>
      </c>
      <c r="AC386">
        <v>-99999</v>
      </c>
      <c r="AD386">
        <v>-99999</v>
      </c>
      <c r="AE386">
        <v>-99999</v>
      </c>
      <c r="AF386">
        <v>-99999</v>
      </c>
      <c r="AG386">
        <v>-99999</v>
      </c>
      <c r="AH386">
        <v>-99999</v>
      </c>
      <c r="AI386">
        <v>-99999</v>
      </c>
      <c r="AJ386">
        <v>-99999</v>
      </c>
      <c r="AK386">
        <v>-99999</v>
      </c>
      <c r="AL386">
        <v>-99999</v>
      </c>
      <c r="AM386">
        <v>-99999</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row>
    <row r="387" spans="4:90" x14ac:dyDescent="0.2">
      <c r="D387" t="s">
        <v>72</v>
      </c>
      <c r="F387" t="s">
        <v>87</v>
      </c>
      <c r="G387" t="s">
        <v>93</v>
      </c>
      <c r="H387" t="s">
        <v>97</v>
      </c>
      <c r="I387" t="s">
        <v>105</v>
      </c>
      <c r="K387" t="s">
        <v>101</v>
      </c>
      <c r="L387" t="s">
        <v>102</v>
      </c>
      <c r="M387" t="s">
        <v>102</v>
      </c>
      <c r="N387" t="s">
        <v>7</v>
      </c>
      <c r="O387">
        <v>-99999</v>
      </c>
      <c r="P387">
        <v>-99999</v>
      </c>
      <c r="Q387">
        <v>-99999</v>
      </c>
      <c r="R387">
        <v>-99999</v>
      </c>
      <c r="S387">
        <v>-99999</v>
      </c>
      <c r="T387">
        <v>-99999</v>
      </c>
      <c r="U387">
        <v>-99999</v>
      </c>
      <c r="V387">
        <v>-99999</v>
      </c>
      <c r="W387">
        <v>-99999</v>
      </c>
      <c r="X387">
        <v>-99999</v>
      </c>
      <c r="Y387">
        <v>-99999</v>
      </c>
      <c r="Z387">
        <v>-99999</v>
      </c>
      <c r="AA387">
        <v>-99999</v>
      </c>
      <c r="AB387">
        <v>-99999</v>
      </c>
      <c r="AC387">
        <v>-99999</v>
      </c>
      <c r="AD387">
        <v>-99999</v>
      </c>
      <c r="AE387">
        <v>-99999</v>
      </c>
      <c r="AF387">
        <v>-99999</v>
      </c>
      <c r="AG387">
        <v>-99999</v>
      </c>
      <c r="AH387">
        <v>-99999</v>
      </c>
      <c r="AI387">
        <v>-99999</v>
      </c>
      <c r="AJ387">
        <v>-99999</v>
      </c>
      <c r="AK387">
        <v>-99999</v>
      </c>
      <c r="AL387">
        <v>-99999</v>
      </c>
      <c r="AM387">
        <v>-99999</v>
      </c>
      <c r="AN387">
        <v>150.215100237196</v>
      </c>
      <c r="AO387">
        <v>142.85496267020901</v>
      </c>
      <c r="AP387">
        <v>135.85983117207101</v>
      </c>
      <c r="AQ387">
        <v>129.48410088129</v>
      </c>
      <c r="AR387">
        <v>124.440183997698</v>
      </c>
      <c r="AS387">
        <v>120.587802702666</v>
      </c>
      <c r="AT387">
        <v>118.145025339745</v>
      </c>
      <c r="AU387">
        <v>129.331308776794</v>
      </c>
      <c r="AV387">
        <v>127.520736037603</v>
      </c>
      <c r="AW387">
        <v>125.678611924913</v>
      </c>
      <c r="AX387">
        <v>123.945685629465</v>
      </c>
      <c r="AY387">
        <v>122.832286538419</v>
      </c>
      <c r="AZ387">
        <v>122.62841247418299</v>
      </c>
      <c r="BA387">
        <v>123.437587109605</v>
      </c>
      <c r="BB387">
        <v>125.251255286084</v>
      </c>
      <c r="BC387">
        <v>127.958928137659</v>
      </c>
      <c r="BD387">
        <v>131.37141034870501</v>
      </c>
      <c r="BE387">
        <v>135.241880162321</v>
      </c>
      <c r="BF387">
        <v>139.27664717156799</v>
      </c>
      <c r="BG387">
        <v>143.026922200885</v>
      </c>
      <c r="BH387">
        <v>146.17385054764401</v>
      </c>
      <c r="BI387">
        <v>148.19529527434801</v>
      </c>
      <c r="BJ387">
        <v>149.00943443706399</v>
      </c>
      <c r="BK387">
        <v>148.24376513181801</v>
      </c>
      <c r="BL387">
        <v>145.68347385259099</v>
      </c>
      <c r="BM387">
        <v>141.09827532540601</v>
      </c>
      <c r="BN387">
        <v>138.50135473084001</v>
      </c>
      <c r="BO387">
        <v>141.48591371743001</v>
      </c>
      <c r="BP387">
        <v>147.63219614025201</v>
      </c>
      <c r="BQ387">
        <v>152.79395477586999</v>
      </c>
      <c r="BR387">
        <v>154.590887137236</v>
      </c>
      <c r="BS387">
        <v>154.99297181479</v>
      </c>
      <c r="BT387">
        <v>154.25899027147</v>
      </c>
      <c r="BU387">
        <v>152.50761994008499</v>
      </c>
      <c r="BV387">
        <v>149.89419799728799</v>
      </c>
      <c r="BW387">
        <v>146.59282443775501</v>
      </c>
      <c r="BX387">
        <v>143.07553627768999</v>
      </c>
      <c r="BY387">
        <v>139.38457992119501</v>
      </c>
      <c r="BZ387">
        <v>135.54015619174501</v>
      </c>
      <c r="CA387">
        <v>131.529542956982</v>
      </c>
      <c r="CB387">
        <v>127.18625260536</v>
      </c>
      <c r="CC387">
        <v>122.510406265565</v>
      </c>
      <c r="CD387">
        <v>117.625947952308</v>
      </c>
      <c r="CE387">
        <v>112.788145324833</v>
      </c>
      <c r="CF387">
        <v>107.99151495175001</v>
      </c>
      <c r="CG387">
        <v>103.238974864</v>
      </c>
      <c r="CH387">
        <v>101.441678889876</v>
      </c>
      <c r="CI387">
        <v>99.578124789881301</v>
      </c>
      <c r="CJ387">
        <v>96.1133777737504</v>
      </c>
      <c r="CK387">
        <v>93.063930635126894</v>
      </c>
      <c r="CL387">
        <v>87.998491871264704</v>
      </c>
    </row>
    <row r="388" spans="4:90" x14ac:dyDescent="0.2">
      <c r="D388" t="s">
        <v>72</v>
      </c>
      <c r="F388" t="s">
        <v>87</v>
      </c>
      <c r="G388" t="s">
        <v>106</v>
      </c>
      <c r="H388" t="s">
        <v>107</v>
      </c>
      <c r="K388" t="s">
        <v>108</v>
      </c>
      <c r="L388" t="s">
        <v>96</v>
      </c>
      <c r="N388" t="s">
        <v>7</v>
      </c>
      <c r="O388">
        <v>348.714</v>
      </c>
      <c r="P388">
        <v>348.714</v>
      </c>
      <c r="Q388">
        <v>348.714</v>
      </c>
      <c r="R388">
        <v>348.714</v>
      </c>
      <c r="S388">
        <v>348.714</v>
      </c>
      <c r="T388">
        <v>350.34399999999999</v>
      </c>
      <c r="U388">
        <v>350.23099999999999</v>
      </c>
      <c r="V388">
        <v>349.52100000000002</v>
      </c>
      <c r="W388">
        <v>348.714</v>
      </c>
      <c r="X388">
        <v>348.714</v>
      </c>
      <c r="Y388">
        <v>348.714</v>
      </c>
      <c r="Z388">
        <v>348.714</v>
      </c>
      <c r="AA388">
        <v>348.714</v>
      </c>
      <c r="AB388">
        <v>34.865000000000002</v>
      </c>
      <c r="AC388">
        <v>34.865000000000002</v>
      </c>
      <c r="AD388">
        <v>34.865000000000002</v>
      </c>
      <c r="AE388">
        <v>34.865000000000002</v>
      </c>
      <c r="AF388">
        <v>34.865000000000002</v>
      </c>
      <c r="AG388">
        <v>34.865000000000002</v>
      </c>
      <c r="AH388">
        <v>34.865000000000002</v>
      </c>
      <c r="AI388">
        <v>34.865000000000002</v>
      </c>
      <c r="AJ388">
        <v>34.865000000000002</v>
      </c>
      <c r="AK388">
        <v>34.865000000000002</v>
      </c>
      <c r="AL388">
        <v>3.484</v>
      </c>
      <c r="AM388">
        <v>3.484</v>
      </c>
      <c r="AN388">
        <v>0.87029417373859996</v>
      </c>
      <c r="AO388">
        <v>0.98790067187089992</v>
      </c>
      <c r="AP388">
        <v>1.1013441090523</v>
      </c>
      <c r="AQ388">
        <v>1.2109411539906001</v>
      </c>
      <c r="AR388">
        <v>1.3194114083523001</v>
      </c>
      <c r="AS388">
        <v>1.4230576030385</v>
      </c>
      <c r="AT388">
        <v>1.5204829473395001</v>
      </c>
      <c r="AU388">
        <v>1.6211028911468</v>
      </c>
      <c r="AV388">
        <v>1.7477594778921</v>
      </c>
      <c r="AW388">
        <v>1.8598674013434999</v>
      </c>
      <c r="AX388">
        <v>1.9571703234132001</v>
      </c>
      <c r="AY388">
        <v>2.0436014425667</v>
      </c>
      <c r="AZ388">
        <v>2.1225602039505</v>
      </c>
      <c r="BA388">
        <v>2.1967785000314999</v>
      </c>
      <c r="BB388">
        <v>2.2684096627289998</v>
      </c>
      <c r="BC388">
        <v>2.3390217851848001</v>
      </c>
      <c r="BD388">
        <v>2.4095686321001999</v>
      </c>
      <c r="BE388">
        <v>2.4803734004795999</v>
      </c>
      <c r="BF388">
        <v>2.5511430791840999</v>
      </c>
      <c r="BG388">
        <v>2.6210260809731998</v>
      </c>
      <c r="BH388">
        <v>2.6885771125894</v>
      </c>
      <c r="BI388">
        <v>2.7521737961225998</v>
      </c>
      <c r="BJ388">
        <v>2.8104295111001001</v>
      </c>
      <c r="BK388">
        <v>2.8619315136523999</v>
      </c>
      <c r="BL388">
        <v>2.9064155741573998</v>
      </c>
      <c r="BM388">
        <v>2.9458682405763001</v>
      </c>
      <c r="BN388">
        <v>2.9879805113994999</v>
      </c>
      <c r="BO388">
        <v>3.1573856118601</v>
      </c>
      <c r="BP388">
        <v>3.4923401333859001</v>
      </c>
      <c r="BQ388">
        <v>3.7860607863000002</v>
      </c>
      <c r="BR388">
        <v>4.0463330056788998</v>
      </c>
      <c r="BS388">
        <v>4.2799736001922</v>
      </c>
      <c r="BT388">
        <v>4.4923711547423002</v>
      </c>
      <c r="BU388">
        <v>4.6879097272718004</v>
      </c>
      <c r="BV388">
        <v>4.8700160619356003</v>
      </c>
      <c r="BW388">
        <v>5.0413713710804</v>
      </c>
      <c r="BX388">
        <v>5.2041037990875001</v>
      </c>
      <c r="BY388">
        <v>5.3619673532804004</v>
      </c>
      <c r="BZ388">
        <v>5.5179391787691996</v>
      </c>
      <c r="CA388">
        <v>5.6743992990156</v>
      </c>
      <c r="CB388">
        <v>5.8332742672792994</v>
      </c>
      <c r="CC388">
        <v>5.9968508580125999</v>
      </c>
      <c r="CD388">
        <v>6.1679076672184001</v>
      </c>
      <c r="CE388">
        <v>6.3463427365031997</v>
      </c>
      <c r="CF388">
        <v>6.5334178415221</v>
      </c>
      <c r="CG388">
        <v>6.7301585511160003</v>
      </c>
      <c r="CH388">
        <v>6.9374482672182998</v>
      </c>
      <c r="CI388">
        <v>7.1787126218857997</v>
      </c>
      <c r="CJ388">
        <v>7.5134058980865994</v>
      </c>
      <c r="CK388">
        <v>7.9380209401529997</v>
      </c>
      <c r="CL388">
        <v>8.4498870622775009</v>
      </c>
    </row>
    <row r="389" spans="4:90" x14ac:dyDescent="0.2">
      <c r="D389" t="s">
        <v>72</v>
      </c>
      <c r="F389" t="s">
        <v>87</v>
      </c>
      <c r="G389" t="s">
        <v>106</v>
      </c>
      <c r="H389" t="s">
        <v>109</v>
      </c>
      <c r="I389" t="s">
        <v>110</v>
      </c>
      <c r="K389" t="s">
        <v>90</v>
      </c>
      <c r="L389" t="s">
        <v>90</v>
      </c>
      <c r="M389" t="s">
        <v>99</v>
      </c>
      <c r="N389" t="s">
        <v>7</v>
      </c>
      <c r="O389">
        <v>28.158000000000001</v>
      </c>
      <c r="P389">
        <v>90.897000000000006</v>
      </c>
      <c r="Q389">
        <v>90.897000000000006</v>
      </c>
      <c r="R389">
        <v>90.897000000000006</v>
      </c>
      <c r="S389">
        <v>90.897000000000006</v>
      </c>
      <c r="T389">
        <v>90.897000000000006</v>
      </c>
      <c r="U389">
        <v>90.897000000000006</v>
      </c>
      <c r="V389">
        <v>90.897000000000006</v>
      </c>
      <c r="W389">
        <v>90.897000000000006</v>
      </c>
      <c r="X389">
        <v>90.897000000000006</v>
      </c>
      <c r="Y389">
        <v>90.897000000000006</v>
      </c>
      <c r="Z389">
        <v>90.897000000000006</v>
      </c>
      <c r="AA389">
        <v>90.897000000000006</v>
      </c>
      <c r="AB389">
        <v>90.897000000000006</v>
      </c>
      <c r="AC389">
        <v>90.897000000000006</v>
      </c>
      <c r="AD389">
        <v>90.897000000000006</v>
      </c>
      <c r="AE389">
        <v>90.897000000000006</v>
      </c>
      <c r="AF389">
        <v>90.897000000000006</v>
      </c>
      <c r="AG389">
        <v>90.897000000000006</v>
      </c>
      <c r="AH389">
        <v>90.897000000000006</v>
      </c>
      <c r="AI389">
        <v>0</v>
      </c>
      <c r="AJ389">
        <v>0</v>
      </c>
      <c r="AK389">
        <v>0</v>
      </c>
      <c r="AL389">
        <v>0</v>
      </c>
      <c r="AM389">
        <v>0</v>
      </c>
      <c r="AN389">
        <v>3858.6847134932382</v>
      </c>
      <c r="AO389">
        <v>3833.7200450654832</v>
      </c>
      <c r="AP389">
        <v>3808.6009623083919</v>
      </c>
      <c r="AQ389">
        <v>3818.3757245756228</v>
      </c>
      <c r="AR389">
        <v>3747.5493245838252</v>
      </c>
      <c r="AS389">
        <v>3677.7846603878252</v>
      </c>
      <c r="AT389">
        <v>4240.6362789558598</v>
      </c>
      <c r="AU389">
        <v>4672.8134739812758</v>
      </c>
      <c r="AV389">
        <v>4731.1694405574181</v>
      </c>
      <c r="AW389">
        <v>4834.3936486938956</v>
      </c>
      <c r="AX389">
        <v>4995.4021687405611</v>
      </c>
      <c r="AY389">
        <v>5194.7697642380217</v>
      </c>
      <c r="AZ389">
        <v>5418.8300268167031</v>
      </c>
      <c r="BA389">
        <v>5649.5088086147834</v>
      </c>
      <c r="BB389">
        <v>5867.4380275930489</v>
      </c>
      <c r="BC389">
        <v>6052.8163606831185</v>
      </c>
      <c r="BD389">
        <v>6186.3877260012023</v>
      </c>
      <c r="BE389">
        <v>6250.4289194416187</v>
      </c>
      <c r="BF389">
        <v>6229.7870693187588</v>
      </c>
      <c r="BG389">
        <v>6130.69140068863</v>
      </c>
      <c r="BH389">
        <v>5951.2376155955662</v>
      </c>
      <c r="BI389">
        <v>5723.1816930745317</v>
      </c>
      <c r="BJ389">
        <v>5428.6027184092709</v>
      </c>
      <c r="BK389">
        <v>5081.6491700111028</v>
      </c>
      <c r="BL389">
        <v>4705.8450233396052</v>
      </c>
      <c r="BM389">
        <v>4380.4251032484972</v>
      </c>
      <c r="BN389">
        <v>4017.57876850099</v>
      </c>
      <c r="BO389">
        <v>4285.3477782378568</v>
      </c>
      <c r="BP389">
        <v>4779.8854053196992</v>
      </c>
      <c r="BQ389">
        <v>5294.9591373831172</v>
      </c>
      <c r="BR389">
        <v>5807.3915610024833</v>
      </c>
      <c r="BS389">
        <v>6309.0837080194206</v>
      </c>
      <c r="BT389">
        <v>6794.869415664436</v>
      </c>
      <c r="BU389">
        <v>7252.6540719296136</v>
      </c>
      <c r="BV389">
        <v>7699.4224871636197</v>
      </c>
      <c r="BW389">
        <v>8125.1456602584094</v>
      </c>
      <c r="BX389">
        <v>8533.2343021445304</v>
      </c>
      <c r="BY389">
        <v>8915.9941886297111</v>
      </c>
      <c r="BZ389">
        <v>9264.9037949116791</v>
      </c>
      <c r="CA389">
        <v>9569.8236257217195</v>
      </c>
      <c r="CB389">
        <v>9835.3353286097099</v>
      </c>
      <c r="CC389">
        <v>10069.506155737099</v>
      </c>
      <c r="CD389">
        <v>10217.004736184599</v>
      </c>
      <c r="CE389">
        <v>10301.3751103172</v>
      </c>
      <c r="CF389">
        <v>10319.3263836244</v>
      </c>
      <c r="CG389">
        <v>10270.491181965001</v>
      </c>
      <c r="CH389">
        <v>10617.376887770501</v>
      </c>
      <c r="CI389">
        <v>12101.8735599799</v>
      </c>
      <c r="CJ389">
        <v>13638.9863206474</v>
      </c>
      <c r="CK389">
        <v>15176.3349468941</v>
      </c>
      <c r="CL389">
        <v>13961.8778944243</v>
      </c>
    </row>
    <row r="390" spans="4:90" x14ac:dyDescent="0.2">
      <c r="D390" t="s">
        <v>72</v>
      </c>
      <c r="F390" t="s">
        <v>87</v>
      </c>
      <c r="G390" t="s">
        <v>106</v>
      </c>
      <c r="H390" t="s">
        <v>109</v>
      </c>
      <c r="I390" t="s">
        <v>111</v>
      </c>
      <c r="K390" t="s">
        <v>101</v>
      </c>
      <c r="L390" t="s">
        <v>102</v>
      </c>
      <c r="M390" t="s">
        <v>102</v>
      </c>
      <c r="N390" t="s">
        <v>7</v>
      </c>
      <c r="O390">
        <v>-99999</v>
      </c>
      <c r="P390">
        <v>-99999</v>
      </c>
      <c r="Q390">
        <v>-99999</v>
      </c>
      <c r="R390">
        <v>-99999</v>
      </c>
      <c r="S390">
        <v>-99999</v>
      </c>
      <c r="T390">
        <v>-99999</v>
      </c>
      <c r="U390">
        <v>-99999</v>
      </c>
      <c r="V390">
        <v>-99999</v>
      </c>
      <c r="W390">
        <v>-99999</v>
      </c>
      <c r="X390">
        <v>-99999</v>
      </c>
      <c r="Y390">
        <v>-99999</v>
      </c>
      <c r="Z390">
        <v>-99999</v>
      </c>
      <c r="AA390">
        <v>-99999</v>
      </c>
      <c r="AB390">
        <v>-99999</v>
      </c>
      <c r="AC390">
        <v>-99999</v>
      </c>
      <c r="AD390">
        <v>-99999</v>
      </c>
      <c r="AE390">
        <v>-99999</v>
      </c>
      <c r="AF390">
        <v>-99999</v>
      </c>
      <c r="AG390">
        <v>-99999</v>
      </c>
      <c r="AH390">
        <v>-99999</v>
      </c>
      <c r="AI390">
        <v>-99999</v>
      </c>
      <c r="AJ390">
        <v>-99999</v>
      </c>
      <c r="AK390">
        <v>-99999</v>
      </c>
      <c r="AL390">
        <v>-99999</v>
      </c>
      <c r="AM390">
        <v>-99999</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row>
    <row r="391" spans="4:90" x14ac:dyDescent="0.2">
      <c r="D391" t="s">
        <v>72</v>
      </c>
      <c r="F391" t="s">
        <v>87</v>
      </c>
      <c r="G391" t="s">
        <v>106</v>
      </c>
      <c r="H391" t="s">
        <v>109</v>
      </c>
      <c r="I391" t="s">
        <v>112</v>
      </c>
      <c r="K391" t="s">
        <v>101</v>
      </c>
      <c r="L391" t="s">
        <v>102</v>
      </c>
      <c r="M391" t="s">
        <v>102</v>
      </c>
      <c r="N391" t="s">
        <v>7</v>
      </c>
      <c r="O391">
        <v>-99999</v>
      </c>
      <c r="P391">
        <v>-99999</v>
      </c>
      <c r="Q391">
        <v>-99999</v>
      </c>
      <c r="R391">
        <v>-99999</v>
      </c>
      <c r="S391">
        <v>-99999</v>
      </c>
      <c r="T391">
        <v>-99999</v>
      </c>
      <c r="U391">
        <v>-99999</v>
      </c>
      <c r="V391">
        <v>-99999</v>
      </c>
      <c r="W391">
        <v>-99999</v>
      </c>
      <c r="X391">
        <v>-99999</v>
      </c>
      <c r="Y391">
        <v>-99999</v>
      </c>
      <c r="Z391">
        <v>-99999</v>
      </c>
      <c r="AA391">
        <v>-99999</v>
      </c>
      <c r="AB391">
        <v>-99999</v>
      </c>
      <c r="AC391">
        <v>-99999</v>
      </c>
      <c r="AD391">
        <v>-99999</v>
      </c>
      <c r="AE391">
        <v>-99999</v>
      </c>
      <c r="AF391">
        <v>-99999</v>
      </c>
      <c r="AG391">
        <v>-99999</v>
      </c>
      <c r="AH391">
        <v>-99999</v>
      </c>
      <c r="AI391">
        <v>-99999</v>
      </c>
      <c r="AJ391">
        <v>-99999</v>
      </c>
      <c r="AK391">
        <v>-99999</v>
      </c>
      <c r="AL391">
        <v>-99999</v>
      </c>
      <c r="AM391">
        <v>-99999</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row>
    <row r="392" spans="4:90" x14ac:dyDescent="0.2">
      <c r="D392" t="s">
        <v>72</v>
      </c>
      <c r="F392" t="s">
        <v>87</v>
      </c>
      <c r="G392" t="s">
        <v>106</v>
      </c>
      <c r="H392" t="s">
        <v>109</v>
      </c>
      <c r="I392" t="s">
        <v>113</v>
      </c>
      <c r="K392" t="s">
        <v>101</v>
      </c>
      <c r="L392" t="s">
        <v>102</v>
      </c>
      <c r="M392" t="s">
        <v>102</v>
      </c>
      <c r="N392" t="s">
        <v>7</v>
      </c>
      <c r="O392">
        <v>-99999</v>
      </c>
      <c r="P392">
        <v>-99999</v>
      </c>
      <c r="Q392">
        <v>-99999</v>
      </c>
      <c r="R392">
        <v>-99999</v>
      </c>
      <c r="S392">
        <v>-99999</v>
      </c>
      <c r="T392">
        <v>-99999</v>
      </c>
      <c r="U392">
        <v>-99999</v>
      </c>
      <c r="V392">
        <v>-99999</v>
      </c>
      <c r="W392">
        <v>-99999</v>
      </c>
      <c r="X392">
        <v>-99999</v>
      </c>
      <c r="Y392">
        <v>-99999</v>
      </c>
      <c r="Z392">
        <v>-99999</v>
      </c>
      <c r="AA392">
        <v>-99999</v>
      </c>
      <c r="AB392">
        <v>-99999</v>
      </c>
      <c r="AC392">
        <v>-99999</v>
      </c>
      <c r="AD392">
        <v>-99999</v>
      </c>
      <c r="AE392">
        <v>-99999</v>
      </c>
      <c r="AF392">
        <v>-99999</v>
      </c>
      <c r="AG392">
        <v>-99999</v>
      </c>
      <c r="AH392">
        <v>-99999</v>
      </c>
      <c r="AI392">
        <v>-99999</v>
      </c>
      <c r="AJ392">
        <v>-99999</v>
      </c>
      <c r="AK392">
        <v>-99999</v>
      </c>
      <c r="AL392">
        <v>-99999</v>
      </c>
      <c r="AM392">
        <v>-99999</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row>
    <row r="393" spans="4:90" x14ac:dyDescent="0.2">
      <c r="D393" t="s">
        <v>72</v>
      </c>
      <c r="F393" t="s">
        <v>87</v>
      </c>
      <c r="G393" t="s">
        <v>106</v>
      </c>
      <c r="H393" t="s">
        <v>109</v>
      </c>
      <c r="I393" t="s">
        <v>114</v>
      </c>
      <c r="K393" t="s">
        <v>101</v>
      </c>
      <c r="L393" t="s">
        <v>102</v>
      </c>
      <c r="M393" t="s">
        <v>102</v>
      </c>
      <c r="N393" t="s">
        <v>7</v>
      </c>
      <c r="O393">
        <v>-99999</v>
      </c>
      <c r="P393">
        <v>-99999</v>
      </c>
      <c r="Q393">
        <v>-99999</v>
      </c>
      <c r="R393">
        <v>-99999</v>
      </c>
      <c r="S393">
        <v>-99999</v>
      </c>
      <c r="T393">
        <v>-99999</v>
      </c>
      <c r="U393">
        <v>-99999</v>
      </c>
      <c r="V393">
        <v>-99999</v>
      </c>
      <c r="W393">
        <v>-99999</v>
      </c>
      <c r="X393">
        <v>-99999</v>
      </c>
      <c r="Y393">
        <v>-99999</v>
      </c>
      <c r="Z393">
        <v>-99999</v>
      </c>
      <c r="AA393">
        <v>-99999</v>
      </c>
      <c r="AB393">
        <v>-99999</v>
      </c>
      <c r="AC393">
        <v>-99999</v>
      </c>
      <c r="AD393">
        <v>-99999</v>
      </c>
      <c r="AE393">
        <v>-99999</v>
      </c>
      <c r="AF393">
        <v>-99999</v>
      </c>
      <c r="AG393">
        <v>-99999</v>
      </c>
      <c r="AH393">
        <v>-99999</v>
      </c>
      <c r="AI393">
        <v>-99999</v>
      </c>
      <c r="AJ393">
        <v>-99999</v>
      </c>
      <c r="AK393">
        <v>-99999</v>
      </c>
      <c r="AL393">
        <v>-99999</v>
      </c>
      <c r="AM393">
        <v>-99999</v>
      </c>
      <c r="AN393">
        <v>171.73759801904191</v>
      </c>
      <c r="AO393">
        <v>163.32291571606081</v>
      </c>
      <c r="AP393">
        <v>155.32553687892539</v>
      </c>
      <c r="AQ393">
        <v>147.79547015256989</v>
      </c>
      <c r="AR393">
        <v>141.27143655137311</v>
      </c>
      <c r="AS393">
        <v>136.2108893355917</v>
      </c>
      <c r="AT393">
        <v>133.55509378380839</v>
      </c>
      <c r="AU393">
        <v>156.51345913234289</v>
      </c>
      <c r="AV393">
        <v>154.75429455005161</v>
      </c>
      <c r="AW393">
        <v>153.22168085111821</v>
      </c>
      <c r="AX393">
        <v>152.1565498589481</v>
      </c>
      <c r="AY393">
        <v>152.0580040827233</v>
      </c>
      <c r="AZ393">
        <v>153.23867485474901</v>
      </c>
      <c r="BA393">
        <v>155.77215038985301</v>
      </c>
      <c r="BB393">
        <v>159.57821946897849</v>
      </c>
      <c r="BC393">
        <v>164.4118149429888</v>
      </c>
      <c r="BD393">
        <v>169.87491735721011</v>
      </c>
      <c r="BE393">
        <v>175.44249282427879</v>
      </c>
      <c r="BF393">
        <v>180.50031934515999</v>
      </c>
      <c r="BG393">
        <v>184.42939552863811</v>
      </c>
      <c r="BH393">
        <v>186.75829717544011</v>
      </c>
      <c r="BI393">
        <v>187.15104505224099</v>
      </c>
      <c r="BJ393">
        <v>185.45105118525771</v>
      </c>
      <c r="BK393">
        <v>181.46933423330981</v>
      </c>
      <c r="BL393">
        <v>175.30911340469319</v>
      </c>
      <c r="BM393">
        <v>167.29163959967991</v>
      </c>
      <c r="BN393">
        <v>160.25564390777299</v>
      </c>
      <c r="BO393">
        <v>155.5291453053415</v>
      </c>
      <c r="BP393">
        <v>152.20329530685129</v>
      </c>
      <c r="BQ393">
        <v>148.80247333794699</v>
      </c>
      <c r="BR393">
        <v>142.05263502746169</v>
      </c>
      <c r="BS393">
        <v>135.4183378682593</v>
      </c>
      <c r="BT393">
        <v>129.06562372559981</v>
      </c>
      <c r="BU393">
        <v>122.98209425346489</v>
      </c>
      <c r="BV393">
        <v>117.1663302432021</v>
      </c>
      <c r="BW393">
        <v>111.61681216424761</v>
      </c>
      <c r="BX393">
        <v>106.3318474778427</v>
      </c>
      <c r="BY393">
        <v>101.29594728229981</v>
      </c>
      <c r="BZ393">
        <v>96.494353798974885</v>
      </c>
      <c r="CA393">
        <v>91.912727363400393</v>
      </c>
      <c r="CB393">
        <v>88.197712277295793</v>
      </c>
      <c r="CC393">
        <v>85.684252328574104</v>
      </c>
      <c r="CD393">
        <v>82.884361934776095</v>
      </c>
      <c r="CE393">
        <v>80.018067714092297</v>
      </c>
      <c r="CF393">
        <v>77.082790329327892</v>
      </c>
      <c r="CG393">
        <v>74.084146474212602</v>
      </c>
      <c r="CH393">
        <v>73.679159527460698</v>
      </c>
      <c r="CI393">
        <v>73.007862717603004</v>
      </c>
      <c r="CJ393">
        <v>70.800646743981702</v>
      </c>
      <c r="CK393">
        <v>68.941619893198805</v>
      </c>
      <c r="CL393">
        <v>65.189150472799611</v>
      </c>
    </row>
    <row r="394" spans="4:90" x14ac:dyDescent="0.2">
      <c r="D394" t="s">
        <v>72</v>
      </c>
      <c r="F394" t="s">
        <v>87</v>
      </c>
      <c r="G394" t="s">
        <v>115</v>
      </c>
      <c r="H394" t="s">
        <v>116</v>
      </c>
      <c r="I394" t="s">
        <v>117</v>
      </c>
      <c r="K394" t="s">
        <v>118</v>
      </c>
      <c r="L394" t="s">
        <v>118</v>
      </c>
      <c r="N394" t="s">
        <v>7</v>
      </c>
      <c r="O394">
        <v>-99999</v>
      </c>
      <c r="P394">
        <v>-99999</v>
      </c>
      <c r="Q394">
        <v>-99999</v>
      </c>
      <c r="R394">
        <v>-99999</v>
      </c>
      <c r="S394">
        <v>-99999</v>
      </c>
      <c r="T394">
        <v>-99999</v>
      </c>
      <c r="U394">
        <v>-99999</v>
      </c>
      <c r="V394">
        <v>-99999</v>
      </c>
      <c r="W394">
        <v>-99999</v>
      </c>
      <c r="X394">
        <v>-99999</v>
      </c>
      <c r="Y394">
        <v>-99999</v>
      </c>
      <c r="Z394">
        <v>-99999</v>
      </c>
      <c r="AA394">
        <v>-99999</v>
      </c>
      <c r="AB394">
        <v>-99999</v>
      </c>
      <c r="AC394">
        <v>-99999</v>
      </c>
      <c r="AD394">
        <v>-99999</v>
      </c>
      <c r="AE394">
        <v>-99999</v>
      </c>
      <c r="AF394">
        <v>-99999</v>
      </c>
      <c r="AG394">
        <v>-99999</v>
      </c>
      <c r="AH394">
        <v>-99999</v>
      </c>
      <c r="AI394">
        <v>-99999</v>
      </c>
      <c r="AJ394">
        <v>-99999</v>
      </c>
      <c r="AK394">
        <v>-99999</v>
      </c>
      <c r="AL394">
        <v>-99999</v>
      </c>
      <c r="AM394">
        <v>-99999</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row>
    <row r="395" spans="4:90" x14ac:dyDescent="0.2">
      <c r="D395" t="s">
        <v>72</v>
      </c>
      <c r="F395" t="s">
        <v>87</v>
      </c>
      <c r="G395" t="s">
        <v>115</v>
      </c>
      <c r="H395" t="s">
        <v>116</v>
      </c>
      <c r="I395" t="s">
        <v>119</v>
      </c>
      <c r="K395" t="s">
        <v>118</v>
      </c>
      <c r="L395" t="s">
        <v>118</v>
      </c>
      <c r="N395" t="s">
        <v>7</v>
      </c>
      <c r="O395">
        <v>-99999</v>
      </c>
      <c r="P395">
        <v>-99999</v>
      </c>
      <c r="Q395">
        <v>-99999</v>
      </c>
      <c r="R395">
        <v>-99999</v>
      </c>
      <c r="S395">
        <v>-99999</v>
      </c>
      <c r="T395">
        <v>-99999</v>
      </c>
      <c r="U395">
        <v>-99999</v>
      </c>
      <c r="V395">
        <v>-99999</v>
      </c>
      <c r="W395">
        <v>-99999</v>
      </c>
      <c r="X395">
        <v>-99999</v>
      </c>
      <c r="Y395">
        <v>-99999</v>
      </c>
      <c r="Z395">
        <v>-99999</v>
      </c>
      <c r="AA395">
        <v>-99999</v>
      </c>
      <c r="AB395">
        <v>-99999</v>
      </c>
      <c r="AC395">
        <v>-99999</v>
      </c>
      <c r="AD395">
        <v>-99999</v>
      </c>
      <c r="AE395">
        <v>-99999</v>
      </c>
      <c r="AF395">
        <v>-99999</v>
      </c>
      <c r="AG395">
        <v>-99999</v>
      </c>
      <c r="AH395">
        <v>-99999</v>
      </c>
      <c r="AI395">
        <v>-99999</v>
      </c>
      <c r="AJ395">
        <v>-99999</v>
      </c>
      <c r="AK395">
        <v>-99999</v>
      </c>
      <c r="AL395">
        <v>-99999</v>
      </c>
      <c r="AM395">
        <v>-99999</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row>
    <row r="396" spans="4:90" x14ac:dyDescent="0.2">
      <c r="D396" t="s">
        <v>72</v>
      </c>
      <c r="F396" t="s">
        <v>87</v>
      </c>
      <c r="G396" t="s">
        <v>115</v>
      </c>
      <c r="H396" t="s">
        <v>120</v>
      </c>
      <c r="I396" t="s">
        <v>121</v>
      </c>
      <c r="K396" t="s">
        <v>101</v>
      </c>
      <c r="L396" t="s">
        <v>102</v>
      </c>
      <c r="M396" t="s">
        <v>102</v>
      </c>
      <c r="N396" t="s">
        <v>7</v>
      </c>
      <c r="O396">
        <v>-99999</v>
      </c>
      <c r="P396">
        <v>-99999</v>
      </c>
      <c r="Q396">
        <v>-99999</v>
      </c>
      <c r="R396">
        <v>-99999</v>
      </c>
      <c r="S396">
        <v>-99999</v>
      </c>
      <c r="T396">
        <v>-99999</v>
      </c>
      <c r="U396">
        <v>-99999</v>
      </c>
      <c r="V396">
        <v>-99999</v>
      </c>
      <c r="W396">
        <v>-99999</v>
      </c>
      <c r="X396">
        <v>-99999</v>
      </c>
      <c r="Y396">
        <v>-99999</v>
      </c>
      <c r="Z396">
        <v>-99999</v>
      </c>
      <c r="AA396">
        <v>-99999</v>
      </c>
      <c r="AB396">
        <v>-99999</v>
      </c>
      <c r="AC396">
        <v>-99999</v>
      </c>
      <c r="AD396">
        <v>-99999</v>
      </c>
      <c r="AE396">
        <v>-99999</v>
      </c>
      <c r="AF396">
        <v>-99999</v>
      </c>
      <c r="AG396">
        <v>-99999</v>
      </c>
      <c r="AH396">
        <v>-99999</v>
      </c>
      <c r="AI396">
        <v>-99999</v>
      </c>
      <c r="AJ396">
        <v>-99999</v>
      </c>
      <c r="AK396">
        <v>-99999</v>
      </c>
      <c r="AL396">
        <v>-99999</v>
      </c>
      <c r="AM396">
        <v>-99999</v>
      </c>
      <c r="AN396">
        <v>17.434938696936101</v>
      </c>
      <c r="AO396">
        <v>16.580673406990599</v>
      </c>
      <c r="AP396">
        <v>15.768773101314</v>
      </c>
      <c r="AQ396">
        <v>15.019620365454699</v>
      </c>
      <c r="AR396">
        <v>14.3546004457669</v>
      </c>
      <c r="AS396">
        <v>13.8354080549218</v>
      </c>
      <c r="AT396">
        <v>13.9856337662816</v>
      </c>
      <c r="AU396">
        <v>26.411479713490198</v>
      </c>
      <c r="AV396">
        <v>26.1427687893122</v>
      </c>
      <c r="AW396">
        <v>25.943848328760701</v>
      </c>
      <c r="AX396">
        <v>25.8645737532845</v>
      </c>
      <c r="AY396">
        <v>25.9739879578662</v>
      </c>
      <c r="AZ396">
        <v>26.319757411106099</v>
      </c>
      <c r="BA396">
        <v>26.9074604952878</v>
      </c>
      <c r="BB396">
        <v>27.714585120974402</v>
      </c>
      <c r="BC396">
        <v>28.686201559911801</v>
      </c>
      <c r="BD396">
        <v>29.735174961658</v>
      </c>
      <c r="BE396">
        <v>30.7466741457038</v>
      </c>
      <c r="BF396">
        <v>31.587535421341499</v>
      </c>
      <c r="BG396">
        <v>32.148225405130503</v>
      </c>
      <c r="BH396">
        <v>32.341648956993197</v>
      </c>
      <c r="BI396">
        <v>32.148265434966298</v>
      </c>
      <c r="BJ396">
        <v>31.537109711669899</v>
      </c>
      <c r="BK396">
        <v>30.5015666825933</v>
      </c>
      <c r="BL396">
        <v>29.0880848408341</v>
      </c>
      <c r="BM396">
        <v>27.3693203585878</v>
      </c>
      <c r="BN396">
        <v>23.839509369719199</v>
      </c>
      <c r="BO396">
        <v>16.881376090928399</v>
      </c>
      <c r="BP396">
        <v>8.2168141938002996</v>
      </c>
      <c r="BQ396">
        <v>0.36134748031570002</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row>
    <row r="397" spans="4:90" x14ac:dyDescent="0.2">
      <c r="D397" t="s">
        <v>72</v>
      </c>
      <c r="F397" t="s">
        <v>87</v>
      </c>
      <c r="G397" t="s">
        <v>115</v>
      </c>
      <c r="H397" t="s">
        <v>120</v>
      </c>
      <c r="I397" t="s">
        <v>122</v>
      </c>
      <c r="K397" t="s">
        <v>101</v>
      </c>
      <c r="L397" t="s">
        <v>102</v>
      </c>
      <c r="M397" t="s">
        <v>102</v>
      </c>
      <c r="N397" t="s">
        <v>7</v>
      </c>
      <c r="O397">
        <v>-99999</v>
      </c>
      <c r="P397">
        <v>-99999</v>
      </c>
      <c r="Q397">
        <v>-99999</v>
      </c>
      <c r="R397">
        <v>-99999</v>
      </c>
      <c r="S397">
        <v>-99999</v>
      </c>
      <c r="T397">
        <v>-99999</v>
      </c>
      <c r="U397">
        <v>-99999</v>
      </c>
      <c r="V397">
        <v>-99999</v>
      </c>
      <c r="W397">
        <v>-99999</v>
      </c>
      <c r="X397">
        <v>-99999</v>
      </c>
      <c r="Y397">
        <v>-99999</v>
      </c>
      <c r="Z397">
        <v>-99999</v>
      </c>
      <c r="AA397">
        <v>-99999</v>
      </c>
      <c r="AB397">
        <v>-99999</v>
      </c>
      <c r="AC397">
        <v>-99999</v>
      </c>
      <c r="AD397">
        <v>-99999</v>
      </c>
      <c r="AE397">
        <v>-99999</v>
      </c>
      <c r="AF397">
        <v>-99999</v>
      </c>
      <c r="AG397">
        <v>-99999</v>
      </c>
      <c r="AH397">
        <v>-99999</v>
      </c>
      <c r="AI397">
        <v>-99999</v>
      </c>
      <c r="AJ397">
        <v>-99999</v>
      </c>
      <c r="AK397">
        <v>-99999</v>
      </c>
      <c r="AL397">
        <v>-99999</v>
      </c>
      <c r="AM397">
        <v>-99999</v>
      </c>
      <c r="AN397">
        <v>103.9373716658709</v>
      </c>
      <c r="AO397">
        <v>99.75409925028481</v>
      </c>
      <c r="AP397">
        <v>95.789003963750801</v>
      </c>
      <c r="AQ397">
        <v>91.432965540574415</v>
      </c>
      <c r="AR397">
        <v>87.520315067212408</v>
      </c>
      <c r="AS397">
        <v>84.4059462295305</v>
      </c>
      <c r="AT397">
        <v>77.208962838651502</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row>
    <row r="398" spans="4:90" x14ac:dyDescent="0.2">
      <c r="D398" t="s">
        <v>72</v>
      </c>
      <c r="F398" t="s">
        <v>87</v>
      </c>
      <c r="G398" t="s">
        <v>123</v>
      </c>
      <c r="H398" t="s">
        <v>124</v>
      </c>
      <c r="K398" t="s">
        <v>125</v>
      </c>
      <c r="L398" t="s">
        <v>125</v>
      </c>
      <c r="N398" t="s">
        <v>7</v>
      </c>
      <c r="O398">
        <v>-99999</v>
      </c>
      <c r="P398">
        <v>-99999</v>
      </c>
      <c r="Q398">
        <v>-99999</v>
      </c>
      <c r="R398">
        <v>-99999</v>
      </c>
      <c r="S398">
        <v>-99999</v>
      </c>
      <c r="T398">
        <v>-99999</v>
      </c>
      <c r="U398">
        <v>-99999</v>
      </c>
      <c r="V398">
        <v>-99999</v>
      </c>
      <c r="W398">
        <v>-99999</v>
      </c>
      <c r="X398">
        <v>-99999</v>
      </c>
      <c r="Y398">
        <v>-99999</v>
      </c>
      <c r="Z398">
        <v>-99999</v>
      </c>
      <c r="AA398">
        <v>-99999</v>
      </c>
      <c r="AB398">
        <v>-99999</v>
      </c>
      <c r="AC398">
        <v>-99999</v>
      </c>
      <c r="AD398">
        <v>-99999</v>
      </c>
      <c r="AE398">
        <v>-99999</v>
      </c>
      <c r="AF398">
        <v>-99999</v>
      </c>
      <c r="AG398">
        <v>-99999</v>
      </c>
      <c r="AH398">
        <v>-99999</v>
      </c>
      <c r="AI398">
        <v>-99999</v>
      </c>
      <c r="AJ398">
        <v>-99999</v>
      </c>
      <c r="AK398">
        <v>-99999</v>
      </c>
      <c r="AL398">
        <v>-99999</v>
      </c>
      <c r="AM398">
        <v>-99999</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row>
    <row r="399" spans="4:90" x14ac:dyDescent="0.2">
      <c r="D399" t="s">
        <v>72</v>
      </c>
      <c r="F399" t="s">
        <v>87</v>
      </c>
      <c r="G399" t="s">
        <v>123</v>
      </c>
      <c r="H399" t="s">
        <v>126</v>
      </c>
      <c r="I399" t="s">
        <v>127</v>
      </c>
      <c r="K399" t="s">
        <v>90</v>
      </c>
      <c r="L399" t="s">
        <v>90</v>
      </c>
      <c r="M399" t="s">
        <v>99</v>
      </c>
      <c r="N399" t="s">
        <v>7</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row>
    <row r="400" spans="4:90" x14ac:dyDescent="0.2">
      <c r="D400" t="s">
        <v>72</v>
      </c>
      <c r="F400" t="s">
        <v>87</v>
      </c>
      <c r="G400" t="s">
        <v>123</v>
      </c>
      <c r="H400" t="s">
        <v>126</v>
      </c>
      <c r="I400" t="s">
        <v>128</v>
      </c>
      <c r="K400" t="s">
        <v>101</v>
      </c>
      <c r="L400" t="s">
        <v>102</v>
      </c>
      <c r="M400" t="s">
        <v>102</v>
      </c>
      <c r="N400" t="s">
        <v>7</v>
      </c>
      <c r="O400">
        <v>-99999</v>
      </c>
      <c r="P400">
        <v>-99999</v>
      </c>
      <c r="Q400">
        <v>-99999</v>
      </c>
      <c r="R400">
        <v>-99999</v>
      </c>
      <c r="S400">
        <v>-99999</v>
      </c>
      <c r="T400">
        <v>-99999</v>
      </c>
      <c r="U400">
        <v>-99999</v>
      </c>
      <c r="V400">
        <v>-99999</v>
      </c>
      <c r="W400">
        <v>-99999</v>
      </c>
      <c r="X400">
        <v>-99999</v>
      </c>
      <c r="Y400">
        <v>-99999</v>
      </c>
      <c r="Z400">
        <v>-99999</v>
      </c>
      <c r="AA400">
        <v>-99999</v>
      </c>
      <c r="AB400">
        <v>-99999</v>
      </c>
      <c r="AC400">
        <v>-99999</v>
      </c>
      <c r="AD400">
        <v>-99999</v>
      </c>
      <c r="AE400">
        <v>-99999</v>
      </c>
      <c r="AF400">
        <v>-99999</v>
      </c>
      <c r="AG400">
        <v>-99999</v>
      </c>
      <c r="AH400">
        <v>-99999</v>
      </c>
      <c r="AI400">
        <v>-99999</v>
      </c>
      <c r="AJ400">
        <v>-99999</v>
      </c>
      <c r="AK400">
        <v>-99999</v>
      </c>
      <c r="AL400">
        <v>-99999</v>
      </c>
      <c r="AM400">
        <v>-99999</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row>
    <row r="401" spans="4:90" x14ac:dyDescent="0.2">
      <c r="D401" t="s">
        <v>72</v>
      </c>
      <c r="F401" t="s">
        <v>87</v>
      </c>
      <c r="G401" t="s">
        <v>123</v>
      </c>
      <c r="H401" t="s">
        <v>126</v>
      </c>
      <c r="I401" t="s">
        <v>129</v>
      </c>
      <c r="K401" t="s">
        <v>101</v>
      </c>
      <c r="L401" t="s">
        <v>102</v>
      </c>
      <c r="M401" t="s">
        <v>102</v>
      </c>
      <c r="N401" t="s">
        <v>7</v>
      </c>
      <c r="O401">
        <v>-99999</v>
      </c>
      <c r="P401">
        <v>-99999</v>
      </c>
      <c r="Q401">
        <v>-99999</v>
      </c>
      <c r="R401">
        <v>-99999</v>
      </c>
      <c r="S401">
        <v>-99999</v>
      </c>
      <c r="T401">
        <v>-99999</v>
      </c>
      <c r="U401">
        <v>-99999</v>
      </c>
      <c r="V401">
        <v>-99999</v>
      </c>
      <c r="W401">
        <v>-99999</v>
      </c>
      <c r="X401">
        <v>-99999</v>
      </c>
      <c r="Y401">
        <v>-99999</v>
      </c>
      <c r="Z401">
        <v>-99999</v>
      </c>
      <c r="AA401">
        <v>-99999</v>
      </c>
      <c r="AB401">
        <v>-99999</v>
      </c>
      <c r="AC401">
        <v>-99999</v>
      </c>
      <c r="AD401">
        <v>-99999</v>
      </c>
      <c r="AE401">
        <v>-99999</v>
      </c>
      <c r="AF401">
        <v>-99999</v>
      </c>
      <c r="AG401">
        <v>-99999</v>
      </c>
      <c r="AH401">
        <v>-99999</v>
      </c>
      <c r="AI401">
        <v>-99999</v>
      </c>
      <c r="AJ401">
        <v>-99999</v>
      </c>
      <c r="AK401">
        <v>-99999</v>
      </c>
      <c r="AL401">
        <v>-99999</v>
      </c>
      <c r="AM401">
        <v>-99999</v>
      </c>
      <c r="AN401">
        <v>0.2305547418176</v>
      </c>
      <c r="AO401">
        <v>0.2222266958853</v>
      </c>
      <c r="AP401">
        <v>0.2158396472579</v>
      </c>
      <c r="AQ401">
        <v>0.1108735301049</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row>
    <row r="402" spans="4:90" x14ac:dyDescent="0.2">
      <c r="D402" t="s">
        <v>72</v>
      </c>
      <c r="F402" t="s">
        <v>87</v>
      </c>
      <c r="G402" t="s">
        <v>123</v>
      </c>
      <c r="H402" t="s">
        <v>126</v>
      </c>
      <c r="I402" t="s">
        <v>130</v>
      </c>
      <c r="K402" t="s">
        <v>101</v>
      </c>
      <c r="L402" t="s">
        <v>102</v>
      </c>
      <c r="M402" t="s">
        <v>102</v>
      </c>
      <c r="N402" t="s">
        <v>7</v>
      </c>
      <c r="O402">
        <v>-99999</v>
      </c>
      <c r="P402">
        <v>-99999</v>
      </c>
      <c r="Q402">
        <v>-99999</v>
      </c>
      <c r="R402">
        <v>-99999</v>
      </c>
      <c r="S402">
        <v>-99999</v>
      </c>
      <c r="T402">
        <v>-99999</v>
      </c>
      <c r="U402">
        <v>-99999</v>
      </c>
      <c r="V402">
        <v>-99999</v>
      </c>
      <c r="W402">
        <v>-99999</v>
      </c>
      <c r="X402">
        <v>-99999</v>
      </c>
      <c r="Y402">
        <v>-99999</v>
      </c>
      <c r="Z402">
        <v>-99999</v>
      </c>
      <c r="AA402">
        <v>-99999</v>
      </c>
      <c r="AB402">
        <v>-99999</v>
      </c>
      <c r="AC402">
        <v>-99999</v>
      </c>
      <c r="AD402">
        <v>-99999</v>
      </c>
      <c r="AE402">
        <v>-99999</v>
      </c>
      <c r="AF402">
        <v>-99999</v>
      </c>
      <c r="AG402">
        <v>-99999</v>
      </c>
      <c r="AH402">
        <v>-99999</v>
      </c>
      <c r="AI402">
        <v>-99999</v>
      </c>
      <c r="AJ402">
        <v>-99999</v>
      </c>
      <c r="AK402">
        <v>-99999</v>
      </c>
      <c r="AL402">
        <v>-99999</v>
      </c>
      <c r="AM402">
        <v>-99999</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row>
    <row r="403" spans="4:90" x14ac:dyDescent="0.2">
      <c r="D403" t="s">
        <v>72</v>
      </c>
      <c r="F403" t="s">
        <v>87</v>
      </c>
      <c r="G403" t="s">
        <v>123</v>
      </c>
      <c r="H403" t="s">
        <v>126</v>
      </c>
      <c r="I403" t="s">
        <v>131</v>
      </c>
      <c r="K403" t="s">
        <v>101</v>
      </c>
      <c r="L403" t="s">
        <v>102</v>
      </c>
      <c r="M403" t="s">
        <v>102</v>
      </c>
      <c r="N403" t="s">
        <v>7</v>
      </c>
      <c r="O403">
        <v>-99999</v>
      </c>
      <c r="P403">
        <v>-99999</v>
      </c>
      <c r="Q403">
        <v>-99999</v>
      </c>
      <c r="R403">
        <v>-99999</v>
      </c>
      <c r="S403">
        <v>-99999</v>
      </c>
      <c r="T403">
        <v>-99999</v>
      </c>
      <c r="U403">
        <v>-99999</v>
      </c>
      <c r="V403">
        <v>-99999</v>
      </c>
      <c r="W403">
        <v>-99999</v>
      </c>
      <c r="X403">
        <v>-99999</v>
      </c>
      <c r="Y403">
        <v>-99999</v>
      </c>
      <c r="Z403">
        <v>-99999</v>
      </c>
      <c r="AA403">
        <v>-99999</v>
      </c>
      <c r="AB403">
        <v>-99999</v>
      </c>
      <c r="AC403">
        <v>-99999</v>
      </c>
      <c r="AD403">
        <v>-99999</v>
      </c>
      <c r="AE403">
        <v>-99999</v>
      </c>
      <c r="AF403">
        <v>-99999</v>
      </c>
      <c r="AG403">
        <v>-99999</v>
      </c>
      <c r="AH403">
        <v>-99999</v>
      </c>
      <c r="AI403">
        <v>-99999</v>
      </c>
      <c r="AJ403">
        <v>-99999</v>
      </c>
      <c r="AK403">
        <v>-99999</v>
      </c>
      <c r="AL403">
        <v>-99999</v>
      </c>
      <c r="AM403">
        <v>-99999</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row>
    <row r="404" spans="4:90" x14ac:dyDescent="0.2">
      <c r="D404" t="s">
        <v>72</v>
      </c>
      <c r="F404" t="s">
        <v>87</v>
      </c>
      <c r="G404" t="s">
        <v>132</v>
      </c>
      <c r="H404" t="s">
        <v>133</v>
      </c>
      <c r="K404" t="s">
        <v>101</v>
      </c>
      <c r="L404" t="s">
        <v>102</v>
      </c>
      <c r="M404" t="s">
        <v>102</v>
      </c>
      <c r="N404" t="s">
        <v>7</v>
      </c>
      <c r="O404">
        <v>-99999</v>
      </c>
      <c r="P404">
        <v>-99999</v>
      </c>
      <c r="Q404">
        <v>-99999</v>
      </c>
      <c r="R404">
        <v>-99999</v>
      </c>
      <c r="S404">
        <v>-99999</v>
      </c>
      <c r="T404">
        <v>-99999</v>
      </c>
      <c r="U404">
        <v>-99999</v>
      </c>
      <c r="V404">
        <v>-99999</v>
      </c>
      <c r="W404">
        <v>-99999</v>
      </c>
      <c r="X404">
        <v>-99999</v>
      </c>
      <c r="Y404">
        <v>-99999</v>
      </c>
      <c r="Z404">
        <v>-99999</v>
      </c>
      <c r="AA404">
        <v>-99999</v>
      </c>
      <c r="AB404">
        <v>-99999</v>
      </c>
      <c r="AC404">
        <v>-99999</v>
      </c>
      <c r="AD404">
        <v>-99999</v>
      </c>
      <c r="AE404">
        <v>-99999</v>
      </c>
      <c r="AF404">
        <v>-99999</v>
      </c>
      <c r="AG404">
        <v>-99999</v>
      </c>
      <c r="AH404">
        <v>-99999</v>
      </c>
      <c r="AI404">
        <v>-99999</v>
      </c>
      <c r="AJ404">
        <v>-99999</v>
      </c>
      <c r="AK404">
        <v>-99999</v>
      </c>
      <c r="AL404">
        <v>-99999</v>
      </c>
      <c r="AM404">
        <v>-99999</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row>
    <row r="405" spans="4:90" x14ac:dyDescent="0.2">
      <c r="D405" t="s">
        <v>72</v>
      </c>
      <c r="F405" t="s">
        <v>87</v>
      </c>
      <c r="G405" t="s">
        <v>132</v>
      </c>
      <c r="H405" t="s">
        <v>133</v>
      </c>
      <c r="K405" t="s">
        <v>125</v>
      </c>
      <c r="L405" t="s">
        <v>125</v>
      </c>
      <c r="N405" t="s">
        <v>7</v>
      </c>
      <c r="O405">
        <v>-99999</v>
      </c>
      <c r="P405">
        <v>-99999</v>
      </c>
      <c r="Q405">
        <v>-99999</v>
      </c>
      <c r="R405">
        <v>-99999</v>
      </c>
      <c r="S405">
        <v>-99999</v>
      </c>
      <c r="T405">
        <v>-99999</v>
      </c>
      <c r="U405">
        <v>-99999</v>
      </c>
      <c r="V405">
        <v>-99999</v>
      </c>
      <c r="W405">
        <v>-99999</v>
      </c>
      <c r="X405">
        <v>-99999</v>
      </c>
      <c r="Y405">
        <v>-99999</v>
      </c>
      <c r="Z405">
        <v>-99999</v>
      </c>
      <c r="AA405">
        <v>-99999</v>
      </c>
      <c r="AB405">
        <v>-99999</v>
      </c>
      <c r="AC405">
        <v>-99999</v>
      </c>
      <c r="AD405">
        <v>-99999</v>
      </c>
      <c r="AE405">
        <v>-99999</v>
      </c>
      <c r="AF405">
        <v>-99999</v>
      </c>
      <c r="AG405">
        <v>-99999</v>
      </c>
      <c r="AH405">
        <v>-99999</v>
      </c>
      <c r="AI405">
        <v>-99999</v>
      </c>
      <c r="AJ405">
        <v>-99999</v>
      </c>
      <c r="AK405">
        <v>-99999</v>
      </c>
      <c r="AL405">
        <v>-99999</v>
      </c>
      <c r="AM405">
        <v>-99999</v>
      </c>
      <c r="AN405">
        <v>-566.41878445543898</v>
      </c>
      <c r="AO405">
        <v>-538.66578116292897</v>
      </c>
      <c r="AP405">
        <v>-512.28911310887304</v>
      </c>
      <c r="AQ405">
        <v>-487.22029156815199</v>
      </c>
      <c r="AR405">
        <v>-465.99327140400402</v>
      </c>
      <c r="AS405">
        <v>-449.56801917631998</v>
      </c>
      <c r="AT405">
        <v>-437.56110730083702</v>
      </c>
      <c r="AU405">
        <v>-429.75531102174301</v>
      </c>
      <c r="AV405">
        <v>-424.57131080592302</v>
      </c>
      <c r="AW405">
        <v>-419.83144185572399</v>
      </c>
      <c r="AX405">
        <v>-416.15192496418399</v>
      </c>
      <c r="AY405">
        <v>-414.97997160065103</v>
      </c>
      <c r="AZ405">
        <v>-417.19834359248802</v>
      </c>
      <c r="BA405">
        <v>-423.042007167191</v>
      </c>
      <c r="BB405">
        <v>-432.33591150336002</v>
      </c>
      <c r="BC405">
        <v>-444.48118229492599</v>
      </c>
      <c r="BD405">
        <v>-458.49906708832799</v>
      </c>
      <c r="BE405">
        <v>-473.10208775982801</v>
      </c>
      <c r="BF405">
        <v>-486.78129358190199</v>
      </c>
      <c r="BG405">
        <v>-497.898805897584</v>
      </c>
      <c r="BH405">
        <v>-505.22489818914988</v>
      </c>
      <c r="BI405">
        <v>-507.64325996838897</v>
      </c>
      <c r="BJ405">
        <v>-504.76892608038202</v>
      </c>
      <c r="BK405">
        <v>-495.89091084227499</v>
      </c>
      <c r="BL405">
        <v>-481.00981779146599</v>
      </c>
      <c r="BM405">
        <v>-460.46047670854801</v>
      </c>
      <c r="BN405">
        <v>-438.66046858359601</v>
      </c>
      <c r="BO405">
        <v>-417.26653364202099</v>
      </c>
      <c r="BP405">
        <v>-396.86137519033701</v>
      </c>
      <c r="BQ405">
        <v>-377.36872827322901</v>
      </c>
      <c r="BR405">
        <v>-358.74434841284699</v>
      </c>
      <c r="BS405">
        <v>-340.94505861243101</v>
      </c>
      <c r="BT405">
        <v>-323.937929195327</v>
      </c>
      <c r="BU405">
        <v>-307.691482654445</v>
      </c>
      <c r="BV405">
        <v>-292.20446228727502</v>
      </c>
      <c r="BW405">
        <v>-277.47538359406701</v>
      </c>
      <c r="BX405">
        <v>-263.47045035862197</v>
      </c>
      <c r="BY405">
        <v>-250.15558828024601</v>
      </c>
      <c r="BZ405">
        <v>-237.498212638686</v>
      </c>
      <c r="CA405">
        <v>-225.46724266731599</v>
      </c>
      <c r="CB405">
        <v>-214.033159510714</v>
      </c>
      <c r="CC405">
        <v>-203.16574232178999</v>
      </c>
      <c r="CD405">
        <v>-192.83476285706001</v>
      </c>
      <c r="CE405">
        <v>-183.01721335261001</v>
      </c>
      <c r="CF405">
        <v>-173.68922133169301</v>
      </c>
      <c r="CG405">
        <v>-164.82806136114399</v>
      </c>
      <c r="CH405">
        <v>-156.412033650387</v>
      </c>
      <c r="CI405">
        <v>-148.39771496272999</v>
      </c>
      <c r="CJ405">
        <v>-140.67522017084499</v>
      </c>
      <c r="CK405">
        <v>-133.20591704882901</v>
      </c>
      <c r="CL405">
        <v>-125.955563327574</v>
      </c>
    </row>
    <row r="406" spans="4:90" x14ac:dyDescent="0.2">
      <c r="D406" t="s">
        <v>72</v>
      </c>
      <c r="F406" t="s">
        <v>87</v>
      </c>
      <c r="G406" t="s">
        <v>132</v>
      </c>
      <c r="H406" t="s">
        <v>134</v>
      </c>
      <c r="I406" t="s">
        <v>135</v>
      </c>
      <c r="K406" t="s">
        <v>90</v>
      </c>
      <c r="L406" t="s">
        <v>90</v>
      </c>
      <c r="M406" t="s">
        <v>99</v>
      </c>
      <c r="N406" t="s">
        <v>7</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6104.1536406646774</v>
      </c>
      <c r="AO406">
        <v>6054.8104434472634</v>
      </c>
      <c r="AP406">
        <v>6005.5297877901476</v>
      </c>
      <c r="AQ406">
        <v>5787.4574203209177</v>
      </c>
      <c r="AR406">
        <v>5473.3210310142604</v>
      </c>
      <c r="AS406">
        <v>5174.9258200754057</v>
      </c>
      <c r="AT406">
        <v>3732.7461399096428</v>
      </c>
      <c r="AU406">
        <v>2807.5215097453251</v>
      </c>
      <c r="AV406">
        <v>2817.211442980607</v>
      </c>
      <c r="AW406">
        <v>2856.1847086839371</v>
      </c>
      <c r="AX406">
        <v>2933.5867125092832</v>
      </c>
      <c r="AY406">
        <v>3035.3787378088891</v>
      </c>
      <c r="AZ406">
        <v>3152.5006200425719</v>
      </c>
      <c r="BA406">
        <v>3272.9850452912292</v>
      </c>
      <c r="BB406">
        <v>3384.083305967315</v>
      </c>
      <c r="BC406">
        <v>3472.952156745157</v>
      </c>
      <c r="BD406">
        <v>3527.2597790512791</v>
      </c>
      <c r="BE406">
        <v>3535.79394881183</v>
      </c>
      <c r="BF406">
        <v>3489.1156220417338</v>
      </c>
      <c r="BG406">
        <v>3393.5260275525302</v>
      </c>
      <c r="BH406">
        <v>3248.6753911623741</v>
      </c>
      <c r="BI406">
        <v>3076.157291240374</v>
      </c>
      <c r="BJ406">
        <v>2865.0980877398652</v>
      </c>
      <c r="BK406">
        <v>2620.5738043340261</v>
      </c>
      <c r="BL406">
        <v>2348.002868938579</v>
      </c>
      <c r="BM406">
        <v>2056.417290120577</v>
      </c>
      <c r="BN406">
        <v>829.07922964448596</v>
      </c>
      <c r="BO406">
        <v>769.04378061008788</v>
      </c>
      <c r="BP406">
        <v>687.31022174188001</v>
      </c>
      <c r="BQ406">
        <v>602.85494704092696</v>
      </c>
      <c r="BR406">
        <v>520.33114858276588</v>
      </c>
      <c r="BS406">
        <v>440.28987749113179</v>
      </c>
      <c r="BT406">
        <v>362.85650630691231</v>
      </c>
      <c r="BU406">
        <v>300.07336366735001</v>
      </c>
      <c r="BV406">
        <v>235.62758582396401</v>
      </c>
      <c r="BW406">
        <v>150.19650566884499</v>
      </c>
      <c r="BX406">
        <v>64.211085770689692</v>
      </c>
      <c r="BY406">
        <v>0</v>
      </c>
      <c r="BZ406">
        <v>0</v>
      </c>
      <c r="CA406">
        <v>0</v>
      </c>
      <c r="CB406">
        <v>0</v>
      </c>
      <c r="CC406">
        <v>0</v>
      </c>
      <c r="CD406">
        <v>0</v>
      </c>
      <c r="CE406">
        <v>0</v>
      </c>
      <c r="CF406">
        <v>0</v>
      </c>
      <c r="CG406">
        <v>0</v>
      </c>
      <c r="CH406">
        <v>0</v>
      </c>
      <c r="CI406">
        <v>0</v>
      </c>
      <c r="CJ406">
        <v>0</v>
      </c>
      <c r="CK406">
        <v>0</v>
      </c>
      <c r="CL406">
        <v>0</v>
      </c>
    </row>
    <row r="407" spans="4:90" x14ac:dyDescent="0.2">
      <c r="D407" t="s">
        <v>72</v>
      </c>
      <c r="F407" t="s">
        <v>87</v>
      </c>
      <c r="G407" t="s">
        <v>132</v>
      </c>
      <c r="H407" t="s">
        <v>134</v>
      </c>
      <c r="I407" t="s">
        <v>136</v>
      </c>
      <c r="K407" t="s">
        <v>101</v>
      </c>
      <c r="L407" t="s">
        <v>102</v>
      </c>
      <c r="M407" t="s">
        <v>102</v>
      </c>
      <c r="N407" t="s">
        <v>7</v>
      </c>
      <c r="O407">
        <v>-99999</v>
      </c>
      <c r="P407">
        <v>-99999</v>
      </c>
      <c r="Q407">
        <v>-99999</v>
      </c>
      <c r="R407">
        <v>-99999</v>
      </c>
      <c r="S407">
        <v>-99999</v>
      </c>
      <c r="T407">
        <v>-99999</v>
      </c>
      <c r="U407">
        <v>-99999</v>
      </c>
      <c r="V407">
        <v>-99999</v>
      </c>
      <c r="W407">
        <v>-99999</v>
      </c>
      <c r="X407">
        <v>-99999</v>
      </c>
      <c r="Y407">
        <v>-99999</v>
      </c>
      <c r="Z407">
        <v>-99999</v>
      </c>
      <c r="AA407">
        <v>-99999</v>
      </c>
      <c r="AB407">
        <v>-99999</v>
      </c>
      <c r="AC407">
        <v>-99999</v>
      </c>
      <c r="AD407">
        <v>-99999</v>
      </c>
      <c r="AE407">
        <v>-99999</v>
      </c>
      <c r="AF407">
        <v>-99999</v>
      </c>
      <c r="AG407">
        <v>-99999</v>
      </c>
      <c r="AH407">
        <v>-99999</v>
      </c>
      <c r="AI407">
        <v>-99999</v>
      </c>
      <c r="AJ407">
        <v>-99999</v>
      </c>
      <c r="AK407">
        <v>-99999</v>
      </c>
      <c r="AL407">
        <v>-99999</v>
      </c>
      <c r="AM407">
        <v>-99999</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row>
    <row r="408" spans="4:90" x14ac:dyDescent="0.2">
      <c r="D408" t="s">
        <v>72</v>
      </c>
      <c r="F408" t="s">
        <v>87</v>
      </c>
      <c r="G408" t="s">
        <v>132</v>
      </c>
      <c r="H408" t="s">
        <v>134</v>
      </c>
      <c r="I408" t="s">
        <v>137</v>
      </c>
      <c r="K408" t="s">
        <v>101</v>
      </c>
      <c r="L408" t="s">
        <v>102</v>
      </c>
      <c r="M408" t="s">
        <v>102</v>
      </c>
      <c r="N408" t="s">
        <v>7</v>
      </c>
      <c r="O408">
        <v>-99999</v>
      </c>
      <c r="P408">
        <v>-99999</v>
      </c>
      <c r="Q408">
        <v>-99999</v>
      </c>
      <c r="R408">
        <v>-99999</v>
      </c>
      <c r="S408">
        <v>-99999</v>
      </c>
      <c r="T408">
        <v>-99999</v>
      </c>
      <c r="U408">
        <v>-99999</v>
      </c>
      <c r="V408">
        <v>-99999</v>
      </c>
      <c r="W408">
        <v>-99999</v>
      </c>
      <c r="X408">
        <v>-99999</v>
      </c>
      <c r="Y408">
        <v>-99999</v>
      </c>
      <c r="Z408">
        <v>-99999</v>
      </c>
      <c r="AA408">
        <v>-99999</v>
      </c>
      <c r="AB408">
        <v>-99999</v>
      </c>
      <c r="AC408">
        <v>-99999</v>
      </c>
      <c r="AD408">
        <v>-99999</v>
      </c>
      <c r="AE408">
        <v>-99999</v>
      </c>
      <c r="AF408">
        <v>-99999</v>
      </c>
      <c r="AG408">
        <v>-99999</v>
      </c>
      <c r="AH408">
        <v>-99999</v>
      </c>
      <c r="AI408">
        <v>-99999</v>
      </c>
      <c r="AJ408">
        <v>-99999</v>
      </c>
      <c r="AK408">
        <v>-99999</v>
      </c>
      <c r="AL408">
        <v>-99999</v>
      </c>
      <c r="AM408">
        <v>-99999</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row>
    <row r="409" spans="4:90" x14ac:dyDescent="0.2">
      <c r="D409" t="s">
        <v>72</v>
      </c>
      <c r="F409" t="s">
        <v>87</v>
      </c>
      <c r="G409" t="s">
        <v>132</v>
      </c>
      <c r="H409" t="s">
        <v>134</v>
      </c>
      <c r="I409" t="s">
        <v>138</v>
      </c>
      <c r="K409" t="s">
        <v>101</v>
      </c>
      <c r="L409" t="s">
        <v>102</v>
      </c>
      <c r="M409" t="s">
        <v>102</v>
      </c>
      <c r="N409" t="s">
        <v>7</v>
      </c>
      <c r="O409">
        <v>-99999</v>
      </c>
      <c r="P409">
        <v>-99999</v>
      </c>
      <c r="Q409">
        <v>-99999</v>
      </c>
      <c r="R409">
        <v>-99999</v>
      </c>
      <c r="S409">
        <v>-99999</v>
      </c>
      <c r="T409">
        <v>-99999</v>
      </c>
      <c r="U409">
        <v>-99999</v>
      </c>
      <c r="V409">
        <v>-99999</v>
      </c>
      <c r="W409">
        <v>-99999</v>
      </c>
      <c r="X409">
        <v>-99999</v>
      </c>
      <c r="Y409">
        <v>-99999</v>
      </c>
      <c r="Z409">
        <v>-99999</v>
      </c>
      <c r="AA409">
        <v>-99999</v>
      </c>
      <c r="AB409">
        <v>-99999</v>
      </c>
      <c r="AC409">
        <v>-99999</v>
      </c>
      <c r="AD409">
        <v>-99999</v>
      </c>
      <c r="AE409">
        <v>-99999</v>
      </c>
      <c r="AF409">
        <v>-99999</v>
      </c>
      <c r="AG409">
        <v>-99999</v>
      </c>
      <c r="AH409">
        <v>-99999</v>
      </c>
      <c r="AI409">
        <v>-99999</v>
      </c>
      <c r="AJ409">
        <v>-99999</v>
      </c>
      <c r="AK409">
        <v>-99999</v>
      </c>
      <c r="AL409">
        <v>-99999</v>
      </c>
      <c r="AM409">
        <v>-99999</v>
      </c>
      <c r="AN409">
        <v>1.4830400978089</v>
      </c>
      <c r="AO409">
        <v>1.590006872349</v>
      </c>
      <c r="AP409">
        <v>1.6937862635239</v>
      </c>
      <c r="AQ409">
        <v>1.8048108110912999</v>
      </c>
      <c r="AR409">
        <v>1.8967141082646</v>
      </c>
      <c r="AS409">
        <v>1.9737843123648999</v>
      </c>
      <c r="AT409">
        <v>2.4307002006812999</v>
      </c>
      <c r="AU409">
        <v>3.7102525091678999</v>
      </c>
      <c r="AV409">
        <v>3.8258794836818999</v>
      </c>
      <c r="AW409">
        <v>3.9524118361548002</v>
      </c>
      <c r="AX409">
        <v>4.1388375691528996</v>
      </c>
      <c r="AY409">
        <v>4.3722018972352998</v>
      </c>
      <c r="AZ409">
        <v>4.6440850703747998</v>
      </c>
      <c r="BA409">
        <v>4.9396859293526001</v>
      </c>
      <c r="BB409">
        <v>5.2397118319090996</v>
      </c>
      <c r="BC409">
        <v>5.5207581702892998</v>
      </c>
      <c r="BD409">
        <v>5.7560524167079006</v>
      </c>
      <c r="BE409">
        <v>5.9168423671161001</v>
      </c>
      <c r="BF409">
        <v>5.9745489520569999</v>
      </c>
      <c r="BG409">
        <v>5.9285951062355</v>
      </c>
      <c r="BH409">
        <v>5.7690897129343996</v>
      </c>
      <c r="BI409">
        <v>5.5313677767156006</v>
      </c>
      <c r="BJ409">
        <v>5.1919224195932996</v>
      </c>
      <c r="BK409">
        <v>4.7589479245520003</v>
      </c>
      <c r="BL409">
        <v>4.2433973264081004</v>
      </c>
      <c r="BM409">
        <v>3.6650506614967999</v>
      </c>
      <c r="BN409">
        <v>0.50771774363279998</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row>
    <row r="410" spans="4:90" x14ac:dyDescent="0.2">
      <c r="D410" t="s">
        <v>72</v>
      </c>
      <c r="F410" t="s">
        <v>87</v>
      </c>
      <c r="G410" t="s">
        <v>132</v>
      </c>
      <c r="H410" t="s">
        <v>134</v>
      </c>
      <c r="I410" t="s">
        <v>139</v>
      </c>
      <c r="K410" t="s">
        <v>101</v>
      </c>
      <c r="L410" t="s">
        <v>102</v>
      </c>
      <c r="M410" t="s">
        <v>102</v>
      </c>
      <c r="N410" t="s">
        <v>7</v>
      </c>
      <c r="O410">
        <v>-99999</v>
      </c>
      <c r="P410">
        <v>-99999</v>
      </c>
      <c r="Q410">
        <v>-99999</v>
      </c>
      <c r="R410">
        <v>-99999</v>
      </c>
      <c r="S410">
        <v>-99999</v>
      </c>
      <c r="T410">
        <v>-99999</v>
      </c>
      <c r="U410">
        <v>-99999</v>
      </c>
      <c r="V410">
        <v>-99999</v>
      </c>
      <c r="W410">
        <v>-99999</v>
      </c>
      <c r="X410">
        <v>-99999</v>
      </c>
      <c r="Y410">
        <v>-99999</v>
      </c>
      <c r="Z410">
        <v>-99999</v>
      </c>
      <c r="AA410">
        <v>-99999</v>
      </c>
      <c r="AB410">
        <v>-99999</v>
      </c>
      <c r="AC410">
        <v>-99999</v>
      </c>
      <c r="AD410">
        <v>-99999</v>
      </c>
      <c r="AE410">
        <v>-99999</v>
      </c>
      <c r="AF410">
        <v>-99999</v>
      </c>
      <c r="AG410">
        <v>-99999</v>
      </c>
      <c r="AH410">
        <v>-99999</v>
      </c>
      <c r="AI410">
        <v>-99999</v>
      </c>
      <c r="AJ410">
        <v>-99999</v>
      </c>
      <c r="AK410">
        <v>-99999</v>
      </c>
      <c r="AL410">
        <v>-99999</v>
      </c>
      <c r="AM410">
        <v>-99999</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row>
    <row r="411" spans="4:90" x14ac:dyDescent="0.2">
      <c r="D411" t="s">
        <v>72</v>
      </c>
      <c r="F411" t="s">
        <v>87</v>
      </c>
      <c r="K411" t="s">
        <v>101</v>
      </c>
      <c r="L411" t="s">
        <v>101</v>
      </c>
      <c r="N411" t="s">
        <v>7</v>
      </c>
      <c r="O411">
        <v>-99999</v>
      </c>
      <c r="P411">
        <v>-99999</v>
      </c>
      <c r="Q411">
        <v>-99999</v>
      </c>
      <c r="R411">
        <v>-99999</v>
      </c>
      <c r="S411">
        <v>-99999</v>
      </c>
      <c r="T411">
        <v>-99999</v>
      </c>
      <c r="U411">
        <v>-99999</v>
      </c>
      <c r="V411">
        <v>-99999</v>
      </c>
      <c r="W411">
        <v>-99999</v>
      </c>
      <c r="X411">
        <v>-99999</v>
      </c>
      <c r="Y411">
        <v>-99999</v>
      </c>
      <c r="Z411">
        <v>-99999</v>
      </c>
      <c r="AA411">
        <v>-99999</v>
      </c>
      <c r="AB411">
        <v>-99999</v>
      </c>
      <c r="AC411">
        <v>-99999</v>
      </c>
      <c r="AD411">
        <v>-99999</v>
      </c>
      <c r="AE411">
        <v>-99999</v>
      </c>
      <c r="AF411">
        <v>-99999</v>
      </c>
      <c r="AG411">
        <v>-99999</v>
      </c>
      <c r="AH411">
        <v>-99999</v>
      </c>
      <c r="AI411">
        <v>-99999</v>
      </c>
      <c r="AJ411">
        <v>-99999</v>
      </c>
      <c r="AK411">
        <v>-99999</v>
      </c>
      <c r="AL411">
        <v>-99999</v>
      </c>
      <c r="AM411">
        <v>-99999</v>
      </c>
      <c r="AN411">
        <v>2984.1777643445198</v>
      </c>
      <c r="AO411">
        <v>3391.4204937288901</v>
      </c>
      <c r="AP411">
        <v>3746.0645298816398</v>
      </c>
      <c r="AQ411">
        <v>4025.6709102096302</v>
      </c>
      <c r="AR411">
        <v>4210.5535385497496</v>
      </c>
      <c r="AS411">
        <v>4287.5076878844602</v>
      </c>
      <c r="AT411">
        <v>4255.7669516844699</v>
      </c>
      <c r="AU411">
        <v>4125.0003499479899</v>
      </c>
      <c r="AV411">
        <v>3901.24813710132</v>
      </c>
      <c r="AW411">
        <v>3592.8485319063102</v>
      </c>
      <c r="AX411">
        <v>3203.6349547005998</v>
      </c>
      <c r="AY411">
        <v>2734.8258685750302</v>
      </c>
      <c r="AZ411">
        <v>2186.58250692411</v>
      </c>
      <c r="BA411">
        <v>1559.65938663519</v>
      </c>
      <c r="BB411">
        <v>856.04985595647793</v>
      </c>
      <c r="BC411">
        <v>681.05769073732006</v>
      </c>
      <c r="BD411">
        <v>620.69278464321599</v>
      </c>
      <c r="BE411">
        <v>525.060099588051</v>
      </c>
      <c r="BF411">
        <v>623.19891936578495</v>
      </c>
      <c r="BG411">
        <v>234.812174044009</v>
      </c>
      <c r="BH411">
        <v>213.542337573493</v>
      </c>
      <c r="BI411">
        <v>188.288545420205</v>
      </c>
      <c r="BJ411">
        <v>165.295486213918</v>
      </c>
      <c r="BK411">
        <v>143.075069643994</v>
      </c>
      <c r="BL411">
        <v>124.118713605018</v>
      </c>
      <c r="BM411">
        <v>108.30661347418101</v>
      </c>
      <c r="BN411">
        <v>117.728899090391</v>
      </c>
      <c r="BO411">
        <v>167.69636851943201</v>
      </c>
      <c r="BP411">
        <v>261.50314998865798</v>
      </c>
      <c r="BQ411">
        <v>405.79099026503599</v>
      </c>
      <c r="BR411">
        <v>606.02633128385298</v>
      </c>
      <c r="BS411">
        <v>864.03534190592995</v>
      </c>
      <c r="BT411">
        <v>1178.80635262071</v>
      </c>
      <c r="BU411">
        <v>1545.98476968574</v>
      </c>
      <c r="BV411">
        <v>1958.0576517546999</v>
      </c>
      <c r="BW411">
        <v>2404.9606617009599</v>
      </c>
      <c r="BX411">
        <v>2876.78657422384</v>
      </c>
      <c r="BY411">
        <v>3362.3957884885199</v>
      </c>
      <c r="BZ411">
        <v>3850.1515483775602</v>
      </c>
      <c r="CA411">
        <v>4330.3251804310594</v>
      </c>
      <c r="CB411">
        <v>4794.1583049760602</v>
      </c>
      <c r="CC411">
        <v>5235.4269454353598</v>
      </c>
      <c r="CD411">
        <v>5649.2141591127393</v>
      </c>
      <c r="CE411">
        <v>6029.9536350849803</v>
      </c>
      <c r="CF411">
        <v>6372.0466418385604</v>
      </c>
      <c r="CG411">
        <v>6672.4871452851703</v>
      </c>
      <c r="CH411">
        <v>6951.05644421952</v>
      </c>
      <c r="CI411">
        <v>7216.0523362363101</v>
      </c>
      <c r="CJ411">
        <v>7469.9686372809401</v>
      </c>
      <c r="CK411">
        <v>7714.1314986191601</v>
      </c>
      <c r="CL411">
        <v>7900.3873837104102</v>
      </c>
    </row>
    <row r="412" spans="4:90" x14ac:dyDescent="0.2">
      <c r="D412" t="s">
        <v>72</v>
      </c>
      <c r="F412" t="s">
        <v>140</v>
      </c>
      <c r="G412" t="s">
        <v>141</v>
      </c>
      <c r="H412" t="s">
        <v>142</v>
      </c>
      <c r="L412" t="s">
        <v>96</v>
      </c>
      <c r="N412" t="s">
        <v>6</v>
      </c>
      <c r="O412">
        <v>64.588499999999996</v>
      </c>
      <c r="P412">
        <v>64.588499999999996</v>
      </c>
      <c r="Q412">
        <v>64.588499999999996</v>
      </c>
      <c r="R412">
        <v>64.588499999999996</v>
      </c>
      <c r="S412">
        <v>64.588499999999996</v>
      </c>
      <c r="T412">
        <v>64.588499999999996</v>
      </c>
      <c r="U412">
        <v>64.588499999999996</v>
      </c>
      <c r="V412">
        <v>64.727999999999994</v>
      </c>
      <c r="W412">
        <v>64.83959999999999</v>
      </c>
      <c r="X412">
        <v>64.951199999999986</v>
      </c>
      <c r="Y412">
        <v>65.062799999999996</v>
      </c>
      <c r="Z412">
        <v>58.841099999999997</v>
      </c>
      <c r="AA412">
        <v>52.591500000000003</v>
      </c>
      <c r="AB412">
        <v>46.369799999999998</v>
      </c>
      <c r="AC412">
        <v>40.120199999999997</v>
      </c>
      <c r="AD412">
        <v>33.898499999999999</v>
      </c>
      <c r="AE412">
        <v>33.898499999999999</v>
      </c>
      <c r="AF412">
        <v>44.946899999999999</v>
      </c>
      <c r="AG412">
        <v>44.946899999999999</v>
      </c>
      <c r="AH412">
        <v>76.9482</v>
      </c>
      <c r="AI412">
        <v>62.35649999999999</v>
      </c>
      <c r="AJ412">
        <v>82.890900000000002</v>
      </c>
      <c r="AK412">
        <v>28.5138</v>
      </c>
      <c r="AL412">
        <v>10.964700000000001</v>
      </c>
      <c r="AM412">
        <v>2.6505000000000001</v>
      </c>
      <c r="AN412">
        <v>23.0185355017713</v>
      </c>
      <c r="AO412">
        <v>29.623564287226898</v>
      </c>
      <c r="AP412">
        <v>27.575927656186199</v>
      </c>
      <c r="AQ412">
        <v>27.681744122717198</v>
      </c>
      <c r="AR412">
        <v>28.910584054346</v>
      </c>
      <c r="AS412">
        <v>30.329403940903202</v>
      </c>
      <c r="AT412">
        <v>31.952010219303698</v>
      </c>
      <c r="AU412">
        <v>33.785907282321901</v>
      </c>
      <c r="AV412">
        <v>35.7793189433362</v>
      </c>
      <c r="AW412">
        <v>37.905727038231298</v>
      </c>
      <c r="AX412">
        <v>40.124380712441798</v>
      </c>
      <c r="AY412">
        <v>42.379829217675301</v>
      </c>
      <c r="AZ412">
        <v>44.608711331395902</v>
      </c>
      <c r="BA412">
        <v>46.744470563739299</v>
      </c>
      <c r="BB412">
        <v>48.724164811603202</v>
      </c>
      <c r="BC412">
        <v>50.495161777350901</v>
      </c>
      <c r="BD412">
        <v>52.020442613332797</v>
      </c>
      <c r="BE412">
        <v>53.2816230498685</v>
      </c>
      <c r="BF412">
        <v>54.279379348788197</v>
      </c>
      <c r="BG412">
        <v>55.031570502084499</v>
      </c>
      <c r="BH412">
        <v>55.566695353516103</v>
      </c>
      <c r="BI412">
        <v>55.921797600513003</v>
      </c>
      <c r="BJ412">
        <v>56.132882327638399</v>
      </c>
      <c r="BK412">
        <v>56.2414451889491</v>
      </c>
      <c r="BL412">
        <v>56.286666940321801</v>
      </c>
      <c r="BM412">
        <v>56.302129342579001</v>
      </c>
      <c r="BN412">
        <v>56.307145933645799</v>
      </c>
      <c r="BO412">
        <v>56.332565734702698</v>
      </c>
      <c r="BP412">
        <v>56.402895881015503</v>
      </c>
      <c r="BQ412">
        <v>56.535927376403798</v>
      </c>
      <c r="BR412">
        <v>56.743738295378897</v>
      </c>
      <c r="BS412">
        <v>57.033553658363097</v>
      </c>
      <c r="BT412">
        <v>57.4084459352351</v>
      </c>
      <c r="BU412">
        <v>57.868036084092601</v>
      </c>
      <c r="BV412">
        <v>58.408674174701702</v>
      </c>
      <c r="BW412">
        <v>59.024251186769497</v>
      </c>
      <c r="BX412">
        <v>59.707265860737003</v>
      </c>
      <c r="BY412">
        <v>60.453397494007902</v>
      </c>
      <c r="BZ412">
        <v>61.257865779182801</v>
      </c>
      <c r="CA412">
        <v>62.115240262337501</v>
      </c>
      <c r="CB412">
        <v>63.019562267116207</v>
      </c>
      <c r="CC412">
        <v>63.965953556125001</v>
      </c>
      <c r="CD412">
        <v>64.949971859114498</v>
      </c>
      <c r="CE412">
        <v>65.966280051627493</v>
      </c>
      <c r="CF412">
        <v>67.010377576155307</v>
      </c>
      <c r="CG412">
        <v>68.078010961242995</v>
      </c>
      <c r="CH412">
        <v>69.165504927781498</v>
      </c>
      <c r="CI412">
        <v>70.269980260735707</v>
      </c>
      <c r="CJ412">
        <v>71.388751534424003</v>
      </c>
      <c r="CK412">
        <v>72.519933807485799</v>
      </c>
      <c r="CL412">
        <v>73.663415518770208</v>
      </c>
    </row>
    <row r="413" spans="4:90" x14ac:dyDescent="0.2">
      <c r="D413" t="s">
        <v>72</v>
      </c>
      <c r="F413" t="s">
        <v>140</v>
      </c>
      <c r="G413" t="s">
        <v>141</v>
      </c>
      <c r="H413" t="s">
        <v>143</v>
      </c>
      <c r="L413" t="s">
        <v>96</v>
      </c>
      <c r="N413" t="s">
        <v>8</v>
      </c>
      <c r="O413">
        <v>16.38</v>
      </c>
      <c r="P413">
        <v>16.38</v>
      </c>
      <c r="Q413">
        <v>16.38</v>
      </c>
      <c r="R413">
        <v>16.38</v>
      </c>
      <c r="S413">
        <v>16.38</v>
      </c>
      <c r="T413">
        <v>16.38</v>
      </c>
      <c r="U413">
        <v>16.38</v>
      </c>
      <c r="V413">
        <v>16.38</v>
      </c>
      <c r="W413">
        <v>16.38</v>
      </c>
      <c r="X413">
        <v>16.38</v>
      </c>
      <c r="Y413">
        <v>16.38</v>
      </c>
      <c r="Z413">
        <v>15.015000000000001</v>
      </c>
      <c r="AA413">
        <v>13.377000000000001</v>
      </c>
      <c r="AB413">
        <v>11.739000000000001</v>
      </c>
      <c r="AC413">
        <v>10.101000000000001</v>
      </c>
      <c r="AD413">
        <v>8.4629999999999992</v>
      </c>
      <c r="AE413">
        <v>8.4629999999999992</v>
      </c>
      <c r="AF413">
        <v>11.465999999999999</v>
      </c>
      <c r="AG413">
        <v>11.465999999999999</v>
      </c>
      <c r="AH413">
        <v>19.382999999999999</v>
      </c>
      <c r="AI413">
        <v>15.834</v>
      </c>
      <c r="AJ413">
        <v>21.021000000000001</v>
      </c>
      <c r="AK413">
        <v>7.3710000000000004</v>
      </c>
      <c r="AL413">
        <v>2.73</v>
      </c>
      <c r="AM413">
        <v>0.54600000000000004</v>
      </c>
      <c r="AN413">
        <v>5.5721738316367997</v>
      </c>
      <c r="AO413">
        <v>7.1710752279786014</v>
      </c>
      <c r="AP413">
        <v>6.6753969841864</v>
      </c>
      <c r="AQ413">
        <v>6.7010123299461002</v>
      </c>
      <c r="AR413">
        <v>6.9984817197674998</v>
      </c>
      <c r="AS413">
        <v>7.3419401923132996</v>
      </c>
      <c r="AT413">
        <v>7.7347299179175</v>
      </c>
      <c r="AU413">
        <v>8.1786675100236987</v>
      </c>
      <c r="AV413">
        <v>8.6612193340669013</v>
      </c>
      <c r="AW413">
        <v>9.1759660494192001</v>
      </c>
      <c r="AX413">
        <v>9.7130429605002</v>
      </c>
      <c r="AY413">
        <v>10.259026919319</v>
      </c>
      <c r="AZ413">
        <v>10.798579862942301</v>
      </c>
      <c r="BA413">
        <v>11.315590239394099</v>
      </c>
      <c r="BB413">
        <v>11.794821443383601</v>
      </c>
      <c r="BC413">
        <v>12.223532598691</v>
      </c>
      <c r="BD413">
        <v>12.5927624291248</v>
      </c>
      <c r="BE413">
        <v>12.898060593071699</v>
      </c>
      <c r="BF413">
        <v>13.1395907954933</v>
      </c>
      <c r="BG413">
        <v>13.3216762222774</v>
      </c>
      <c r="BH413">
        <v>13.451215683794301</v>
      </c>
      <c r="BI413">
        <v>13.5371764717045</v>
      </c>
      <c r="BJ413">
        <v>13.5882744571804</v>
      </c>
      <c r="BK413">
        <v>13.614554631904699</v>
      </c>
      <c r="BL413">
        <v>13.625501612419599</v>
      </c>
      <c r="BM413">
        <v>13.6292446478193</v>
      </c>
      <c r="BN413">
        <v>13.630459030787501</v>
      </c>
      <c r="BO413">
        <v>13.636612486998599</v>
      </c>
      <c r="BP413">
        <v>13.6536375406051</v>
      </c>
      <c r="BQ413">
        <v>13.685840919370399</v>
      </c>
      <c r="BR413">
        <v>13.736146403164099</v>
      </c>
      <c r="BS413">
        <v>13.8063029768308</v>
      </c>
      <c r="BT413">
        <v>13.8970544034238</v>
      </c>
      <c r="BU413">
        <v>14.0083089270031</v>
      </c>
      <c r="BV413">
        <v>14.1391829967564</v>
      </c>
      <c r="BW413">
        <v>14.2881977817212</v>
      </c>
      <c r="BX413">
        <v>14.4535374269221</v>
      </c>
      <c r="BY413">
        <v>14.6341560054389</v>
      </c>
      <c r="BZ413">
        <v>14.8288963322806</v>
      </c>
      <c r="CA413">
        <v>15.036443839313799</v>
      </c>
      <c r="CB413">
        <v>15.255356089835299</v>
      </c>
      <c r="CC413">
        <v>15.484452192612901</v>
      </c>
      <c r="CD413">
        <v>15.722656792438499</v>
      </c>
      <c r="CE413">
        <v>15.968677913754499</v>
      </c>
      <c r="CF413">
        <v>16.221426091561199</v>
      </c>
      <c r="CG413">
        <v>16.479871673805601</v>
      </c>
      <c r="CH413">
        <v>16.7431249733885</v>
      </c>
      <c r="CI413">
        <v>17.010489009102301</v>
      </c>
      <c r="CJ413">
        <v>17.281313710975901</v>
      </c>
      <c r="CK413">
        <v>17.555142784953301</v>
      </c>
      <c r="CL413">
        <v>17.831949225053901</v>
      </c>
    </row>
    <row r="414" spans="4:90" x14ac:dyDescent="0.2">
      <c r="D414" t="s">
        <v>72</v>
      </c>
      <c r="F414" t="s">
        <v>140</v>
      </c>
      <c r="G414" t="s">
        <v>144</v>
      </c>
      <c r="L414" t="s">
        <v>96</v>
      </c>
      <c r="N414" t="s">
        <v>7</v>
      </c>
      <c r="O414">
        <v>0.45500000000000002</v>
      </c>
      <c r="P414">
        <v>0.45500000000000002</v>
      </c>
      <c r="Q414">
        <v>0.45500000000000002</v>
      </c>
      <c r="R414">
        <v>0.45500000000000002</v>
      </c>
      <c r="S414">
        <v>0.45500000000000002</v>
      </c>
      <c r="T414">
        <v>0.45500000000000002</v>
      </c>
      <c r="U414">
        <v>0.45500000000000002</v>
      </c>
      <c r="V414">
        <v>2.5369999999999999</v>
      </c>
      <c r="W414">
        <v>2.2730000000000001</v>
      </c>
      <c r="X414">
        <v>2.3610000000000002</v>
      </c>
      <c r="Y414">
        <v>2.5369999999999999</v>
      </c>
      <c r="Z414">
        <v>2.75</v>
      </c>
      <c r="AA414">
        <v>2.5369999999999999</v>
      </c>
      <c r="AB414">
        <v>2.5369999999999999</v>
      </c>
      <c r="AC414">
        <v>2.5369999999999999</v>
      </c>
      <c r="AD414">
        <v>2.5369999999999999</v>
      </c>
      <c r="AE414">
        <v>2.5369999999999999</v>
      </c>
      <c r="AF414">
        <v>2.5369999999999999</v>
      </c>
      <c r="AG414">
        <v>2.5369999999999999</v>
      </c>
      <c r="AH414">
        <v>2.5369999999999999</v>
      </c>
      <c r="AI414">
        <v>2.5369999999999999</v>
      </c>
      <c r="AJ414">
        <v>2.5369999999999999</v>
      </c>
      <c r="AK414">
        <v>4.1070000000000002</v>
      </c>
      <c r="AL414">
        <v>4.5830000000000002</v>
      </c>
      <c r="AM414">
        <v>4.5830000000000002</v>
      </c>
      <c r="AN414">
        <v>3.39966526708569E-2</v>
      </c>
      <c r="AO414">
        <v>3.4061942108100297E-2</v>
      </c>
      <c r="AP414">
        <v>3.4138615185139297E-2</v>
      </c>
      <c r="AQ414">
        <v>3.4222653926171298E-2</v>
      </c>
      <c r="AR414">
        <v>3.5702622124673802E-2</v>
      </c>
      <c r="AS414">
        <v>3.7420645415443501E-2</v>
      </c>
      <c r="AT414">
        <v>3.9392112485305102E-2</v>
      </c>
      <c r="AU414">
        <v>4.16250029031595E-2</v>
      </c>
      <c r="AV414">
        <v>4.4116760948912703E-2</v>
      </c>
      <c r="AW414">
        <v>4.6843366170117702E-2</v>
      </c>
      <c r="AX414">
        <v>4.9762981718274903E-2</v>
      </c>
      <c r="AY414">
        <v>5.2813414705775399E-2</v>
      </c>
      <c r="AZ414">
        <v>5.5922146579237102E-2</v>
      </c>
      <c r="BA414">
        <v>5.90105896825791E-2</v>
      </c>
      <c r="BB414">
        <v>6.20019839398568E-2</v>
      </c>
      <c r="BC414">
        <v>6.4829467237039209E-2</v>
      </c>
      <c r="BD414">
        <v>6.7442779192805391E-2</v>
      </c>
      <c r="BE414">
        <v>6.9812460540208607E-2</v>
      </c>
      <c r="BF414">
        <v>7.1931045639886101E-2</v>
      </c>
      <c r="BG414">
        <v>7.3811470090964504E-2</v>
      </c>
      <c r="BH414">
        <v>7.5477113005695401E-2</v>
      </c>
      <c r="BI414">
        <v>7.6961725792985297E-2</v>
      </c>
      <c r="BJ414">
        <v>7.8295626107234007E-2</v>
      </c>
      <c r="BK414">
        <v>7.9518668934051309E-2</v>
      </c>
      <c r="BL414">
        <v>8.0669431777025097E-2</v>
      </c>
      <c r="BM414">
        <v>8.1783259492268806E-2</v>
      </c>
      <c r="BN414">
        <v>8.28782055071835E-2</v>
      </c>
      <c r="BO414">
        <v>8.3983955392510898E-2</v>
      </c>
      <c r="BP414">
        <v>8.5122878181314601E-2</v>
      </c>
      <c r="BQ414">
        <v>8.6310084286765995E-2</v>
      </c>
      <c r="BR414">
        <v>8.755551097834989E-2</v>
      </c>
      <c r="BS414">
        <v>8.8864415925864207E-2</v>
      </c>
      <c r="BT414">
        <v>9.02384466926755E-2</v>
      </c>
      <c r="BU414">
        <v>9.1676183124797E-2</v>
      </c>
      <c r="BV414">
        <v>9.3172840504224794E-2</v>
      </c>
      <c r="BW414">
        <v>9.4721138902032903E-2</v>
      </c>
      <c r="BX414">
        <v>9.6312656639437305E-2</v>
      </c>
      <c r="BY414">
        <v>9.79467552723403E-2</v>
      </c>
      <c r="BZ414">
        <v>9.9621872716889007E-2</v>
      </c>
      <c r="CA414">
        <v>0.10133515218020001</v>
      </c>
      <c r="CB414">
        <v>0.10308259977049999</v>
      </c>
      <c r="CC414">
        <v>0.104861760846</v>
      </c>
      <c r="CD414">
        <v>0.10667043297129999</v>
      </c>
      <c r="CE414">
        <v>0.1085043078224</v>
      </c>
      <c r="CF414">
        <v>0.1103604393042</v>
      </c>
      <c r="CG414">
        <v>0.1122357212941</v>
      </c>
      <c r="CH414">
        <v>0.11412750488450001</v>
      </c>
      <c r="CI414">
        <v>0.1160339461904</v>
      </c>
      <c r="CJ414">
        <v>0.1179536146409</v>
      </c>
      <c r="CK414">
        <v>0.119887207442</v>
      </c>
      <c r="CL414">
        <v>0.12183662397</v>
      </c>
    </row>
    <row r="415" spans="4:90" x14ac:dyDescent="0.2">
      <c r="D415" t="s">
        <v>72</v>
      </c>
      <c r="F415" t="s">
        <v>140</v>
      </c>
      <c r="G415" t="s">
        <v>145</v>
      </c>
      <c r="L415" t="s">
        <v>96</v>
      </c>
      <c r="N415" t="s">
        <v>7</v>
      </c>
      <c r="O415">
        <v>0</v>
      </c>
      <c r="P415">
        <v>0</v>
      </c>
      <c r="Q415">
        <v>0</v>
      </c>
      <c r="R415">
        <v>0</v>
      </c>
      <c r="S415">
        <v>0</v>
      </c>
      <c r="T415">
        <v>0</v>
      </c>
      <c r="U415">
        <v>0</v>
      </c>
      <c r="V415">
        <v>0</v>
      </c>
      <c r="W415">
        <v>0</v>
      </c>
      <c r="X415">
        <v>0</v>
      </c>
      <c r="Y415">
        <v>0</v>
      </c>
      <c r="Z415">
        <v>0</v>
      </c>
      <c r="AA415">
        <v>0</v>
      </c>
      <c r="AB415">
        <v>0</v>
      </c>
      <c r="AC415">
        <v>0</v>
      </c>
      <c r="AD415">
        <v>0</v>
      </c>
      <c r="AE415">
        <v>7.0229999999999997</v>
      </c>
      <c r="AF415">
        <v>6.6980000000000004</v>
      </c>
      <c r="AG415">
        <v>8.6180000000000003</v>
      </c>
      <c r="AH415">
        <v>4.173</v>
      </c>
      <c r="AI415">
        <v>5.0599999999999996</v>
      </c>
      <c r="AJ415">
        <v>6.7750000000000004</v>
      </c>
      <c r="AK415">
        <v>8.1319999999999997</v>
      </c>
      <c r="AL415">
        <v>11.872999999999999</v>
      </c>
      <c r="AM415">
        <v>11.23</v>
      </c>
      <c r="AN415">
        <v>0.13311267671150001</v>
      </c>
      <c r="AO415">
        <v>0.13324475918879999</v>
      </c>
      <c r="AP415">
        <v>0.13367276968239999</v>
      </c>
      <c r="AQ415">
        <v>0.13407996496960001</v>
      </c>
      <c r="AR415">
        <v>0.14351605519890001</v>
      </c>
      <c r="AS415">
        <v>0.1549091493793</v>
      </c>
      <c r="AT415">
        <v>0.1670786350938</v>
      </c>
      <c r="AU415">
        <v>0.18010262196390001</v>
      </c>
      <c r="AV415">
        <v>0.19380040052069999</v>
      </c>
      <c r="AW415">
        <v>0.20813421001579999</v>
      </c>
      <c r="AX415">
        <v>0.22304759313360001</v>
      </c>
      <c r="AY415">
        <v>0.23851024055799999</v>
      </c>
      <c r="AZ415">
        <v>0.25393700740660002</v>
      </c>
      <c r="BA415">
        <v>0.26891081188150001</v>
      </c>
      <c r="BB415">
        <v>0.2830090826028</v>
      </c>
      <c r="BC415">
        <v>0.29585620723549999</v>
      </c>
      <c r="BD415">
        <v>0.30717017568979998</v>
      </c>
      <c r="BE415">
        <v>0.31679431788919998</v>
      </c>
      <c r="BF415">
        <v>0.32471061021620001</v>
      </c>
      <c r="BG415">
        <v>0.33103471353980002</v>
      </c>
      <c r="BH415">
        <v>0.33611608934920001</v>
      </c>
      <c r="BI415">
        <v>0.34028814070050001</v>
      </c>
      <c r="BJ415">
        <v>0.34388319993749999</v>
      </c>
      <c r="BK415">
        <v>0.3472596206668</v>
      </c>
      <c r="BL415">
        <v>0.35180533535730002</v>
      </c>
      <c r="BM415">
        <v>0.36024133406910003</v>
      </c>
      <c r="BN415">
        <v>0.36676724353509998</v>
      </c>
      <c r="BO415">
        <v>0.3722805627022</v>
      </c>
      <c r="BP415">
        <v>0.37739778268180002</v>
      </c>
      <c r="BQ415">
        <v>0.38264471186010002</v>
      </c>
      <c r="BR415">
        <v>0.38838366418609999</v>
      </c>
      <c r="BS415">
        <v>0.39488861708630002</v>
      </c>
      <c r="BT415">
        <v>0.40231544141350001</v>
      </c>
      <c r="BU415">
        <v>0.41072851376890002</v>
      </c>
      <c r="BV415">
        <v>0.4201205633233</v>
      </c>
      <c r="BW415">
        <v>0.43043006456330002</v>
      </c>
      <c r="BX415">
        <v>0.44155941284400002</v>
      </c>
      <c r="BY415">
        <v>0.45331487620779998</v>
      </c>
      <c r="BZ415">
        <v>0.46557391675150001</v>
      </c>
      <c r="CA415">
        <v>0.47823203808960002</v>
      </c>
      <c r="CB415">
        <v>0.49119393223460001</v>
      </c>
      <c r="CC415">
        <v>0.50437849314880001</v>
      </c>
      <c r="CD415">
        <v>0.51772601883989999</v>
      </c>
      <c r="CE415">
        <v>0.53119540510459995</v>
      </c>
      <c r="CF415">
        <v>0.54471276539960001</v>
      </c>
      <c r="CG415">
        <v>0.55821687475500004</v>
      </c>
      <c r="CH415">
        <v>0.57165701061410001</v>
      </c>
      <c r="CI415">
        <v>0.58499549419480001</v>
      </c>
      <c r="CJ415">
        <v>0.59813019165500003</v>
      </c>
      <c r="CK415">
        <v>0.61081855985630007</v>
      </c>
      <c r="CL415">
        <v>0.62292871227019997</v>
      </c>
    </row>
    <row r="416" spans="4:90" x14ac:dyDescent="0.2">
      <c r="D416" t="s">
        <v>72</v>
      </c>
      <c r="F416" t="s">
        <v>140</v>
      </c>
      <c r="G416" t="s">
        <v>146</v>
      </c>
      <c r="L416" t="s">
        <v>96</v>
      </c>
      <c r="N416" t="s">
        <v>8</v>
      </c>
      <c r="O416">
        <v>230.685</v>
      </c>
      <c r="P416">
        <v>230.958</v>
      </c>
      <c r="Q416">
        <v>237.51</v>
      </c>
      <c r="R416">
        <v>246.792</v>
      </c>
      <c r="S416">
        <v>244.06200000000001</v>
      </c>
      <c r="T416">
        <v>247.61099999999999</v>
      </c>
      <c r="U416">
        <v>250.887</v>
      </c>
      <c r="V416">
        <v>254.43600000000001</v>
      </c>
      <c r="W416">
        <v>257.98500000000001</v>
      </c>
      <c r="X416">
        <v>261.26100000000002</v>
      </c>
      <c r="Y416">
        <v>365.274</v>
      </c>
      <c r="Z416">
        <v>268.35899999999998</v>
      </c>
      <c r="AA416">
        <v>271.63499999999999</v>
      </c>
      <c r="AB416">
        <v>283.101</v>
      </c>
      <c r="AC416">
        <v>511.60199999999998</v>
      </c>
      <c r="AD416">
        <v>294.83999999999997</v>
      </c>
      <c r="AE416">
        <v>299.75400000000002</v>
      </c>
      <c r="AF416">
        <v>304.94099999999997</v>
      </c>
      <c r="AG416">
        <v>309.85500000000002</v>
      </c>
      <c r="AH416">
        <v>314.76900000000001</v>
      </c>
      <c r="AI416">
        <v>1339.0650000000001</v>
      </c>
      <c r="AJ416">
        <v>327.87299999999999</v>
      </c>
      <c r="AK416">
        <v>329.78399999999999</v>
      </c>
      <c r="AL416">
        <v>330.33</v>
      </c>
      <c r="AM416">
        <v>1479.66</v>
      </c>
      <c r="AN416">
        <v>1566.7930394963121</v>
      </c>
      <c r="AO416">
        <v>1709.199865780123</v>
      </c>
      <c r="AP416">
        <v>1712.145703203083</v>
      </c>
      <c r="AQ416">
        <v>1739.1440286823911</v>
      </c>
      <c r="AR416">
        <v>1809.3193128123901</v>
      </c>
      <c r="AS416">
        <v>1880.6295871336731</v>
      </c>
      <c r="AT416">
        <v>1955.395923838978</v>
      </c>
      <c r="AU416">
        <v>2034.7081082105469</v>
      </c>
      <c r="AV416">
        <v>2118.7975847441721</v>
      </c>
      <c r="AW416">
        <v>2205.82618473504</v>
      </c>
      <c r="AX416">
        <v>2293.9958997133572</v>
      </c>
      <c r="AY416">
        <v>2380.514859623016</v>
      </c>
      <c r="AZ416">
        <v>2462.8949466333452</v>
      </c>
      <c r="BA416">
        <v>2538.2227602331741</v>
      </c>
      <c r="BB416">
        <v>2603.8189598679178</v>
      </c>
      <c r="BC416">
        <v>2696.4469479886739</v>
      </c>
      <c r="BD416">
        <v>2787.6671532302812</v>
      </c>
      <c r="BE416">
        <v>2866.9286579582931</v>
      </c>
      <c r="BF416">
        <v>2949.0173994707461</v>
      </c>
      <c r="BG416">
        <v>2990.7102724875008</v>
      </c>
      <c r="BH416">
        <v>3048.0711692233322</v>
      </c>
      <c r="BI416">
        <v>3098.4919609659719</v>
      </c>
      <c r="BJ416">
        <v>3143.5383588664999</v>
      </c>
      <c r="BK416">
        <v>3184.6785439900341</v>
      </c>
      <c r="BL416">
        <v>3222.0723381966409</v>
      </c>
      <c r="BM416">
        <v>3253.597708326552</v>
      </c>
      <c r="BN416">
        <v>3289.8794659129921</v>
      </c>
      <c r="BO416">
        <v>3335.6655105239379</v>
      </c>
      <c r="BP416">
        <v>3392.8592823339532</v>
      </c>
      <c r="BQ416">
        <v>3455.958573632422</v>
      </c>
      <c r="BR416">
        <v>3525.3992180982659</v>
      </c>
      <c r="BS416">
        <v>3601.247301520631</v>
      </c>
      <c r="BT416">
        <v>3683.3391334729272</v>
      </c>
      <c r="BU416">
        <v>3771.2502304331988</v>
      </c>
      <c r="BV416">
        <v>3864.2695525670329</v>
      </c>
      <c r="BW416">
        <v>3961.4638389430429</v>
      </c>
      <c r="BX416">
        <v>4061.8969011851491</v>
      </c>
      <c r="BY416">
        <v>4165.0868023418607</v>
      </c>
      <c r="BZ416">
        <v>4270.3772143517281</v>
      </c>
      <c r="CA416">
        <v>4377.1534772380201</v>
      </c>
      <c r="CB416">
        <v>4484.7960744727216</v>
      </c>
      <c r="CC416">
        <v>4592.9577347528693</v>
      </c>
      <c r="CD416">
        <v>4701.451435176049</v>
      </c>
      <c r="CE416">
        <v>4809.6468400680042</v>
      </c>
      <c r="CF416">
        <v>4917.1826154209948</v>
      </c>
      <c r="CG416">
        <v>5023.8445419841473</v>
      </c>
      <c r="CH416">
        <v>5130.9037441266182</v>
      </c>
      <c r="CI416">
        <v>5239.5301914450383</v>
      </c>
      <c r="CJ416">
        <v>5351.7556072164316</v>
      </c>
      <c r="CK416">
        <v>5468.4193565964624</v>
      </c>
      <c r="CL416">
        <v>5587.0770536498994</v>
      </c>
    </row>
    <row r="417" spans="4:90" x14ac:dyDescent="0.2">
      <c r="D417" t="s">
        <v>72</v>
      </c>
      <c r="F417" t="s">
        <v>140</v>
      </c>
      <c r="G417" t="s">
        <v>147</v>
      </c>
      <c r="L417" t="s">
        <v>96</v>
      </c>
      <c r="N417" t="s">
        <v>8</v>
      </c>
      <c r="O417">
        <v>255.80099999999999</v>
      </c>
      <c r="P417">
        <v>186.18600000000001</v>
      </c>
      <c r="Q417">
        <v>197.10599999999999</v>
      </c>
      <c r="R417">
        <v>202.566</v>
      </c>
      <c r="S417">
        <v>208.29900000000001</v>
      </c>
      <c r="T417">
        <v>213.21299999999999</v>
      </c>
      <c r="U417">
        <v>219.21899999999999</v>
      </c>
      <c r="V417">
        <v>224.679</v>
      </c>
      <c r="W417">
        <v>230.13900000000001</v>
      </c>
      <c r="X417">
        <v>235.59899999999999</v>
      </c>
      <c r="Y417">
        <v>241.33199999999999</v>
      </c>
      <c r="Z417">
        <v>246.792</v>
      </c>
      <c r="AA417">
        <v>252.52500000000001</v>
      </c>
      <c r="AB417">
        <v>276.00299999999999</v>
      </c>
      <c r="AC417">
        <v>289.10700000000003</v>
      </c>
      <c r="AD417">
        <v>405.13200000000001</v>
      </c>
      <c r="AE417">
        <v>315.58800000000002</v>
      </c>
      <c r="AF417">
        <v>328.69200000000001</v>
      </c>
      <c r="AG417">
        <v>341.79599999999999</v>
      </c>
      <c r="AH417">
        <v>354.9</v>
      </c>
      <c r="AI417">
        <v>368.00400000000002</v>
      </c>
      <c r="AJ417">
        <v>381.10799999999989</v>
      </c>
      <c r="AK417">
        <v>394.21199999999999</v>
      </c>
      <c r="AL417">
        <v>394.21199999999999</v>
      </c>
      <c r="AM417">
        <v>401.58300000000003</v>
      </c>
      <c r="AN417">
        <v>374.99164787285719</v>
      </c>
      <c r="AO417">
        <v>371.06849617989229</v>
      </c>
      <c r="AP417">
        <v>372.49196681974769</v>
      </c>
      <c r="AQ417">
        <v>374.17745520492872</v>
      </c>
      <c r="AR417">
        <v>384.77167544978619</v>
      </c>
      <c r="AS417">
        <v>396.3878713916601</v>
      </c>
      <c r="AT417">
        <v>410.92815706102363</v>
      </c>
      <c r="AU417">
        <v>428.56427485374172</v>
      </c>
      <c r="AV417">
        <v>449.38857026915508</v>
      </c>
      <c r="AW417">
        <v>473.06307743275642</v>
      </c>
      <c r="AX417">
        <v>498.90545979525382</v>
      </c>
      <c r="AY417">
        <v>525.6972467411498</v>
      </c>
      <c r="AZ417">
        <v>553.4571834333716</v>
      </c>
      <c r="BA417">
        <v>581.56973688301423</v>
      </c>
      <c r="BB417">
        <v>609.45625779140198</v>
      </c>
      <c r="BC417">
        <v>636.62506626346112</v>
      </c>
      <c r="BD417">
        <v>662.70740434131199</v>
      </c>
      <c r="BE417">
        <v>687.47715117651762</v>
      </c>
      <c r="BF417">
        <v>710.85001236398739</v>
      </c>
      <c r="BG417">
        <v>732.86596757924997</v>
      </c>
      <c r="BH417">
        <v>753.2454409425759</v>
      </c>
      <c r="BI417">
        <v>772.02310935118533</v>
      </c>
      <c r="BJ417">
        <v>789.09443535924663</v>
      </c>
      <c r="BK417">
        <v>804.63781609378088</v>
      </c>
      <c r="BL417">
        <v>817.32163461182733</v>
      </c>
      <c r="BM417">
        <v>823.95068510396084</v>
      </c>
      <c r="BN417">
        <v>833.9566368505233</v>
      </c>
      <c r="BO417">
        <v>845.49787294253292</v>
      </c>
      <c r="BP417">
        <v>858.06198094451497</v>
      </c>
      <c r="BQ417">
        <v>871.14770131823525</v>
      </c>
      <c r="BR417">
        <v>884.40397987167603</v>
      </c>
      <c r="BS417">
        <v>897.53262061774831</v>
      </c>
      <c r="BT417">
        <v>910.34135886357581</v>
      </c>
      <c r="BU417">
        <v>922.71572153666523</v>
      </c>
      <c r="BV417">
        <v>934.58343415468516</v>
      </c>
      <c r="BW417">
        <v>945.90984278273629</v>
      </c>
      <c r="BX417">
        <v>956.69596224078975</v>
      </c>
      <c r="BY417">
        <v>967.2913328012379</v>
      </c>
      <c r="BZ417">
        <v>977.83971192469494</v>
      </c>
      <c r="CA417">
        <v>988.43792413792801</v>
      </c>
      <c r="CB417">
        <v>999.15266508454647</v>
      </c>
      <c r="CC417">
        <v>1010.063890513356</v>
      </c>
      <c r="CD417">
        <v>1021.221656831836</v>
      </c>
      <c r="CE417">
        <v>1032.6105838310409</v>
      </c>
      <c r="CF417">
        <v>1044.289541876075</v>
      </c>
      <c r="CG417">
        <v>1056.2940717613869</v>
      </c>
      <c r="CH417">
        <v>1068.654118918884</v>
      </c>
      <c r="CI417">
        <v>1081.3953426283661</v>
      </c>
      <c r="CJ417">
        <v>1094.6337344848121</v>
      </c>
      <c r="CK417">
        <v>1108.709457346002</v>
      </c>
      <c r="CL417">
        <v>1123.83494042028</v>
      </c>
    </row>
    <row r="418" spans="4:90" x14ac:dyDescent="0.2">
      <c r="D418" t="s">
        <v>72</v>
      </c>
      <c r="F418" t="s">
        <v>140</v>
      </c>
      <c r="G418" t="s">
        <v>148</v>
      </c>
      <c r="L418" t="s">
        <v>96</v>
      </c>
      <c r="N418" t="s">
        <v>6</v>
      </c>
      <c r="O418">
        <v>132.44130000000001</v>
      </c>
      <c r="P418">
        <v>134.92439999999999</v>
      </c>
      <c r="Q418">
        <v>137.37960000000001</v>
      </c>
      <c r="R418">
        <v>139.86269999999999</v>
      </c>
      <c r="S418">
        <v>142.3458</v>
      </c>
      <c r="T418">
        <v>144.8289</v>
      </c>
      <c r="U418">
        <v>147.2841</v>
      </c>
      <c r="V418">
        <v>148.3443</v>
      </c>
      <c r="W418">
        <v>149.34870000000001</v>
      </c>
      <c r="X418">
        <v>150.29730000000001</v>
      </c>
      <c r="Y418">
        <v>151.24590000000001</v>
      </c>
      <c r="Z418">
        <v>152.1387</v>
      </c>
      <c r="AA418">
        <v>153.03149999999999</v>
      </c>
      <c r="AB418">
        <v>153.86850000000001</v>
      </c>
      <c r="AC418">
        <v>153.11519999999999</v>
      </c>
      <c r="AD418">
        <v>152.30609999999999</v>
      </c>
      <c r="AE418">
        <v>151.41329999999999</v>
      </c>
      <c r="AF418">
        <v>150.46469999999999</v>
      </c>
      <c r="AG418">
        <v>149.4324</v>
      </c>
      <c r="AH418">
        <v>147.56309999999999</v>
      </c>
      <c r="AI418">
        <v>145.61009999999999</v>
      </c>
      <c r="AJ418">
        <v>142.59690000000001</v>
      </c>
      <c r="AK418">
        <v>186.8184</v>
      </c>
      <c r="AL418">
        <v>271.2996</v>
      </c>
      <c r="AM418">
        <v>239.2704</v>
      </c>
      <c r="AN418">
        <v>221.743572946683</v>
      </c>
      <c r="AO418">
        <v>222.65836486915001</v>
      </c>
      <c r="AP418">
        <v>223.543507182871</v>
      </c>
      <c r="AQ418">
        <v>224.401305489458</v>
      </c>
      <c r="AR418">
        <v>225.23358669708099</v>
      </c>
      <c r="AS418">
        <v>226.04212078160899</v>
      </c>
      <c r="AT418">
        <v>226.828543030828</v>
      </c>
      <c r="AU418">
        <v>227.59425617629901</v>
      </c>
      <c r="AV418">
        <v>228.35388629224801</v>
      </c>
      <c r="AW418">
        <v>229.044538752378</v>
      </c>
      <c r="AX418">
        <v>229.600787898287</v>
      </c>
      <c r="AY418">
        <v>229.95554260159699</v>
      </c>
      <c r="AZ418">
        <v>230.060388249033</v>
      </c>
      <c r="BA418">
        <v>229.88595823974799</v>
      </c>
      <c r="BB418">
        <v>229.42455694618201</v>
      </c>
      <c r="BC418">
        <v>228.69056760654999</v>
      </c>
      <c r="BD418">
        <v>227.71890578636899</v>
      </c>
      <c r="BE418">
        <v>226.56205532223501</v>
      </c>
      <c r="BF418">
        <v>225.28620311039799</v>
      </c>
      <c r="BG418">
        <v>223.96696311486599</v>
      </c>
      <c r="BH418">
        <v>222.677450590528</v>
      </c>
      <c r="BI418">
        <v>221.49072182984401</v>
      </c>
      <c r="BJ418">
        <v>220.44631870106301</v>
      </c>
      <c r="BK418">
        <v>219.60639674942399</v>
      </c>
      <c r="BL418">
        <v>219.02411964037799</v>
      </c>
      <c r="BM418">
        <v>218.741748872904</v>
      </c>
      <c r="BN418">
        <v>218.748092235907</v>
      </c>
      <c r="BO418">
        <v>219.07713050827601</v>
      </c>
      <c r="BP418">
        <v>219.751226057677</v>
      </c>
      <c r="BQ418">
        <v>220.77992882308601</v>
      </c>
      <c r="BR418">
        <v>222.163937034035</v>
      </c>
      <c r="BS418">
        <v>223.897164733842</v>
      </c>
      <c r="BT418">
        <v>225.96787903210901</v>
      </c>
      <c r="BU418">
        <v>228.35948470134099</v>
      </c>
      <c r="BV418">
        <v>231.04884496102099</v>
      </c>
      <c r="BW418">
        <v>234.00813611199101</v>
      </c>
      <c r="BX418">
        <v>237.208239929054</v>
      </c>
      <c r="BY418">
        <v>240.628875976595</v>
      </c>
      <c r="BZ418">
        <v>244.24904891723099</v>
      </c>
      <c r="CA418">
        <v>248.04563672387701</v>
      </c>
      <c r="CB418">
        <v>251.99363381443399</v>
      </c>
      <c r="CC418">
        <v>256.07393283278299</v>
      </c>
      <c r="CD418">
        <v>260.26964124878998</v>
      </c>
      <c r="CE418">
        <v>264.559285737572</v>
      </c>
      <c r="CF418">
        <v>268.92560192519301</v>
      </c>
      <c r="CG418">
        <v>273.351907977427</v>
      </c>
      <c r="CH418">
        <v>277.82384458986598</v>
      </c>
      <c r="CI418">
        <v>282.33040027676299</v>
      </c>
      <c r="CJ418">
        <v>286.86078584432198</v>
      </c>
      <c r="CK418">
        <v>291.40682710317998</v>
      </c>
      <c r="CL418">
        <v>295.96563994660301</v>
      </c>
    </row>
    <row r="419" spans="4:90" x14ac:dyDescent="0.2">
      <c r="D419" t="s">
        <v>72</v>
      </c>
      <c r="F419" t="s">
        <v>140</v>
      </c>
      <c r="K419" t="s">
        <v>149</v>
      </c>
      <c r="L419" t="s">
        <v>150</v>
      </c>
      <c r="M419" t="s">
        <v>149</v>
      </c>
      <c r="N419" t="s">
        <v>8</v>
      </c>
      <c r="O419">
        <v>-99999</v>
      </c>
      <c r="P419">
        <v>-99999</v>
      </c>
      <c r="Q419">
        <v>-99999</v>
      </c>
      <c r="R419">
        <v>-99999</v>
      </c>
      <c r="S419">
        <v>-99999</v>
      </c>
      <c r="T419">
        <v>-99999</v>
      </c>
      <c r="U419">
        <v>-99999</v>
      </c>
      <c r="V419">
        <v>-99999</v>
      </c>
      <c r="W419">
        <v>-99999</v>
      </c>
      <c r="X419">
        <v>-99999</v>
      </c>
      <c r="Y419">
        <v>-99999</v>
      </c>
      <c r="Z419">
        <v>-99999</v>
      </c>
      <c r="AA419">
        <v>-99999</v>
      </c>
      <c r="AB419">
        <v>-99999</v>
      </c>
      <c r="AC419">
        <v>-99999</v>
      </c>
      <c r="AD419">
        <v>-99999</v>
      </c>
      <c r="AE419">
        <v>-99999</v>
      </c>
      <c r="AF419">
        <v>-99999</v>
      </c>
      <c r="AG419">
        <v>-99999</v>
      </c>
      <c r="AH419">
        <v>-99999</v>
      </c>
      <c r="AI419">
        <v>-99999</v>
      </c>
      <c r="AJ419">
        <v>-99999</v>
      </c>
      <c r="AK419">
        <v>-99999</v>
      </c>
      <c r="AL419">
        <v>-99999</v>
      </c>
      <c r="AM419">
        <v>-99999</v>
      </c>
      <c r="AN419">
        <v>1357.85579533548</v>
      </c>
      <c r="AO419">
        <v>1362.8420792540401</v>
      </c>
      <c r="AP419">
        <v>1363.9795922133501</v>
      </c>
      <c r="AQ419">
        <v>1365.4917213865799</v>
      </c>
      <c r="AR419">
        <v>1403.81578877323</v>
      </c>
      <c r="AS419">
        <v>1445.83551608732</v>
      </c>
      <c r="AT419">
        <v>1499.3506927702199</v>
      </c>
      <c r="AU419">
        <v>1564.1163497933301</v>
      </c>
      <c r="AV419">
        <v>1641.23853258444</v>
      </c>
      <c r="AW419">
        <v>1729.43099600237</v>
      </c>
      <c r="AX419">
        <v>1826.5541739385001</v>
      </c>
      <c r="AY419">
        <v>1929.35569940658</v>
      </c>
      <c r="AZ419">
        <v>2036.0205030894199</v>
      </c>
      <c r="BA419">
        <v>2143.9313121703999</v>
      </c>
      <c r="BB419">
        <v>2250.62092008936</v>
      </c>
      <c r="BC419">
        <v>2353.9838762527502</v>
      </c>
      <c r="BD419">
        <v>2452.4367530875502</v>
      </c>
      <c r="BE419">
        <v>2545.0019145910701</v>
      </c>
      <c r="BF419">
        <v>2631.3065043193501</v>
      </c>
      <c r="BG419">
        <v>2711.5089385229599</v>
      </c>
      <c r="BH419">
        <v>2785.33897336154</v>
      </c>
      <c r="BI419">
        <v>2853.0503838259301</v>
      </c>
      <c r="BJ419">
        <v>2914.78011600533</v>
      </c>
      <c r="BK419">
        <v>2970.9309939466898</v>
      </c>
      <c r="BL419">
        <v>3015.9155557926601</v>
      </c>
      <c r="BM419">
        <v>3036.1648008197399</v>
      </c>
      <c r="BN419">
        <v>3064.9800088730899</v>
      </c>
      <c r="BO419">
        <v>3100.421195037</v>
      </c>
      <c r="BP419">
        <v>3140.3398943319798</v>
      </c>
      <c r="BQ419">
        <v>3182.6547319789101</v>
      </c>
      <c r="BR419">
        <v>3225.8997677758598</v>
      </c>
      <c r="BS419">
        <v>3268.8204296233798</v>
      </c>
      <c r="BT419">
        <v>3310.6197994972699</v>
      </c>
      <c r="BU419">
        <v>3350.8382049267998</v>
      </c>
      <c r="BV419">
        <v>3389.2233669806701</v>
      </c>
      <c r="BW419">
        <v>3425.6776918211799</v>
      </c>
      <c r="BX419">
        <v>3460.2360179744601</v>
      </c>
      <c r="BY419">
        <v>3493.8474517638101</v>
      </c>
      <c r="BZ419">
        <v>3527.1258600369802</v>
      </c>
      <c r="CA419">
        <v>3560.50043471345</v>
      </c>
      <c r="CB419">
        <v>3594.2745464507502</v>
      </c>
      <c r="CC419">
        <v>3628.7556910144099</v>
      </c>
      <c r="CD419">
        <v>3664.14842252163</v>
      </c>
      <c r="CE419">
        <v>3700.4244307292502</v>
      </c>
      <c r="CF419">
        <v>3737.8223991402301</v>
      </c>
      <c r="CG419">
        <v>3776.5016307967799</v>
      </c>
      <c r="CH419">
        <v>3816.5872020369102</v>
      </c>
      <c r="CI419">
        <v>3858.1780247566298</v>
      </c>
      <c r="CJ419">
        <v>3901.78001771647</v>
      </c>
      <c r="CK419">
        <v>3948.8528383122798</v>
      </c>
      <c r="CL419">
        <v>4000.2818171631402</v>
      </c>
    </row>
    <row r="420" spans="4:90" x14ac:dyDescent="0.2">
      <c r="D420" t="s">
        <v>72</v>
      </c>
      <c r="F420" t="s">
        <v>140</v>
      </c>
      <c r="G420" t="s">
        <v>151</v>
      </c>
      <c r="L420" t="s">
        <v>118</v>
      </c>
      <c r="N420" t="s">
        <v>6</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row>
    <row r="421" spans="4:90" x14ac:dyDescent="0.2">
      <c r="D421" t="s">
        <v>72</v>
      </c>
      <c r="F421" t="s">
        <v>152</v>
      </c>
      <c r="G421" t="s">
        <v>153</v>
      </c>
      <c r="L421" t="s">
        <v>154</v>
      </c>
      <c r="N421" t="s">
        <v>7</v>
      </c>
      <c r="AN421">
        <v>-1020.47662401917</v>
      </c>
      <c r="AO421">
        <v>-693.27427500759802</v>
      </c>
      <c r="AP421">
        <v>-793.68380205537403</v>
      </c>
      <c r="AQ421">
        <v>-804.42628561444496</v>
      </c>
      <c r="AR421">
        <v>-823.17525586280908</v>
      </c>
      <c r="AS421">
        <v>-840.77733589811601</v>
      </c>
      <c r="AT421">
        <v>-857.57417474693796</v>
      </c>
      <c r="AU421">
        <v>-873.80830880572205</v>
      </c>
      <c r="AV421">
        <v>-921.85425066632899</v>
      </c>
      <c r="AW421">
        <v>-968.28662036988305</v>
      </c>
      <c r="AX421">
        <v>-1027.9627802205</v>
      </c>
      <c r="AY421">
        <v>-1076.7759178812901</v>
      </c>
      <c r="AZ421">
        <v>-1136.27156586776</v>
      </c>
      <c r="BA421">
        <v>-1209.9535632739301</v>
      </c>
      <c r="BB421">
        <v>-1292.5945389624101</v>
      </c>
      <c r="BC421">
        <v>-1379.6302010396701</v>
      </c>
      <c r="BD421">
        <v>-1466.9953739365901</v>
      </c>
      <c r="BE421">
        <v>-1551.05536510094</v>
      </c>
      <c r="BF421">
        <v>-1628.6053889432101</v>
      </c>
      <c r="BG421">
        <v>-1696.9160081218199</v>
      </c>
      <c r="BH421">
        <v>-1753.8056774362999</v>
      </c>
      <c r="BI421">
        <v>-1797.7237100252401</v>
      </c>
      <c r="BJ421">
        <v>-1827.82919021163</v>
      </c>
      <c r="BK421">
        <v>-1856.132556757</v>
      </c>
      <c r="BL421">
        <v>-1881.5153407384701</v>
      </c>
      <c r="BM421">
        <v>-1902.16758283738</v>
      </c>
      <c r="BN421">
        <v>-1917.35847834785</v>
      </c>
      <c r="BO421">
        <v>-1926.4039029728599</v>
      </c>
      <c r="BP421">
        <v>-1935.5394301962499</v>
      </c>
      <c r="BQ421">
        <v>-1944.28169130488</v>
      </c>
      <c r="BR421">
        <v>-1952.23349646422</v>
      </c>
      <c r="BS421">
        <v>-1959.0581653587501</v>
      </c>
      <c r="BT421">
        <v>-1964.4615660591401</v>
      </c>
      <c r="BU421">
        <v>-1968.17962722228</v>
      </c>
      <c r="BV421">
        <v>-1969.96974331409</v>
      </c>
      <c r="BW421">
        <v>-1969.60495518173</v>
      </c>
      <c r="BX421">
        <v>-1966.8701151918699</v>
      </c>
      <c r="BY421">
        <v>-1961.5594770279599</v>
      </c>
      <c r="BZ421">
        <v>-1958.2721181474601</v>
      </c>
      <c r="CA421">
        <v>-1956.79770001618</v>
      </c>
      <c r="CB421">
        <v>-1956.9866579171501</v>
      </c>
      <c r="CC421">
        <v>-1958.7326873937</v>
      </c>
      <c r="CD421">
        <v>-1961.96036144974</v>
      </c>
      <c r="CE421">
        <v>-1966.61637601185</v>
      </c>
      <c r="CF421">
        <v>-1972.66336123407</v>
      </c>
      <c r="CG421">
        <v>-1980.07550740538</v>
      </c>
      <c r="CH421">
        <v>-1988.83547425851</v>
      </c>
      <c r="CI421">
        <v>-1998.93220806929</v>
      </c>
      <c r="CJ421">
        <v>-2010.35940095562</v>
      </c>
      <c r="CK421">
        <v>-2023.1144045809201</v>
      </c>
      <c r="CL421">
        <v>-2037.19746547758</v>
      </c>
    </row>
    <row r="422" spans="4:90" x14ac:dyDescent="0.2">
      <c r="D422" t="s">
        <v>155</v>
      </c>
      <c r="F422" t="s">
        <v>156</v>
      </c>
      <c r="G422" t="s">
        <v>157</v>
      </c>
      <c r="L422" t="s">
        <v>158</v>
      </c>
      <c r="N422" t="s">
        <v>6</v>
      </c>
      <c r="O422">
        <v>1383.6447000000001</v>
      </c>
      <c r="P422">
        <v>1570.7979</v>
      </c>
      <c r="Q422">
        <v>1741.5737999999999</v>
      </c>
      <c r="R422">
        <v>1899.0135</v>
      </c>
      <c r="S422">
        <v>2045.6001000000001</v>
      </c>
      <c r="T422">
        <v>2183.3424</v>
      </c>
      <c r="U422">
        <v>2313.7748999999999</v>
      </c>
      <c r="V422">
        <v>2438.3204999999998</v>
      </c>
      <c r="W422">
        <v>2547.9675000000002</v>
      </c>
      <c r="X422">
        <v>2648.4353999999998</v>
      </c>
      <c r="Y422">
        <v>2740.6170000000002</v>
      </c>
      <c r="Z422">
        <v>2825.2935000000002</v>
      </c>
      <c r="AA422">
        <v>2903.1066000000001</v>
      </c>
      <c r="AB422">
        <v>2986.6113</v>
      </c>
      <c r="AC422">
        <v>3074.4962999999998</v>
      </c>
      <c r="AD422">
        <v>3165.6734999999999</v>
      </c>
      <c r="AE422">
        <v>3259.4454000000001</v>
      </c>
      <c r="AF422">
        <v>3238.6320000000001</v>
      </c>
      <c r="AG422">
        <v>3237.7392</v>
      </c>
      <c r="AH422">
        <v>3252.3308999999999</v>
      </c>
      <c r="AI422">
        <v>3279.1707000000001</v>
      </c>
      <c r="AJ422">
        <v>3320.7975000000001</v>
      </c>
      <c r="AK422">
        <v>3373.6401000000001</v>
      </c>
      <c r="AL422">
        <v>3439.0376999999999</v>
      </c>
      <c r="AM422">
        <v>3488.4207000000001</v>
      </c>
      <c r="AN422">
        <v>3527.066197172644</v>
      </c>
      <c r="AO422">
        <v>3553.8917981564409</v>
      </c>
      <c r="AP422">
        <v>3591.911675019699</v>
      </c>
      <c r="AQ422">
        <v>3640.552014434496</v>
      </c>
      <c r="AR422">
        <v>3699.2306746146551</v>
      </c>
      <c r="AS422">
        <v>3767.5147950340588</v>
      </c>
      <c r="AT422">
        <v>3844.9373734181299</v>
      </c>
      <c r="AU422">
        <v>3931.1763620541051</v>
      </c>
      <c r="AV422">
        <v>4026.64235857842</v>
      </c>
      <c r="AW422">
        <v>4131.1729608416081</v>
      </c>
      <c r="AX422">
        <v>4244.5336188462552</v>
      </c>
      <c r="AY422">
        <v>4366.0223911777703</v>
      </c>
      <c r="AZ422">
        <v>4493.7939294819098</v>
      </c>
      <c r="BA422">
        <v>4627.5600710898443</v>
      </c>
      <c r="BB422">
        <v>4767.0796659872267</v>
      </c>
      <c r="BC422">
        <v>4912.1509793541336</v>
      </c>
      <c r="BD422">
        <v>5062.6070867579801</v>
      </c>
      <c r="BE422">
        <v>5218.308520692146</v>
      </c>
      <c r="BF422">
        <v>5379.1387243456684</v>
      </c>
      <c r="BG422">
        <v>5545.000146548221</v>
      </c>
      <c r="BH422">
        <v>5715.8110107928514</v>
      </c>
      <c r="BI422">
        <v>5890.9351504736878</v>
      </c>
      <c r="BJ422">
        <v>6069.7772526385843</v>
      </c>
      <c r="BK422">
        <v>6249.9449159366104</v>
      </c>
      <c r="BL422">
        <v>6431.1297215177128</v>
      </c>
      <c r="BM422">
        <v>6612.9565252080538</v>
      </c>
      <c r="BN422">
        <v>6794.971186789453</v>
      </c>
      <c r="BO422">
        <v>6976.3268746020121</v>
      </c>
      <c r="BP422">
        <v>7157.2755726814185</v>
      </c>
      <c r="BQ422">
        <v>7337.9745548521241</v>
      </c>
      <c r="BR422">
        <v>7518.4241631193327</v>
      </c>
      <c r="BS422">
        <v>7698.5971297893702</v>
      </c>
      <c r="BT422">
        <v>7878.4994811660263</v>
      </c>
      <c r="BU422">
        <v>8058.1487176779483</v>
      </c>
      <c r="BV422">
        <v>8237.5567634137169</v>
      </c>
      <c r="BW422">
        <v>8416.628531688797</v>
      </c>
      <c r="BX422">
        <v>8595.2027103696764</v>
      </c>
      <c r="BY422">
        <v>8773.1392411170655</v>
      </c>
      <c r="BZ422">
        <v>8950.6514655570736</v>
      </c>
      <c r="CA422">
        <v>9127.9148131577003</v>
      </c>
      <c r="CB422">
        <v>9305.0101166003769</v>
      </c>
      <c r="CC422">
        <v>9481.9252655980308</v>
      </c>
      <c r="CD422">
        <v>9658.7761174721563</v>
      </c>
      <c r="CE422">
        <v>9835.6881638627492</v>
      </c>
      <c r="CF422">
        <v>10012.609166221941</v>
      </c>
      <c r="CG422">
        <v>10189.538072535521</v>
      </c>
      <c r="CH422">
        <v>10366.43589886424</v>
      </c>
      <c r="CI422">
        <v>10543.272154646351</v>
      </c>
      <c r="CJ422">
        <v>10720.05438824685</v>
      </c>
      <c r="CK422">
        <v>10896.74359236602</v>
      </c>
      <c r="CL422">
        <v>11073.289418198219</v>
      </c>
    </row>
    <row r="423" spans="4:90" x14ac:dyDescent="0.2">
      <c r="D423" t="s">
        <v>155</v>
      </c>
      <c r="F423" t="s">
        <v>156</v>
      </c>
      <c r="G423" t="s">
        <v>159</v>
      </c>
      <c r="L423" t="s">
        <v>158</v>
      </c>
      <c r="N423" t="s">
        <v>6</v>
      </c>
      <c r="O423">
        <v>1676.3715</v>
      </c>
      <c r="P423">
        <v>1903.0869</v>
      </c>
      <c r="Q423">
        <v>2109.9933000000001</v>
      </c>
      <c r="R423">
        <v>2300.7456000000002</v>
      </c>
      <c r="S423">
        <v>2478.329099999999</v>
      </c>
      <c r="T423">
        <v>2645.2269000000001</v>
      </c>
      <c r="U423">
        <v>2803.2525000000001</v>
      </c>
      <c r="V423">
        <v>2954.1356999999998</v>
      </c>
      <c r="W423">
        <v>3086.9955</v>
      </c>
      <c r="X423">
        <v>3208.6116000000002</v>
      </c>
      <c r="Y423">
        <v>3320.2395000000001</v>
      </c>
      <c r="Z423">
        <v>3422.7999</v>
      </c>
      <c r="AA423">
        <v>3517.0182</v>
      </c>
      <c r="AB423">
        <v>3618.1556999999998</v>
      </c>
      <c r="AC423">
        <v>3724.5663</v>
      </c>
      <c r="AD423">
        <v>3835.0223999999989</v>
      </c>
      <c r="AE423">
        <v>3948.6032999999989</v>
      </c>
      <c r="AF423">
        <v>3903.1821</v>
      </c>
      <c r="AG423">
        <v>3885.1028999999999</v>
      </c>
      <c r="AH423">
        <v>3886.3305</v>
      </c>
      <c r="AI423">
        <v>3902.6799000000001</v>
      </c>
      <c r="AJ423">
        <v>3936.7737000000002</v>
      </c>
      <c r="AK423">
        <v>3984.2037</v>
      </c>
      <c r="AL423">
        <v>4048.5131999999999</v>
      </c>
      <c r="AM423">
        <v>4096.082699999999</v>
      </c>
      <c r="AN423">
        <v>3992.5363206077659</v>
      </c>
      <c r="AO423">
        <v>3888.8679825067038</v>
      </c>
      <c r="AP423">
        <v>3811.8046935549301</v>
      </c>
      <c r="AQ423">
        <v>3758.306640445524</v>
      </c>
      <c r="AR423">
        <v>3725.7270149629549</v>
      </c>
      <c r="AS423">
        <v>3711.8794003845851</v>
      </c>
      <c r="AT423">
        <v>3714.8305472798938</v>
      </c>
      <c r="AU423">
        <v>3733.0050784754148</v>
      </c>
      <c r="AV423">
        <v>3765.6391952676831</v>
      </c>
      <c r="AW423">
        <v>3811.6573841372679</v>
      </c>
      <c r="AX423">
        <v>3870.0647745378992</v>
      </c>
      <c r="AY423">
        <v>3939.5944973920641</v>
      </c>
      <c r="AZ423">
        <v>4018.1238511070828</v>
      </c>
      <c r="BA423">
        <v>4104.9168523656444</v>
      </c>
      <c r="BB423">
        <v>4199.3484036148639</v>
      </c>
      <c r="BC423">
        <v>4300.8869504730546</v>
      </c>
      <c r="BD423">
        <v>4409.0813925172024</v>
      </c>
      <c r="BE423">
        <v>4523.5471617087442</v>
      </c>
      <c r="BF423">
        <v>4643.9558759830916</v>
      </c>
      <c r="BG423">
        <v>4770.0265579152938</v>
      </c>
      <c r="BH423">
        <v>4901.5182797489697</v>
      </c>
      <c r="BI423">
        <v>5037.7494833795126</v>
      </c>
      <c r="BJ423">
        <v>5178.0923789187209</v>
      </c>
      <c r="BK423">
        <v>5320.433314713262</v>
      </c>
      <c r="BL423">
        <v>5464.4156010779361</v>
      </c>
      <c r="BM423">
        <v>5609.6391472924088</v>
      </c>
      <c r="BN423">
        <v>5755.6484836251684</v>
      </c>
      <c r="BO423">
        <v>5901.6689994548369</v>
      </c>
      <c r="BP423">
        <v>6047.852840273983</v>
      </c>
      <c r="BQ423">
        <v>6194.2798629637418</v>
      </c>
      <c r="BR423">
        <v>6340.904699621482</v>
      </c>
      <c r="BS423">
        <v>6487.6641136068083</v>
      </c>
      <c r="BT423">
        <v>6634.5272572529984</v>
      </c>
      <c r="BU423">
        <v>6781.4768530524252</v>
      </c>
      <c r="BV423">
        <v>6928.4944425542371</v>
      </c>
      <c r="BW423">
        <v>7075.4751443621526</v>
      </c>
      <c r="BX423">
        <v>7222.2613887552961</v>
      </c>
      <c r="BY423">
        <v>7368.7157453281034</v>
      </c>
      <c r="BZ423">
        <v>7514.9983741110063</v>
      </c>
      <c r="CA423">
        <v>7661.2395840215722</v>
      </c>
      <c r="CB423">
        <v>7807.4922252616816</v>
      </c>
      <c r="CC423">
        <v>7953.7328887395497</v>
      </c>
      <c r="CD423">
        <v>8100.046462688194</v>
      </c>
      <c r="CE423">
        <v>8246.5270460046686</v>
      </c>
      <c r="CF423">
        <v>8393.1211573370001</v>
      </c>
      <c r="CG423">
        <v>8539.8190377386964</v>
      </c>
      <c r="CH423">
        <v>8686.5800370283505</v>
      </c>
      <c r="CI423">
        <v>8833.371347920327</v>
      </c>
      <c r="CJ423">
        <v>8980.1926356507702</v>
      </c>
      <c r="CK423">
        <v>9127.0052363678715</v>
      </c>
      <c r="CL423">
        <v>9273.7615425345648</v>
      </c>
    </row>
    <row r="424" spans="4:90" x14ac:dyDescent="0.2">
      <c r="D424" t="s">
        <v>155</v>
      </c>
      <c r="F424" t="s">
        <v>160</v>
      </c>
      <c r="G424" t="s">
        <v>161</v>
      </c>
      <c r="L424" t="s">
        <v>158</v>
      </c>
      <c r="N424" t="s">
        <v>6</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19.502099999999999</v>
      </c>
      <c r="AN424">
        <v>2.3734240656736918</v>
      </c>
      <c r="AO424">
        <v>2.4430068836941752</v>
      </c>
      <c r="AP424">
        <v>2.5170394653189012</v>
      </c>
      <c r="AQ424">
        <v>2.5951132695058399</v>
      </c>
      <c r="AR424">
        <v>2.6774673587774331</v>
      </c>
      <c r="AS424">
        <v>2.7633711244202801</v>
      </c>
      <c r="AT424">
        <v>2.8545140020716802</v>
      </c>
      <c r="AU424">
        <v>2.9526735719246759</v>
      </c>
      <c r="AV424">
        <v>3.055745834915546</v>
      </c>
      <c r="AW424">
        <v>3.1633232379402001</v>
      </c>
      <c r="AX424">
        <v>3.2733288494558841</v>
      </c>
      <c r="AY424">
        <v>3.380612106630752</v>
      </c>
      <c r="AZ424">
        <v>3.4904024677485732</v>
      </c>
      <c r="BA424">
        <v>3.6027161833545289</v>
      </c>
      <c r="BB424">
        <v>3.7175678331686659</v>
      </c>
      <c r="BC424">
        <v>3.8349776152803319</v>
      </c>
      <c r="BD424">
        <v>3.9549591058116089</v>
      </c>
      <c r="BE424">
        <v>4.077520049393236</v>
      </c>
      <c r="BF424">
        <v>4.2026678673808</v>
      </c>
      <c r="BG424">
        <v>4.3304080608673994</v>
      </c>
      <c r="BH424">
        <v>4.4584264827844997</v>
      </c>
      <c r="BI424">
        <v>4.5864977574674004</v>
      </c>
      <c r="BJ424">
        <v>4.7063587559507001</v>
      </c>
      <c r="BK424">
        <v>4.8255371028892</v>
      </c>
      <c r="BL424">
        <v>4.9435712056209002</v>
      </c>
      <c r="BM424">
        <v>5.0599000941147008</v>
      </c>
      <c r="BN424">
        <v>5.1725785484645002</v>
      </c>
      <c r="BO424">
        <v>5.2856636431909996</v>
      </c>
      <c r="BP424">
        <v>5.3989417822975003</v>
      </c>
      <c r="BQ424">
        <v>5.5118593526378001</v>
      </c>
      <c r="BR424">
        <v>5.6243191011324001</v>
      </c>
      <c r="BS424">
        <v>5.7364717454677994</v>
      </c>
      <c r="BT424">
        <v>5.8483913663031997</v>
      </c>
      <c r="BU424">
        <v>5.9600858168835993</v>
      </c>
      <c r="BV424">
        <v>6.0711144375948001</v>
      </c>
      <c r="BW424">
        <v>6.1811406336663994</v>
      </c>
      <c r="BX424">
        <v>6.290166235466299</v>
      </c>
      <c r="BY424">
        <v>6.3995602504076006</v>
      </c>
      <c r="BZ424">
        <v>6.5093114447481</v>
      </c>
      <c r="CA424">
        <v>6.6191330923005998</v>
      </c>
      <c r="CB424">
        <v>6.7286794093792004</v>
      </c>
      <c r="CC424">
        <v>6.8385073995679999</v>
      </c>
      <c r="CD424">
        <v>6.9487408064010001</v>
      </c>
      <c r="CE424">
        <v>7.0586919824041008</v>
      </c>
      <c r="CF424">
        <v>7.1685508026315006</v>
      </c>
      <c r="CG424">
        <v>7.2781528202433003</v>
      </c>
      <c r="CH424">
        <v>7.3875120204854996</v>
      </c>
      <c r="CI424">
        <v>7.4967735130379003</v>
      </c>
      <c r="CJ424">
        <v>7.6057407323045014</v>
      </c>
      <c r="CK424">
        <v>7.7143387475661003</v>
      </c>
      <c r="CL424">
        <v>7.8229581827098</v>
      </c>
    </row>
    <row r="425" spans="4:90" x14ac:dyDescent="0.2">
      <c r="D425" t="s">
        <v>155</v>
      </c>
      <c r="F425" t="s">
        <v>160</v>
      </c>
      <c r="G425" t="s">
        <v>162</v>
      </c>
      <c r="L425" t="s">
        <v>158</v>
      </c>
      <c r="N425" t="s">
        <v>6</v>
      </c>
      <c r="O425">
        <v>174.5145</v>
      </c>
      <c r="P425">
        <v>174.5145</v>
      </c>
      <c r="Q425">
        <v>173.6217</v>
      </c>
      <c r="R425">
        <v>173.20320000000001</v>
      </c>
      <c r="S425">
        <v>172.72890000000001</v>
      </c>
      <c r="T425">
        <v>172.2825</v>
      </c>
      <c r="U425">
        <v>171.8082</v>
      </c>
      <c r="V425">
        <v>167.98589999999999</v>
      </c>
      <c r="W425">
        <v>164.2473</v>
      </c>
      <c r="X425">
        <v>160.4529</v>
      </c>
      <c r="Y425">
        <v>156.6585</v>
      </c>
      <c r="Z425">
        <v>152.8083</v>
      </c>
      <c r="AA425">
        <v>153.00360000000001</v>
      </c>
      <c r="AB425">
        <v>153.19890000000001</v>
      </c>
      <c r="AC425">
        <v>153.3663</v>
      </c>
      <c r="AD425">
        <v>153.58949999999999</v>
      </c>
      <c r="AE425">
        <v>153.7569</v>
      </c>
      <c r="AF425">
        <v>153.9522</v>
      </c>
      <c r="AG425">
        <v>154.11959999999999</v>
      </c>
      <c r="AH425">
        <v>154.31489999999999</v>
      </c>
      <c r="AI425">
        <v>154.92869999999999</v>
      </c>
      <c r="AJ425">
        <v>155.54249999999999</v>
      </c>
      <c r="AK425">
        <v>156.1842</v>
      </c>
      <c r="AL425">
        <v>156.85380000000001</v>
      </c>
      <c r="AM425">
        <v>138.0213</v>
      </c>
      <c r="AN425">
        <v>105.7851377174905</v>
      </c>
      <c r="AO425">
        <v>108.8864916194411</v>
      </c>
      <c r="AP425">
        <v>112.1861745357851</v>
      </c>
      <c r="AQ425">
        <v>115.66597751221251</v>
      </c>
      <c r="AR425">
        <v>119.33655572921791</v>
      </c>
      <c r="AS425">
        <v>123.1653454555959</v>
      </c>
      <c r="AT425">
        <v>127.2276459958873</v>
      </c>
      <c r="AU425">
        <v>131.60268531791749</v>
      </c>
      <c r="AV425">
        <v>136.19668674102601</v>
      </c>
      <c r="AW425">
        <v>140.9914853439557</v>
      </c>
      <c r="AX425">
        <v>145.89451086400129</v>
      </c>
      <c r="AY425">
        <v>150.67619918475299</v>
      </c>
      <c r="AZ425">
        <v>155.56963084699879</v>
      </c>
      <c r="BA425">
        <v>160.57553014866701</v>
      </c>
      <c r="BB425">
        <v>165.69454691789349</v>
      </c>
      <c r="BC425">
        <v>170.92758139735989</v>
      </c>
      <c r="BD425">
        <v>176.27523868413419</v>
      </c>
      <c r="BE425">
        <v>181.73786396171701</v>
      </c>
      <c r="BF425">
        <v>187.31578800501839</v>
      </c>
      <c r="BG425">
        <v>193.00925600151771</v>
      </c>
      <c r="BH425">
        <v>198.71512482990681</v>
      </c>
      <c r="BI425">
        <v>204.4233493422972</v>
      </c>
      <c r="BJ425">
        <v>209.76563621588869</v>
      </c>
      <c r="BK425">
        <v>215.07749684213209</v>
      </c>
      <c r="BL425">
        <v>220.33835771963629</v>
      </c>
      <c r="BM425">
        <v>225.5232160295474</v>
      </c>
      <c r="BN425">
        <v>230.54537198708039</v>
      </c>
      <c r="BO425">
        <v>235.58565218498239</v>
      </c>
      <c r="BP425">
        <v>240.63453650324271</v>
      </c>
      <c r="BQ425">
        <v>245.6673500244022</v>
      </c>
      <c r="BR425">
        <v>250.6797581120332</v>
      </c>
      <c r="BS425">
        <v>255.67847835675991</v>
      </c>
      <c r="BT425">
        <v>260.66681258434608</v>
      </c>
      <c r="BU425">
        <v>265.64511081928993</v>
      </c>
      <c r="BV425">
        <v>270.59373256050441</v>
      </c>
      <c r="BW425">
        <v>275.49767554831652</v>
      </c>
      <c r="BX425">
        <v>280.35702136348021</v>
      </c>
      <c r="BY425">
        <v>285.2327876049136</v>
      </c>
      <c r="BZ425">
        <v>290.12447357704349</v>
      </c>
      <c r="CA425">
        <v>295.01929969713109</v>
      </c>
      <c r="CB425">
        <v>299.90185414923673</v>
      </c>
      <c r="CC425">
        <v>304.79696296497718</v>
      </c>
      <c r="CD425">
        <v>309.71014147848302</v>
      </c>
      <c r="CE425">
        <v>314.61074077040541</v>
      </c>
      <c r="CF425">
        <v>319.50722370209962</v>
      </c>
      <c r="CG425">
        <v>324.39226076515888</v>
      </c>
      <c r="CH425">
        <v>329.26647529159379</v>
      </c>
      <c r="CI425">
        <v>334.13633491930278</v>
      </c>
      <c r="CJ425">
        <v>338.99307858493393</v>
      </c>
      <c r="CK425">
        <v>343.83336657495272</v>
      </c>
      <c r="CL425">
        <v>348.67460926380198</v>
      </c>
    </row>
    <row r="426" spans="4:90" x14ac:dyDescent="0.2">
      <c r="D426" t="s">
        <v>155</v>
      </c>
      <c r="F426" t="s">
        <v>160</v>
      </c>
      <c r="G426" t="s">
        <v>162</v>
      </c>
      <c r="L426" t="s">
        <v>158</v>
      </c>
      <c r="N426" t="s">
        <v>8</v>
      </c>
      <c r="O426">
        <v>102.375</v>
      </c>
      <c r="P426">
        <v>102.375</v>
      </c>
      <c r="Q426">
        <v>101.82899999999999</v>
      </c>
      <c r="R426">
        <v>101.556</v>
      </c>
      <c r="S426">
        <v>101.283</v>
      </c>
      <c r="T426">
        <v>101.283</v>
      </c>
      <c r="U426">
        <v>101.01</v>
      </c>
      <c r="V426">
        <v>98.552999999999997</v>
      </c>
      <c r="W426">
        <v>96.369</v>
      </c>
      <c r="X426">
        <v>94.184999999999988</v>
      </c>
      <c r="Y426">
        <v>92.001000000000005</v>
      </c>
      <c r="Z426">
        <v>89.817000000000007</v>
      </c>
      <c r="AA426">
        <v>89.817000000000007</v>
      </c>
      <c r="AB426">
        <v>89.817000000000007</v>
      </c>
      <c r="AC426">
        <v>90.09</v>
      </c>
      <c r="AD426">
        <v>90.09</v>
      </c>
      <c r="AE426">
        <v>90.363</v>
      </c>
      <c r="AF426">
        <v>90.363</v>
      </c>
      <c r="AG426">
        <v>90.363</v>
      </c>
      <c r="AH426">
        <v>90.63600000000001</v>
      </c>
      <c r="AI426">
        <v>90.909000000000006</v>
      </c>
      <c r="AJ426">
        <v>91.455000000000013</v>
      </c>
      <c r="AK426">
        <v>91.728000000000009</v>
      </c>
      <c r="AL426">
        <v>92.001000000000005</v>
      </c>
      <c r="AM426">
        <v>81.081000000000003</v>
      </c>
      <c r="AN426">
        <v>83.721153538755104</v>
      </c>
      <c r="AO426">
        <v>86.175646975221099</v>
      </c>
      <c r="AP426">
        <v>88.787103234853802</v>
      </c>
      <c r="AQ426">
        <v>91.541111270010219</v>
      </c>
      <c r="AR426">
        <v>94.446103872115089</v>
      </c>
      <c r="AS426">
        <v>97.476309243740701</v>
      </c>
      <c r="AT426">
        <v>100.6913212444109</v>
      </c>
      <c r="AU426">
        <v>104.1538429815942</v>
      </c>
      <c r="AV426">
        <v>107.7896571120112</v>
      </c>
      <c r="AW426">
        <v>111.58438743693949</v>
      </c>
      <c r="AX426">
        <v>115.46477140415109</v>
      </c>
      <c r="AY426">
        <v>119.24912590530219</v>
      </c>
      <c r="AZ426">
        <v>123.1219170399167</v>
      </c>
      <c r="BA426">
        <v>127.083718036516</v>
      </c>
      <c r="BB426">
        <v>131.13504318625911</v>
      </c>
      <c r="BC426">
        <v>135.27660496499411</v>
      </c>
      <c r="BD426">
        <v>139.5088822625319</v>
      </c>
      <c r="BE426">
        <v>143.8321482662169</v>
      </c>
      <c r="BF426">
        <v>148.2466647600543</v>
      </c>
      <c r="BG426">
        <v>152.7526257918957</v>
      </c>
      <c r="BH426">
        <v>157.268401169806</v>
      </c>
      <c r="BI426">
        <v>161.786040898289</v>
      </c>
      <c r="BJ426">
        <v>166.01406790891221</v>
      </c>
      <c r="BK426">
        <v>170.21801478331881</v>
      </c>
      <c r="BL426">
        <v>174.38159910882081</v>
      </c>
      <c r="BM426">
        <v>178.48503299383441</v>
      </c>
      <c r="BN426">
        <v>182.45969993749361</v>
      </c>
      <c r="BO426">
        <v>186.44871088394541</v>
      </c>
      <c r="BP426">
        <v>190.44453135862619</v>
      </c>
      <c r="BQ426">
        <v>194.42763297978379</v>
      </c>
      <c r="BR426">
        <v>198.3945852015982</v>
      </c>
      <c r="BS426">
        <v>202.3507045028156</v>
      </c>
      <c r="BT426">
        <v>206.298604035599</v>
      </c>
      <c r="BU426">
        <v>210.23856081858841</v>
      </c>
      <c r="BV426">
        <v>214.15503084018911</v>
      </c>
      <c r="BW426">
        <v>218.03614091563639</v>
      </c>
      <c r="BX426">
        <v>221.8819556100955</v>
      </c>
      <c r="BY426">
        <v>225.74076586384021</v>
      </c>
      <c r="BZ426">
        <v>229.61217541316449</v>
      </c>
      <c r="CA426">
        <v>233.48607015856621</v>
      </c>
      <c r="CB426">
        <v>237.35025278162701</v>
      </c>
      <c r="CC426">
        <v>241.22437125983981</v>
      </c>
      <c r="CD426">
        <v>245.11279057438369</v>
      </c>
      <c r="CE426">
        <v>248.99125436054121</v>
      </c>
      <c r="CF426">
        <v>252.8664603504327</v>
      </c>
      <c r="CG426">
        <v>256.73260777740961</v>
      </c>
      <c r="CH426">
        <v>260.59018996289888</v>
      </c>
      <c r="CI426">
        <v>264.44432556645069</v>
      </c>
      <c r="CJ426">
        <v>268.28808085100292</v>
      </c>
      <c r="CK426">
        <v>272.11881267900651</v>
      </c>
      <c r="CL426">
        <v>275.95030008089458</v>
      </c>
    </row>
    <row r="427" spans="4:90" x14ac:dyDescent="0.2">
      <c r="D427" t="s">
        <v>155</v>
      </c>
      <c r="F427" t="s">
        <v>163</v>
      </c>
      <c r="G427" t="s">
        <v>164</v>
      </c>
      <c r="L427" t="s">
        <v>158</v>
      </c>
      <c r="N427" t="s">
        <v>6</v>
      </c>
      <c r="O427">
        <v>2.873699999999999</v>
      </c>
      <c r="P427">
        <v>2.873699999999999</v>
      </c>
      <c r="Q427">
        <v>2.873699999999999</v>
      </c>
      <c r="R427">
        <v>2.873699999999999</v>
      </c>
      <c r="S427">
        <v>2.873699999999999</v>
      </c>
      <c r="T427">
        <v>2.9016000000000002</v>
      </c>
      <c r="U427">
        <v>2.9016000000000002</v>
      </c>
      <c r="V427">
        <v>2.9016000000000002</v>
      </c>
      <c r="W427">
        <v>2.9016000000000002</v>
      </c>
      <c r="X427">
        <v>2.9016000000000002</v>
      </c>
      <c r="Y427">
        <v>2.9295</v>
      </c>
      <c r="Z427">
        <v>2.9295</v>
      </c>
      <c r="AA427">
        <v>2.9295</v>
      </c>
      <c r="AB427">
        <v>2.9295</v>
      </c>
      <c r="AC427">
        <v>2.9295</v>
      </c>
      <c r="AD427">
        <v>2.9295</v>
      </c>
      <c r="AE427">
        <v>2.9295</v>
      </c>
      <c r="AF427">
        <v>2.9295</v>
      </c>
      <c r="AG427">
        <v>2.9295</v>
      </c>
      <c r="AH427">
        <v>2.9016000000000002</v>
      </c>
      <c r="AI427">
        <v>2.9016000000000002</v>
      </c>
      <c r="AJ427">
        <v>2.9016000000000002</v>
      </c>
      <c r="AK427">
        <v>2.9016000000000002</v>
      </c>
      <c r="AL427">
        <v>2.9016000000000002</v>
      </c>
      <c r="AM427">
        <v>2.9016000000000002</v>
      </c>
      <c r="AN427">
        <v>0.65165764761709999</v>
      </c>
      <c r="AO427">
        <v>0.67164230802379998</v>
      </c>
      <c r="AP427">
        <v>0.69432787583069999</v>
      </c>
      <c r="AQ427">
        <v>0.71938429374130008</v>
      </c>
      <c r="AR427">
        <v>0.74705786216369996</v>
      </c>
      <c r="AS427">
        <v>0.77699560663220002</v>
      </c>
      <c r="AT427">
        <v>0.81016144204990004</v>
      </c>
      <c r="AU427">
        <v>0.84923365418740004</v>
      </c>
      <c r="AV427">
        <v>0.89266354241400003</v>
      </c>
      <c r="AW427">
        <v>0.94041282829210004</v>
      </c>
      <c r="AX427">
        <v>0.99064449675040012</v>
      </c>
      <c r="AY427">
        <v>1.0377184137554001</v>
      </c>
      <c r="AZ427">
        <v>1.0871656535364</v>
      </c>
      <c r="BA427">
        <v>1.1391156887342</v>
      </c>
      <c r="BB427">
        <v>1.193705124559</v>
      </c>
      <c r="BC427">
        <v>1.2510876626555001</v>
      </c>
      <c r="BD427">
        <v>1.3114175859309001</v>
      </c>
      <c r="BE427">
        <v>1.3748569867575999</v>
      </c>
      <c r="BF427">
        <v>1.4415770756984001</v>
      </c>
      <c r="BG427">
        <v>1.5117583555212999</v>
      </c>
      <c r="BH427">
        <v>1.5820241519335001</v>
      </c>
      <c r="BI427">
        <v>1.6518384065514</v>
      </c>
      <c r="BJ427">
        <v>1.7189109712988999</v>
      </c>
      <c r="BK427">
        <v>1.7843160098107</v>
      </c>
      <c r="BL427">
        <v>1.8474044725651</v>
      </c>
      <c r="BM427">
        <v>1.9075073166747001</v>
      </c>
      <c r="BN427">
        <v>1.9637633172438</v>
      </c>
      <c r="BO427">
        <v>2.0197339139363</v>
      </c>
      <c r="BP427">
        <v>2.0752387036881998</v>
      </c>
      <c r="BQ427">
        <v>2.1300219206525002</v>
      </c>
      <c r="BR427">
        <v>2.1839243051677002</v>
      </c>
      <c r="BS427">
        <v>2.2368393334548</v>
      </c>
      <c r="BT427">
        <v>2.2886448071626</v>
      </c>
      <c r="BU427">
        <v>2.3392059207789</v>
      </c>
      <c r="BV427">
        <v>2.3882943254926001</v>
      </c>
      <c r="BW427">
        <v>2.4357078582675999</v>
      </c>
      <c r="BX427">
        <v>2.4813218881875998</v>
      </c>
      <c r="BY427">
        <v>2.5274595640047002</v>
      </c>
      <c r="BZ427">
        <v>2.5741273367569999</v>
      </c>
      <c r="CA427">
        <v>2.6212726645312001</v>
      </c>
      <c r="CB427">
        <v>2.6688304905531002</v>
      </c>
      <c r="CC427">
        <v>2.7169297493387998</v>
      </c>
      <c r="CD427">
        <v>2.7656066895664999</v>
      </c>
      <c r="CE427">
        <v>2.8147233771120002</v>
      </c>
      <c r="CF427">
        <v>2.8643305519819</v>
      </c>
      <c r="CG427">
        <v>2.9144030406505999</v>
      </c>
      <c r="CH427">
        <v>2.9649541047966999</v>
      </c>
      <c r="CI427">
        <v>3.0160255659050001</v>
      </c>
      <c r="CJ427">
        <v>3.0675859590563999</v>
      </c>
      <c r="CK427">
        <v>3.1196301596331999</v>
      </c>
      <c r="CL427">
        <v>3.1722532965807999</v>
      </c>
    </row>
    <row r="428" spans="4:90" x14ac:dyDescent="0.2">
      <c r="D428" t="s">
        <v>155</v>
      </c>
      <c r="F428" t="s">
        <v>163</v>
      </c>
      <c r="G428" t="s">
        <v>164</v>
      </c>
      <c r="L428" t="s">
        <v>158</v>
      </c>
      <c r="N428" t="s">
        <v>7</v>
      </c>
      <c r="O428">
        <v>4.2869999999999999</v>
      </c>
      <c r="P428">
        <v>4.2869999999999999</v>
      </c>
      <c r="Q428">
        <v>4.3090000000000002</v>
      </c>
      <c r="R428">
        <v>4.3120000000000003</v>
      </c>
      <c r="S428">
        <v>4.3159999999999998</v>
      </c>
      <c r="T428">
        <v>4.3230000000000004</v>
      </c>
      <c r="U428">
        <v>4.3250000000000002</v>
      </c>
      <c r="V428">
        <v>4.8710000000000004</v>
      </c>
      <c r="W428">
        <v>5.4210000000000003</v>
      </c>
      <c r="X428">
        <v>5.9529999999999994</v>
      </c>
      <c r="Y428">
        <v>6.77</v>
      </c>
      <c r="Z428">
        <v>7.4610000000000003</v>
      </c>
      <c r="AA428">
        <v>7.5309999999999997</v>
      </c>
      <c r="AB428">
        <v>7.552999999999999</v>
      </c>
      <c r="AC428">
        <v>7.609</v>
      </c>
      <c r="AD428">
        <v>7.6630000000000003</v>
      </c>
      <c r="AE428">
        <v>7.7190000000000003</v>
      </c>
      <c r="AF428">
        <v>7.7730000000000006</v>
      </c>
      <c r="AG428">
        <v>3.802</v>
      </c>
      <c r="AH428">
        <v>7.8710000000000004</v>
      </c>
      <c r="AI428">
        <v>7.8930000000000007</v>
      </c>
      <c r="AJ428">
        <v>7.8990000000000009</v>
      </c>
      <c r="AK428">
        <v>7.7789999999999999</v>
      </c>
      <c r="AL428">
        <v>8.3219999999999992</v>
      </c>
      <c r="AM428">
        <v>7.918000000000001</v>
      </c>
      <c r="AN428">
        <v>8.149690176524599</v>
      </c>
      <c r="AO428">
        <v>8.4226283660501995</v>
      </c>
      <c r="AP428">
        <v>8.7680115416138005</v>
      </c>
      <c r="AQ428">
        <v>9.1760145027223992</v>
      </c>
      <c r="AR428">
        <v>9.6544478642287999</v>
      </c>
      <c r="AS428">
        <v>10.1946941876507</v>
      </c>
      <c r="AT428">
        <v>10.822949683864</v>
      </c>
      <c r="AU428">
        <v>11.629305521889901</v>
      </c>
      <c r="AV428">
        <v>12.569037919416299</v>
      </c>
      <c r="AW428">
        <v>13.643645235837701</v>
      </c>
      <c r="AX428">
        <v>14.7970201210057</v>
      </c>
      <c r="AY428">
        <v>15.8479103323735</v>
      </c>
      <c r="AZ428">
        <v>16.972758161729299</v>
      </c>
      <c r="BA428">
        <v>18.176473865857201</v>
      </c>
      <c r="BB428">
        <v>19.4642571036349</v>
      </c>
      <c r="BC428">
        <v>20.841930410740499</v>
      </c>
      <c r="BD428">
        <v>22.315389414937599</v>
      </c>
      <c r="BE428">
        <v>23.890872657949899</v>
      </c>
      <c r="BF428">
        <v>25.574976990588201</v>
      </c>
      <c r="BG428">
        <v>27.3746745022422</v>
      </c>
      <c r="BH428">
        <v>29.175806428958701</v>
      </c>
      <c r="BI428">
        <v>30.959208591456001</v>
      </c>
      <c r="BJ428">
        <v>32.695665811873702</v>
      </c>
      <c r="BK428">
        <v>34.372527097763196</v>
      </c>
      <c r="BL428">
        <v>35.967939734650102</v>
      </c>
      <c r="BM428">
        <v>37.459991894676101</v>
      </c>
      <c r="BN428">
        <v>38.827932988531707</v>
      </c>
      <c r="BO428">
        <v>40.181871886456598</v>
      </c>
      <c r="BP428">
        <v>41.516351743183797</v>
      </c>
      <c r="BQ428">
        <v>42.825446640529599</v>
      </c>
      <c r="BR428">
        <v>44.1036806634038</v>
      </c>
      <c r="BS428">
        <v>45.345834874649597</v>
      </c>
      <c r="BT428">
        <v>46.546633156057197</v>
      </c>
      <c r="BU428">
        <v>47.700789603371</v>
      </c>
      <c r="BV428">
        <v>48.8026276006415</v>
      </c>
      <c r="BW428">
        <v>49.846735575989698</v>
      </c>
      <c r="BX428">
        <v>50.828268098752098</v>
      </c>
      <c r="BY428">
        <v>51.8274293964474</v>
      </c>
      <c r="BZ428">
        <v>52.844550653647097</v>
      </c>
      <c r="CA428">
        <v>53.8796635526258</v>
      </c>
      <c r="CB428">
        <v>54.932740812345301</v>
      </c>
      <c r="CC428">
        <v>56.0047640462614</v>
      </c>
      <c r="CD428">
        <v>57.096244656132001</v>
      </c>
      <c r="CE428">
        <v>58.206796625537713</v>
      </c>
      <c r="CF428">
        <v>59.337017516586897</v>
      </c>
      <c r="CG428">
        <v>60.487118277724512</v>
      </c>
      <c r="CH428">
        <v>61.657514002743703</v>
      </c>
      <c r="CI428">
        <v>62.848778156411598</v>
      </c>
      <c r="CJ428">
        <v>64.061109698731102</v>
      </c>
      <c r="CK428">
        <v>65.294851219805395</v>
      </c>
      <c r="CL428">
        <v>66.5508726805067</v>
      </c>
    </row>
    <row r="429" spans="4:90" x14ac:dyDescent="0.2">
      <c r="D429" t="s">
        <v>155</v>
      </c>
      <c r="F429" t="s">
        <v>163</v>
      </c>
      <c r="G429" t="s">
        <v>164</v>
      </c>
      <c r="L429" t="s">
        <v>158</v>
      </c>
      <c r="N429" t="s">
        <v>8</v>
      </c>
      <c r="O429">
        <v>0.27300000000000002</v>
      </c>
      <c r="P429">
        <v>0.27300000000000002</v>
      </c>
      <c r="Q429">
        <v>0.27300000000000002</v>
      </c>
      <c r="R429">
        <v>0.27300000000000002</v>
      </c>
      <c r="S429">
        <v>0.27300000000000002</v>
      </c>
      <c r="T429">
        <v>0.27300000000000002</v>
      </c>
      <c r="U429">
        <v>0.27300000000000002</v>
      </c>
      <c r="V429">
        <v>0.27300000000000002</v>
      </c>
      <c r="W429">
        <v>0.27300000000000002</v>
      </c>
      <c r="X429">
        <v>0.27300000000000002</v>
      </c>
      <c r="Y429">
        <v>0.27300000000000002</v>
      </c>
      <c r="Z429">
        <v>0.27300000000000002</v>
      </c>
      <c r="AA429">
        <v>0.27300000000000002</v>
      </c>
      <c r="AB429">
        <v>0.27300000000000002</v>
      </c>
      <c r="AC429">
        <v>0.27300000000000002</v>
      </c>
      <c r="AD429">
        <v>0.27300000000000002</v>
      </c>
      <c r="AE429">
        <v>0.27300000000000002</v>
      </c>
      <c r="AF429">
        <v>0.27300000000000002</v>
      </c>
      <c r="AG429">
        <v>0.27300000000000002</v>
      </c>
      <c r="AH429">
        <v>0.27300000000000002</v>
      </c>
      <c r="AI429">
        <v>0.27300000000000002</v>
      </c>
      <c r="AJ429">
        <v>0.27300000000000002</v>
      </c>
      <c r="AK429">
        <v>0.27300000000000002</v>
      </c>
      <c r="AL429">
        <v>0.27300000000000002</v>
      </c>
      <c r="AM429">
        <v>0.27300000000000002</v>
      </c>
      <c r="AN429">
        <v>3.2661491475333201E-3</v>
      </c>
      <c r="AO429">
        <v>3.3607782567253099E-3</v>
      </c>
      <c r="AP429">
        <v>3.4680585387650699E-3</v>
      </c>
      <c r="AQ429">
        <v>3.5862933622715898E-3</v>
      </c>
      <c r="AR429">
        <v>3.71658978652611E-3</v>
      </c>
      <c r="AS429">
        <v>3.8549381748541499E-3</v>
      </c>
      <c r="AT429">
        <v>4.0162350013688806E-3</v>
      </c>
      <c r="AU429">
        <v>4.2059722071859304E-3</v>
      </c>
      <c r="AV429">
        <v>4.4166463648042508E-3</v>
      </c>
      <c r="AW429">
        <v>4.6480578886205102E-3</v>
      </c>
      <c r="AX429">
        <v>4.8913297702058199E-3</v>
      </c>
      <c r="AY429">
        <v>5.1191885807801204E-3</v>
      </c>
      <c r="AZ429">
        <v>5.35836557016543E-3</v>
      </c>
      <c r="BA429">
        <v>5.6094763653945102E-3</v>
      </c>
      <c r="BB429">
        <v>5.8731707585690804E-3</v>
      </c>
      <c r="BC429">
        <v>6.1501807445541699E-3</v>
      </c>
      <c r="BD429">
        <v>6.4412556598227996E-3</v>
      </c>
      <c r="BE429">
        <v>6.7471539062213502E-3</v>
      </c>
      <c r="BF429">
        <v>7.0686912370261203E-3</v>
      </c>
      <c r="BG429">
        <v>7.40672802995717E-3</v>
      </c>
      <c r="BH429">
        <v>7.7449773591988002E-3</v>
      </c>
      <c r="BI429">
        <v>8.0808803029728399E-3</v>
      </c>
      <c r="BJ429">
        <v>8.4031422916005204E-3</v>
      </c>
      <c r="BK429">
        <v>8.7171713748842306E-3</v>
      </c>
      <c r="BL429">
        <v>9.0198342056880803E-3</v>
      </c>
      <c r="BM429">
        <v>9.3079016198084497E-3</v>
      </c>
      <c r="BN429">
        <v>9.5773387024915193E-3</v>
      </c>
      <c r="BO429">
        <v>9.8452206476854608E-3</v>
      </c>
      <c r="BP429">
        <v>1.01106745960965E-2</v>
      </c>
      <c r="BQ429">
        <v>1.0372457831374301E-2</v>
      </c>
      <c r="BR429">
        <v>1.06298047372756E-2</v>
      </c>
      <c r="BS429">
        <v>1.08822210383024E-2</v>
      </c>
      <c r="BT429">
        <v>1.11291134491425E-2</v>
      </c>
      <c r="BU429">
        <v>1.13698376285027E-2</v>
      </c>
      <c r="BV429">
        <v>1.16032903270731E-2</v>
      </c>
      <c r="BW429">
        <v>1.18284981042239E-2</v>
      </c>
      <c r="BX429">
        <v>1.20448806532457E-2</v>
      </c>
      <c r="BY429">
        <v>1.2263604257868099E-2</v>
      </c>
      <c r="BZ429">
        <v>1.24846976562009E-2</v>
      </c>
      <c r="CA429">
        <v>1.2707900882607599E-2</v>
      </c>
      <c r="CB429">
        <v>1.2932893465506599E-2</v>
      </c>
      <c r="CC429">
        <v>1.31603167397529E-2</v>
      </c>
      <c r="CD429">
        <v>1.3390332724934E-2</v>
      </c>
      <c r="CE429">
        <v>1.3622265114772301E-2</v>
      </c>
      <c r="CF429">
        <v>1.38563598511542E-2</v>
      </c>
      <c r="CG429">
        <v>1.40924922184821E-2</v>
      </c>
      <c r="CH429">
        <v>1.4330738710209401E-2</v>
      </c>
      <c r="CI429">
        <v>1.45712882546779E-2</v>
      </c>
      <c r="CJ429">
        <v>1.4813985815391E-2</v>
      </c>
      <c r="CK429">
        <v>1.5058804961415E-2</v>
      </c>
      <c r="CL429">
        <v>1.53062066874669E-2</v>
      </c>
    </row>
    <row r="430" spans="4:90" x14ac:dyDescent="0.2">
      <c r="D430" t="s">
        <v>155</v>
      </c>
      <c r="F430" t="s">
        <v>165</v>
      </c>
      <c r="G430" t="s">
        <v>166</v>
      </c>
      <c r="L430" t="s">
        <v>167</v>
      </c>
      <c r="N430" t="s">
        <v>6</v>
      </c>
      <c r="O430">
        <v>3142.4607000000001</v>
      </c>
      <c r="P430">
        <v>3206.9933999999998</v>
      </c>
      <c r="Q430">
        <v>3339.490499999999</v>
      </c>
      <c r="R430">
        <v>3439.7631000000001</v>
      </c>
      <c r="S430">
        <v>3541.2912000000001</v>
      </c>
      <c r="T430">
        <v>4116.8681999999999</v>
      </c>
      <c r="U430">
        <v>3669.5754000000002</v>
      </c>
      <c r="V430">
        <v>3939.7031999999999</v>
      </c>
      <c r="W430">
        <v>4057.6365000000001</v>
      </c>
      <c r="X430">
        <v>4177.0763999999999</v>
      </c>
      <c r="Y430">
        <v>4359.933</v>
      </c>
      <c r="Z430">
        <v>4519.0187999999998</v>
      </c>
      <c r="AA430">
        <v>4694.0633999999991</v>
      </c>
      <c r="AB430">
        <v>5066.0541000000003</v>
      </c>
      <c r="AC430">
        <v>5595.3450000000003</v>
      </c>
      <c r="AD430">
        <v>5570.2907999999998</v>
      </c>
      <c r="AE430">
        <v>5661.8864999999996</v>
      </c>
      <c r="AF430">
        <v>5982.5132999999996</v>
      </c>
      <c r="AG430">
        <v>6153.1775999999991</v>
      </c>
      <c r="AH430">
        <v>6691.452299999999</v>
      </c>
      <c r="AI430">
        <v>6783.131699999999</v>
      </c>
      <c r="AJ430">
        <v>7057.9187999999986</v>
      </c>
      <c r="AK430">
        <v>7340.3504999999996</v>
      </c>
      <c r="AL430">
        <v>7630.7894999999999</v>
      </c>
      <c r="AM430">
        <v>5255.1324000000004</v>
      </c>
      <c r="AN430">
        <v>5417.9332995434443</v>
      </c>
      <c r="AO430">
        <v>5698.3380581722513</v>
      </c>
      <c r="AP430">
        <v>6015.9106852396744</v>
      </c>
      <c r="AQ430">
        <v>6368.7319411292128</v>
      </c>
      <c r="AR430">
        <v>6760.5761862795034</v>
      </c>
      <c r="AS430">
        <v>7194.4839374251069</v>
      </c>
      <c r="AT430">
        <v>7539.6241034169907</v>
      </c>
      <c r="AU430">
        <v>7943.901387641301</v>
      </c>
      <c r="AV430">
        <v>8389.7572553970422</v>
      </c>
      <c r="AW430">
        <v>8875.0500191809006</v>
      </c>
      <c r="AX430">
        <v>9381.1216629084502</v>
      </c>
      <c r="AY430">
        <v>9857.2041531536379</v>
      </c>
      <c r="AZ430">
        <v>10354.342179415011</v>
      </c>
      <c r="BA430">
        <v>10873.306169470899</v>
      </c>
      <c r="BB430">
        <v>11414.887313087849</v>
      </c>
      <c r="BC430">
        <v>11979.979799139661</v>
      </c>
      <c r="BD430">
        <v>12569.190346707121</v>
      </c>
      <c r="BE430">
        <v>13183.60848950957</v>
      </c>
      <c r="BF430">
        <v>13824.125816582229</v>
      </c>
      <c r="BG430">
        <v>14491.657374225089</v>
      </c>
      <c r="BH430">
        <v>15159.393573694149</v>
      </c>
      <c r="BI430">
        <v>15823.44854109034</v>
      </c>
      <c r="BJ430">
        <v>16461.136494882841</v>
      </c>
      <c r="BK430">
        <v>17087.278527334631</v>
      </c>
      <c r="BL430">
        <v>17697.580722719271</v>
      </c>
      <c r="BM430">
        <v>18287.448696466581</v>
      </c>
      <c r="BN430">
        <v>18855.326883433059</v>
      </c>
      <c r="BO430">
        <v>19424.385412887212</v>
      </c>
      <c r="BP430">
        <v>19993.285378954319</v>
      </c>
      <c r="BQ430">
        <v>20559.777952790111</v>
      </c>
      <c r="BR430">
        <v>21122.746754668049</v>
      </c>
      <c r="BS430">
        <v>21681.520560533489</v>
      </c>
      <c r="BT430">
        <v>22235.595031113229</v>
      </c>
      <c r="BU430">
        <v>22784.113889916309</v>
      </c>
      <c r="BV430">
        <v>23325.032401751821</v>
      </c>
      <c r="BW430">
        <v>23856.565175292712</v>
      </c>
      <c r="BX430">
        <v>24377.62553612683</v>
      </c>
      <c r="BY430">
        <v>24905.596742177549</v>
      </c>
      <c r="BZ430">
        <v>25440.53352550312</v>
      </c>
      <c r="CA430">
        <v>25981.74450891414</v>
      </c>
      <c r="CB430">
        <v>26528.364107252772</v>
      </c>
      <c r="CC430">
        <v>27081.7660416609</v>
      </c>
      <c r="CD430">
        <v>27642.579656580441</v>
      </c>
      <c r="CE430">
        <v>28208.997042416209</v>
      </c>
      <c r="CF430">
        <v>28781.608438415311</v>
      </c>
      <c r="CG430">
        <v>29360.02731210347</v>
      </c>
      <c r="CH430">
        <v>29944.133537158799</v>
      </c>
      <c r="CI430">
        <v>30534.61877478625</v>
      </c>
      <c r="CJ430">
        <v>31130.999525185609</v>
      </c>
      <c r="CK430">
        <v>31733.127376185072</v>
      </c>
      <c r="CL430">
        <v>32342.17964663565</v>
      </c>
    </row>
    <row r="431" spans="4:90" x14ac:dyDescent="0.2">
      <c r="D431" t="s">
        <v>155</v>
      </c>
      <c r="F431" t="s">
        <v>165</v>
      </c>
      <c r="G431" t="s">
        <v>166</v>
      </c>
      <c r="L431" t="s">
        <v>167</v>
      </c>
      <c r="N431" t="s">
        <v>8</v>
      </c>
      <c r="O431">
        <v>204.20400000000001</v>
      </c>
      <c r="P431">
        <v>210.756</v>
      </c>
      <c r="Q431">
        <v>217.30799999999999</v>
      </c>
      <c r="R431">
        <v>223.86</v>
      </c>
      <c r="S431">
        <v>230.41200000000001</v>
      </c>
      <c r="T431">
        <v>236.964</v>
      </c>
      <c r="U431">
        <v>244.881</v>
      </c>
      <c r="V431">
        <v>252.52500000000001</v>
      </c>
      <c r="W431">
        <v>260.44200000000001</v>
      </c>
      <c r="X431">
        <v>268.08600000000001</v>
      </c>
      <c r="Y431">
        <v>275.73</v>
      </c>
      <c r="Z431">
        <v>284.46600000000001</v>
      </c>
      <c r="AA431">
        <v>293.202</v>
      </c>
      <c r="AB431">
        <v>301.93799999999999</v>
      </c>
      <c r="AC431">
        <v>310.40100000000001</v>
      </c>
      <c r="AD431">
        <v>319.137</v>
      </c>
      <c r="AE431">
        <v>329.238</v>
      </c>
      <c r="AF431">
        <v>339.33900000000011</v>
      </c>
      <c r="AG431">
        <v>349.71300000000002</v>
      </c>
      <c r="AH431">
        <v>359.81400000000002</v>
      </c>
      <c r="AI431">
        <v>369.91500000000002</v>
      </c>
      <c r="AJ431">
        <v>383.565</v>
      </c>
      <c r="AK431">
        <v>410.86500000000001</v>
      </c>
      <c r="AL431">
        <v>410.86500000000001</v>
      </c>
      <c r="AM431">
        <v>424.51499999999999</v>
      </c>
      <c r="AN431">
        <v>442.15139238681678</v>
      </c>
      <c r="AO431">
        <v>464.91412795105578</v>
      </c>
      <c r="AP431">
        <v>481.65512940530863</v>
      </c>
      <c r="AQ431">
        <v>500.57942026543572</v>
      </c>
      <c r="AR431">
        <v>521.91226975812788</v>
      </c>
      <c r="AS431">
        <v>551.81798260007849</v>
      </c>
      <c r="AT431">
        <v>587.54365922280397</v>
      </c>
      <c r="AU431">
        <v>630.34840978117052</v>
      </c>
      <c r="AV431">
        <v>678.46209757058273</v>
      </c>
      <c r="AW431">
        <v>731.80561945957243</v>
      </c>
      <c r="AX431">
        <v>788.24260972815534</v>
      </c>
      <c r="AY431">
        <v>841.38395814149328</v>
      </c>
      <c r="AZ431">
        <v>897.49237722638679</v>
      </c>
      <c r="BA431">
        <v>956.68395486267298</v>
      </c>
      <c r="BB431">
        <v>1019.075818063641</v>
      </c>
      <c r="BC431">
        <v>1084.7959918416759</v>
      </c>
      <c r="BD431">
        <v>1153.969365157433</v>
      </c>
      <c r="BE431">
        <v>1226.7109396999419</v>
      </c>
      <c r="BF431">
        <v>1303.1394761534521</v>
      </c>
      <c r="BG431">
        <v>1383.3733902352551</v>
      </c>
      <c r="BH431">
        <v>1463.6687677820651</v>
      </c>
      <c r="BI431">
        <v>1543.4345174577411</v>
      </c>
      <c r="BJ431">
        <v>1617.905943531144</v>
      </c>
      <c r="BK431">
        <v>1690.2537609901469</v>
      </c>
      <c r="BL431">
        <v>1759.6999907939389</v>
      </c>
      <c r="BM431">
        <v>1825.4042684249289</v>
      </c>
      <c r="BN431">
        <v>1912.7549172486069</v>
      </c>
      <c r="BO431">
        <v>2001.741888969302</v>
      </c>
      <c r="BP431">
        <v>2092.1305336095829</v>
      </c>
      <c r="BQ431">
        <v>2183.4663774652081</v>
      </c>
      <c r="BR431">
        <v>2275.5332015397098</v>
      </c>
      <c r="BS431">
        <v>2368.260781399269</v>
      </c>
      <c r="BT431">
        <v>2461.5243342748272</v>
      </c>
      <c r="BU431">
        <v>2555.1586369957981</v>
      </c>
      <c r="BV431">
        <v>2648.7009536250239</v>
      </c>
      <c r="BW431">
        <v>2741.732598525432</v>
      </c>
      <c r="BX431">
        <v>2834.0496817634071</v>
      </c>
      <c r="BY431">
        <v>2928.4807560080772</v>
      </c>
      <c r="BZ431">
        <v>3025.0514695635079</v>
      </c>
      <c r="CA431">
        <v>3123.5924441778561</v>
      </c>
      <c r="CB431">
        <v>3223.879176261376</v>
      </c>
      <c r="CC431">
        <v>3326.3381682074569</v>
      </c>
      <c r="CD431">
        <v>3431.089007847821</v>
      </c>
      <c r="CE431">
        <v>3537.6503074751231</v>
      </c>
      <c r="CF431">
        <v>3646.1818967895651</v>
      </c>
      <c r="CG431">
        <v>3756.57692847609</v>
      </c>
      <c r="CH431">
        <v>3868.8690521879562</v>
      </c>
      <c r="CI431">
        <v>3983.1850575612302</v>
      </c>
      <c r="CJ431">
        <v>4099.3875841402414</v>
      </c>
      <c r="CK431">
        <v>4217.4304939737976</v>
      </c>
      <c r="CL431">
        <v>4337.6540087041949</v>
      </c>
    </row>
  </sheetData>
  <mergeCells count="1">
    <mergeCell ref="B247:G2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Coburn Syme</dc:creator>
  <cp:lastModifiedBy>James Coburn Syme</cp:lastModifiedBy>
  <dcterms:created xsi:type="dcterms:W3CDTF">2025-10-30T06:06:22Z</dcterms:created>
  <dcterms:modified xsi:type="dcterms:W3CDTF">2025-10-30T20:01:28Z</dcterms:modified>
</cp:coreProperties>
</file>