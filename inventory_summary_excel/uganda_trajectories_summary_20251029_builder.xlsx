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usuario/git/ssp_uganda_data/inventory_summary_excel/"/>
    </mc:Choice>
  </mc:AlternateContent>
  <xr:revisionPtr revIDLastSave="0" documentId="13_ncr:1_{4EABB021-BBF7-3A4F-8787-8F7C1ECB1662}" xr6:coauthVersionLast="47" xr6:coauthVersionMax="47" xr10:uidLastSave="{00000000-0000-0000-0000-000000000000}"/>
  <bookViews>
    <workbookView xWindow="4860" yWindow="760" windowWidth="34460" windowHeight="19980" xr2:uid="{7CB3F8A0-6788-624C-A76D-E92EBC32A20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78" i="1" l="1"/>
  <c r="I178" i="1"/>
  <c r="J178" i="1"/>
  <c r="K178" i="1"/>
  <c r="L178" i="1"/>
  <c r="M178" i="1"/>
  <c r="N178" i="1"/>
  <c r="O178" i="1"/>
  <c r="P178" i="1"/>
  <c r="Q178" i="1"/>
  <c r="R178" i="1"/>
  <c r="S178" i="1"/>
  <c r="T178" i="1"/>
  <c r="U178" i="1"/>
  <c r="V178" i="1"/>
  <c r="W178" i="1"/>
  <c r="X178" i="1"/>
  <c r="Y178" i="1"/>
  <c r="Z178" i="1"/>
  <c r="AA178" i="1"/>
  <c r="AB178" i="1"/>
  <c r="AC178" i="1"/>
  <c r="AD178" i="1"/>
  <c r="AE178" i="1"/>
  <c r="G178" i="1"/>
  <c r="H96" i="1"/>
  <c r="I96" i="1"/>
  <c r="J96" i="1"/>
  <c r="K96" i="1"/>
  <c r="L96" i="1"/>
  <c r="M96" i="1"/>
  <c r="N96" i="1"/>
  <c r="O96" i="1"/>
  <c r="P96" i="1"/>
  <c r="Q96" i="1"/>
  <c r="R96" i="1"/>
  <c r="S96" i="1"/>
  <c r="T96" i="1"/>
  <c r="U96" i="1"/>
  <c r="V96" i="1"/>
  <c r="W96" i="1"/>
  <c r="X96" i="1"/>
  <c r="Y96" i="1"/>
  <c r="Z96" i="1"/>
  <c r="AA96" i="1"/>
  <c r="AB96" i="1"/>
  <c r="AC96" i="1"/>
  <c r="AD96" i="1"/>
  <c r="AE96" i="1"/>
  <c r="G96" i="1"/>
  <c r="G48" i="1"/>
  <c r="AF195" i="1"/>
  <c r="AF165" i="1"/>
  <c r="S157" i="1"/>
  <c r="T157" i="1"/>
  <c r="U157" i="1"/>
  <c r="V157" i="1"/>
  <c r="W157" i="1"/>
  <c r="X157" i="1"/>
  <c r="Y157" i="1"/>
  <c r="Z157" i="1"/>
  <c r="AA157" i="1"/>
  <c r="AB157" i="1"/>
  <c r="AC157" i="1"/>
  <c r="AD157" i="1"/>
  <c r="AE157" i="1"/>
  <c r="H157" i="1"/>
  <c r="I157" i="1"/>
  <c r="J157" i="1"/>
  <c r="K157" i="1"/>
  <c r="L157" i="1"/>
  <c r="M157" i="1"/>
  <c r="N157" i="1"/>
  <c r="O157" i="1"/>
  <c r="P157" i="1"/>
  <c r="Q157" i="1"/>
  <c r="R157" i="1"/>
  <c r="G157" i="1"/>
  <c r="AF157" i="1"/>
  <c r="AG157" i="1"/>
  <c r="AH157" i="1"/>
  <c r="AI157" i="1"/>
  <c r="AJ157" i="1"/>
  <c r="AK157" i="1"/>
  <c r="AL157" i="1"/>
  <c r="AM157" i="1"/>
  <c r="AN157" i="1"/>
  <c r="AO157" i="1"/>
  <c r="AP157" i="1"/>
  <c r="AQ157" i="1"/>
  <c r="AR157" i="1"/>
  <c r="AS157" i="1"/>
  <c r="AT157" i="1"/>
  <c r="AU157" i="1"/>
  <c r="AV157" i="1"/>
  <c r="AW157" i="1"/>
  <c r="AX157" i="1"/>
  <c r="AY157" i="1"/>
  <c r="AZ157" i="1"/>
  <c r="BA157" i="1"/>
  <c r="BB157" i="1"/>
  <c r="BC157" i="1"/>
  <c r="BD157" i="1"/>
  <c r="BE157" i="1"/>
  <c r="BF157" i="1"/>
  <c r="BG157" i="1"/>
  <c r="BH157" i="1"/>
  <c r="BI157" i="1"/>
  <c r="BJ157" i="1"/>
  <c r="BK157" i="1"/>
  <c r="BL157" i="1"/>
  <c r="BM157" i="1"/>
  <c r="BN157" i="1"/>
  <c r="BO157" i="1"/>
  <c r="BP157" i="1"/>
  <c r="BQ157" i="1"/>
  <c r="BR157" i="1"/>
  <c r="BS157" i="1"/>
  <c r="BT157" i="1"/>
  <c r="BU157" i="1"/>
  <c r="BV157" i="1"/>
  <c r="BW157" i="1"/>
  <c r="BX157" i="1"/>
  <c r="BY157" i="1"/>
  <c r="BZ157" i="1"/>
  <c r="CA157" i="1"/>
  <c r="CB157" i="1"/>
  <c r="CC157" i="1"/>
  <c r="CD157" i="1"/>
  <c r="AF158" i="1"/>
  <c r="G8" i="1"/>
  <c r="G9" i="1"/>
  <c r="G10" i="1"/>
  <c r="G11" i="1"/>
  <c r="G12" i="1"/>
  <c r="G13" i="1"/>
  <c r="G14" i="1"/>
  <c r="G15" i="1"/>
  <c r="G16" i="1"/>
  <c r="G17" i="1"/>
  <c r="G18" i="1"/>
  <c r="H7" i="1"/>
  <c r="I7" i="1"/>
  <c r="J7" i="1"/>
  <c r="K7" i="1"/>
  <c r="L7" i="1"/>
  <c r="M7" i="1"/>
  <c r="N7" i="1"/>
  <c r="O7" i="1"/>
  <c r="P7" i="1"/>
  <c r="Q7" i="1"/>
  <c r="R7" i="1"/>
  <c r="S7" i="1"/>
  <c r="T7" i="1"/>
  <c r="U7" i="1"/>
  <c r="V7" i="1"/>
  <c r="W7" i="1"/>
  <c r="X7" i="1"/>
  <c r="Y7" i="1"/>
  <c r="Z7" i="1"/>
  <c r="AA7" i="1"/>
  <c r="AB7" i="1"/>
  <c r="AC7" i="1"/>
  <c r="AD7" i="1"/>
  <c r="AE7" i="1"/>
  <c r="AF7" i="1"/>
  <c r="AG7" i="1"/>
  <c r="AH7" i="1"/>
  <c r="AI7" i="1"/>
  <c r="AJ7" i="1"/>
  <c r="AK7" i="1"/>
  <c r="AL7" i="1"/>
  <c r="AM7" i="1"/>
  <c r="AN7" i="1"/>
  <c r="AO7" i="1"/>
  <c r="AP7" i="1"/>
  <c r="AQ7" i="1"/>
  <c r="AR7" i="1"/>
  <c r="AS7" i="1"/>
  <c r="AT7" i="1"/>
  <c r="AU7" i="1"/>
  <c r="AV7" i="1"/>
  <c r="AW7" i="1"/>
  <c r="AX7" i="1"/>
  <c r="AY7" i="1"/>
  <c r="AZ7" i="1"/>
  <c r="BA7" i="1"/>
  <c r="BB7" i="1"/>
  <c r="BC7" i="1"/>
  <c r="BD7" i="1"/>
  <c r="BE7" i="1"/>
  <c r="BF7" i="1"/>
  <c r="BG7" i="1"/>
  <c r="BH7" i="1"/>
  <c r="BI7" i="1"/>
  <c r="BJ7" i="1"/>
  <c r="BK7" i="1"/>
  <c r="BL7" i="1"/>
  <c r="BM7" i="1"/>
  <c r="BN7" i="1"/>
  <c r="BO7" i="1"/>
  <c r="BP7" i="1"/>
  <c r="BQ7" i="1"/>
  <c r="BR7" i="1"/>
  <c r="BS7" i="1"/>
  <c r="BT7" i="1"/>
  <c r="BU7" i="1"/>
  <c r="BV7" i="1"/>
  <c r="BW7" i="1"/>
  <c r="BX7" i="1"/>
  <c r="BY7" i="1"/>
  <c r="BZ7" i="1"/>
  <c r="CA7" i="1"/>
  <c r="CB7" i="1"/>
  <c r="CC7" i="1"/>
  <c r="CD7" i="1"/>
  <c r="H8" i="1"/>
  <c r="I8" i="1"/>
  <c r="J8" i="1"/>
  <c r="K8" i="1"/>
  <c r="L8" i="1"/>
  <c r="M8" i="1"/>
  <c r="N8" i="1"/>
  <c r="O8" i="1"/>
  <c r="P8" i="1"/>
  <c r="Q8" i="1"/>
  <c r="R8" i="1"/>
  <c r="S8" i="1"/>
  <c r="T8" i="1"/>
  <c r="U8" i="1"/>
  <c r="V8" i="1"/>
  <c r="W8" i="1"/>
  <c r="X8" i="1"/>
  <c r="Y8" i="1"/>
  <c r="Z8" i="1"/>
  <c r="AA8" i="1"/>
  <c r="AB8" i="1"/>
  <c r="AC8" i="1"/>
  <c r="AD8" i="1"/>
  <c r="AE8" i="1"/>
  <c r="AF8" i="1"/>
  <c r="AG8" i="1"/>
  <c r="AH8" i="1"/>
  <c r="AI8" i="1"/>
  <c r="AJ8" i="1"/>
  <c r="AK8" i="1"/>
  <c r="AL8" i="1"/>
  <c r="AM8" i="1"/>
  <c r="AN8" i="1"/>
  <c r="AO8" i="1"/>
  <c r="AP8" i="1"/>
  <c r="AQ8" i="1"/>
  <c r="AR8" i="1"/>
  <c r="AS8" i="1"/>
  <c r="AT8" i="1"/>
  <c r="AU8" i="1"/>
  <c r="AV8" i="1"/>
  <c r="AW8" i="1"/>
  <c r="AX8" i="1"/>
  <c r="AY8" i="1"/>
  <c r="AZ8" i="1"/>
  <c r="BA8" i="1"/>
  <c r="BB8" i="1"/>
  <c r="BC8" i="1"/>
  <c r="BD8" i="1"/>
  <c r="BE8" i="1"/>
  <c r="BF8" i="1"/>
  <c r="BG8" i="1"/>
  <c r="BH8" i="1"/>
  <c r="BI8" i="1"/>
  <c r="BJ8" i="1"/>
  <c r="BK8" i="1"/>
  <c r="BL8" i="1"/>
  <c r="BM8" i="1"/>
  <c r="BN8" i="1"/>
  <c r="BO8" i="1"/>
  <c r="BP8" i="1"/>
  <c r="BQ8" i="1"/>
  <c r="BR8" i="1"/>
  <c r="BS8" i="1"/>
  <c r="BT8" i="1"/>
  <c r="BU8" i="1"/>
  <c r="BV8" i="1"/>
  <c r="BW8" i="1"/>
  <c r="BX8" i="1"/>
  <c r="BY8" i="1"/>
  <c r="BZ8" i="1"/>
  <c r="CA8" i="1"/>
  <c r="CB8" i="1"/>
  <c r="CC8" i="1"/>
  <c r="CD8" i="1"/>
  <c r="H9" i="1"/>
  <c r="I9" i="1"/>
  <c r="J9" i="1"/>
  <c r="K9" i="1"/>
  <c r="L9" i="1"/>
  <c r="M9" i="1"/>
  <c r="N9" i="1"/>
  <c r="O9" i="1"/>
  <c r="P9" i="1"/>
  <c r="Q9" i="1"/>
  <c r="R9" i="1"/>
  <c r="S9" i="1"/>
  <c r="T9" i="1"/>
  <c r="U9" i="1"/>
  <c r="V9" i="1"/>
  <c r="W9" i="1"/>
  <c r="X9" i="1"/>
  <c r="Y9" i="1"/>
  <c r="Z9" i="1"/>
  <c r="AA9" i="1"/>
  <c r="AB9" i="1"/>
  <c r="AC9" i="1"/>
  <c r="AD9" i="1"/>
  <c r="AE9" i="1"/>
  <c r="AF9" i="1"/>
  <c r="AG9" i="1"/>
  <c r="AH9" i="1"/>
  <c r="AI9" i="1"/>
  <c r="AJ9" i="1"/>
  <c r="AK9" i="1"/>
  <c r="AL9" i="1"/>
  <c r="AM9" i="1"/>
  <c r="AN9" i="1"/>
  <c r="AO9" i="1"/>
  <c r="AP9" i="1"/>
  <c r="AQ9" i="1"/>
  <c r="AR9" i="1"/>
  <c r="AS9" i="1"/>
  <c r="AT9" i="1"/>
  <c r="AU9" i="1"/>
  <c r="AV9" i="1"/>
  <c r="AW9" i="1"/>
  <c r="AX9" i="1"/>
  <c r="AY9" i="1"/>
  <c r="AZ9" i="1"/>
  <c r="BA9" i="1"/>
  <c r="BB9" i="1"/>
  <c r="BC9" i="1"/>
  <c r="BD9" i="1"/>
  <c r="BE9" i="1"/>
  <c r="BF9" i="1"/>
  <c r="BG9" i="1"/>
  <c r="BH9" i="1"/>
  <c r="BI9" i="1"/>
  <c r="BJ9" i="1"/>
  <c r="BK9" i="1"/>
  <c r="BL9" i="1"/>
  <c r="BM9" i="1"/>
  <c r="BN9" i="1"/>
  <c r="BO9" i="1"/>
  <c r="BP9" i="1"/>
  <c r="BQ9" i="1"/>
  <c r="BR9" i="1"/>
  <c r="BS9" i="1"/>
  <c r="BT9" i="1"/>
  <c r="BU9" i="1"/>
  <c r="BV9" i="1"/>
  <c r="BW9" i="1"/>
  <c r="BX9" i="1"/>
  <c r="BY9" i="1"/>
  <c r="BZ9" i="1"/>
  <c r="CA9" i="1"/>
  <c r="CB9" i="1"/>
  <c r="CC9" i="1"/>
  <c r="CD9" i="1"/>
  <c r="H10" i="1"/>
  <c r="I10" i="1"/>
  <c r="J10" i="1"/>
  <c r="K10" i="1"/>
  <c r="L10" i="1"/>
  <c r="M10" i="1"/>
  <c r="N10" i="1"/>
  <c r="O10" i="1"/>
  <c r="P10" i="1"/>
  <c r="Q10" i="1"/>
  <c r="R10" i="1"/>
  <c r="S10" i="1"/>
  <c r="T10" i="1"/>
  <c r="U10" i="1"/>
  <c r="V10" i="1"/>
  <c r="W10" i="1"/>
  <c r="X10" i="1"/>
  <c r="Y10" i="1"/>
  <c r="Z10" i="1"/>
  <c r="AA10" i="1"/>
  <c r="AB10" i="1"/>
  <c r="AC10" i="1"/>
  <c r="AD10" i="1"/>
  <c r="AE10" i="1"/>
  <c r="AF10" i="1"/>
  <c r="AG10" i="1"/>
  <c r="AH10" i="1"/>
  <c r="AI10" i="1"/>
  <c r="AJ10" i="1"/>
  <c r="AK10" i="1"/>
  <c r="AL10" i="1"/>
  <c r="AM10" i="1"/>
  <c r="AN10" i="1"/>
  <c r="AO10" i="1"/>
  <c r="AP10" i="1"/>
  <c r="AQ10" i="1"/>
  <c r="AR10" i="1"/>
  <c r="AS10" i="1"/>
  <c r="AT10" i="1"/>
  <c r="AU10" i="1"/>
  <c r="AV10" i="1"/>
  <c r="AW10" i="1"/>
  <c r="AX10" i="1"/>
  <c r="AY10" i="1"/>
  <c r="AZ10" i="1"/>
  <c r="BA10" i="1"/>
  <c r="BB10" i="1"/>
  <c r="BC10" i="1"/>
  <c r="BD10" i="1"/>
  <c r="BE10" i="1"/>
  <c r="BF10" i="1"/>
  <c r="BG10" i="1"/>
  <c r="BH10" i="1"/>
  <c r="BI10" i="1"/>
  <c r="BJ10" i="1"/>
  <c r="BK10" i="1"/>
  <c r="BL10" i="1"/>
  <c r="BM10" i="1"/>
  <c r="BN10" i="1"/>
  <c r="BO10" i="1"/>
  <c r="BP10" i="1"/>
  <c r="BQ10" i="1"/>
  <c r="BR10" i="1"/>
  <c r="BS10" i="1"/>
  <c r="BT10" i="1"/>
  <c r="BU10" i="1"/>
  <c r="BV10" i="1"/>
  <c r="BW10" i="1"/>
  <c r="BX10" i="1"/>
  <c r="BY10" i="1"/>
  <c r="BZ10" i="1"/>
  <c r="CA10" i="1"/>
  <c r="CB10" i="1"/>
  <c r="CC10" i="1"/>
  <c r="CD10" i="1"/>
  <c r="H11" i="1"/>
  <c r="I11" i="1"/>
  <c r="J11" i="1"/>
  <c r="K11" i="1"/>
  <c r="L11" i="1"/>
  <c r="M11" i="1"/>
  <c r="N11" i="1"/>
  <c r="O11" i="1"/>
  <c r="P11" i="1"/>
  <c r="Q11" i="1"/>
  <c r="R11" i="1"/>
  <c r="S11" i="1"/>
  <c r="T11" i="1"/>
  <c r="U11" i="1"/>
  <c r="V11" i="1"/>
  <c r="W11" i="1"/>
  <c r="X11" i="1"/>
  <c r="Y11" i="1"/>
  <c r="Z11" i="1"/>
  <c r="AA11" i="1"/>
  <c r="AB11" i="1"/>
  <c r="AC11" i="1"/>
  <c r="AD11" i="1"/>
  <c r="AE11" i="1"/>
  <c r="AF11" i="1"/>
  <c r="AG11" i="1"/>
  <c r="AH11" i="1"/>
  <c r="AI11" i="1"/>
  <c r="AJ11" i="1"/>
  <c r="AK11" i="1"/>
  <c r="AL11" i="1"/>
  <c r="AM11" i="1"/>
  <c r="AN11" i="1"/>
  <c r="AO11" i="1"/>
  <c r="AP11" i="1"/>
  <c r="AQ11" i="1"/>
  <c r="AR11" i="1"/>
  <c r="AS11" i="1"/>
  <c r="AT11" i="1"/>
  <c r="AU11" i="1"/>
  <c r="AV11" i="1"/>
  <c r="AW11" i="1"/>
  <c r="AX11" i="1"/>
  <c r="AY11" i="1"/>
  <c r="AZ11" i="1"/>
  <c r="BA11" i="1"/>
  <c r="BB11" i="1"/>
  <c r="BC11" i="1"/>
  <c r="BD11" i="1"/>
  <c r="BE11" i="1"/>
  <c r="BF11" i="1"/>
  <c r="BG11" i="1"/>
  <c r="BH11" i="1"/>
  <c r="BI11" i="1"/>
  <c r="BJ11" i="1"/>
  <c r="BK11" i="1"/>
  <c r="BL11" i="1"/>
  <c r="BM11" i="1"/>
  <c r="BN11" i="1"/>
  <c r="BO11" i="1"/>
  <c r="BP11" i="1"/>
  <c r="BQ11" i="1"/>
  <c r="BR11" i="1"/>
  <c r="BS11" i="1"/>
  <c r="BT11" i="1"/>
  <c r="BU11" i="1"/>
  <c r="BV11" i="1"/>
  <c r="BW11" i="1"/>
  <c r="BX11" i="1"/>
  <c r="BY11" i="1"/>
  <c r="BZ11" i="1"/>
  <c r="CA11" i="1"/>
  <c r="CB11" i="1"/>
  <c r="CC11" i="1"/>
  <c r="CD11" i="1"/>
  <c r="H12" i="1"/>
  <c r="I12" i="1"/>
  <c r="J12" i="1"/>
  <c r="K12" i="1"/>
  <c r="L12" i="1"/>
  <c r="M12" i="1"/>
  <c r="N12" i="1"/>
  <c r="O12" i="1"/>
  <c r="P12" i="1"/>
  <c r="Q12" i="1"/>
  <c r="R12" i="1"/>
  <c r="S12" i="1"/>
  <c r="T12" i="1"/>
  <c r="U12" i="1"/>
  <c r="V12" i="1"/>
  <c r="W12" i="1"/>
  <c r="X12" i="1"/>
  <c r="Y12" i="1"/>
  <c r="Z12" i="1"/>
  <c r="AA12" i="1"/>
  <c r="AB12" i="1"/>
  <c r="AC12" i="1"/>
  <c r="AD12" i="1"/>
  <c r="AE12" i="1"/>
  <c r="AF12" i="1"/>
  <c r="AG12" i="1"/>
  <c r="AH12" i="1"/>
  <c r="AI12" i="1"/>
  <c r="AJ12" i="1"/>
  <c r="AK12" i="1"/>
  <c r="AL12" i="1"/>
  <c r="AM12" i="1"/>
  <c r="AN12" i="1"/>
  <c r="AO12" i="1"/>
  <c r="AP12" i="1"/>
  <c r="AQ12" i="1"/>
  <c r="AR12" i="1"/>
  <c r="AS12" i="1"/>
  <c r="AT12" i="1"/>
  <c r="AU12" i="1"/>
  <c r="AV12" i="1"/>
  <c r="AW12" i="1"/>
  <c r="AX12" i="1"/>
  <c r="AY12" i="1"/>
  <c r="AZ12" i="1"/>
  <c r="BA12" i="1"/>
  <c r="BB12" i="1"/>
  <c r="BC12" i="1"/>
  <c r="BD12" i="1"/>
  <c r="BE12" i="1"/>
  <c r="BF12" i="1"/>
  <c r="BG12" i="1"/>
  <c r="BH12" i="1"/>
  <c r="BI12" i="1"/>
  <c r="BJ12" i="1"/>
  <c r="BK12" i="1"/>
  <c r="BL12" i="1"/>
  <c r="BM12" i="1"/>
  <c r="BN12" i="1"/>
  <c r="BO12" i="1"/>
  <c r="BP12" i="1"/>
  <c r="BQ12" i="1"/>
  <c r="BR12" i="1"/>
  <c r="BS12" i="1"/>
  <c r="BT12" i="1"/>
  <c r="BU12" i="1"/>
  <c r="BV12" i="1"/>
  <c r="BW12" i="1"/>
  <c r="BX12" i="1"/>
  <c r="BY12" i="1"/>
  <c r="BZ12" i="1"/>
  <c r="CA12" i="1"/>
  <c r="CB12" i="1"/>
  <c r="CC12" i="1"/>
  <c r="CD12" i="1"/>
  <c r="H13" i="1"/>
  <c r="I13" i="1"/>
  <c r="J13" i="1"/>
  <c r="K13" i="1"/>
  <c r="L13" i="1"/>
  <c r="M13" i="1"/>
  <c r="N13" i="1"/>
  <c r="O13" i="1"/>
  <c r="P13" i="1"/>
  <c r="Q13" i="1"/>
  <c r="R13" i="1"/>
  <c r="S13" i="1"/>
  <c r="T13" i="1"/>
  <c r="U13" i="1"/>
  <c r="V13" i="1"/>
  <c r="W13" i="1"/>
  <c r="X13" i="1"/>
  <c r="Y13" i="1"/>
  <c r="Z13" i="1"/>
  <c r="AA13" i="1"/>
  <c r="AB13" i="1"/>
  <c r="AC13" i="1"/>
  <c r="AD13" i="1"/>
  <c r="AE13" i="1"/>
  <c r="AF13" i="1"/>
  <c r="AG13" i="1"/>
  <c r="AH13" i="1"/>
  <c r="AI13" i="1"/>
  <c r="AJ13" i="1"/>
  <c r="AK13" i="1"/>
  <c r="AL13" i="1"/>
  <c r="AM13" i="1"/>
  <c r="AN13" i="1"/>
  <c r="AO13" i="1"/>
  <c r="AP13" i="1"/>
  <c r="AQ13" i="1"/>
  <c r="AR13" i="1"/>
  <c r="AS13" i="1"/>
  <c r="AT13" i="1"/>
  <c r="AU13" i="1"/>
  <c r="AV13" i="1"/>
  <c r="AW13" i="1"/>
  <c r="AX13" i="1"/>
  <c r="AY13" i="1"/>
  <c r="AZ13" i="1"/>
  <c r="BA13" i="1"/>
  <c r="BB13" i="1"/>
  <c r="BC13" i="1"/>
  <c r="BD13" i="1"/>
  <c r="BE13" i="1"/>
  <c r="BF13" i="1"/>
  <c r="BG13" i="1"/>
  <c r="BH13" i="1"/>
  <c r="BI13" i="1"/>
  <c r="BJ13" i="1"/>
  <c r="BK13" i="1"/>
  <c r="BL13" i="1"/>
  <c r="BM13" i="1"/>
  <c r="BN13" i="1"/>
  <c r="BO13" i="1"/>
  <c r="BP13" i="1"/>
  <c r="BQ13" i="1"/>
  <c r="BR13" i="1"/>
  <c r="BS13" i="1"/>
  <c r="BT13" i="1"/>
  <c r="BU13" i="1"/>
  <c r="BV13" i="1"/>
  <c r="BW13" i="1"/>
  <c r="BX13" i="1"/>
  <c r="BY13" i="1"/>
  <c r="BZ13" i="1"/>
  <c r="CA13" i="1"/>
  <c r="CB13" i="1"/>
  <c r="CC13" i="1"/>
  <c r="CD13" i="1"/>
  <c r="H14" i="1"/>
  <c r="I14" i="1"/>
  <c r="J14" i="1"/>
  <c r="K14" i="1"/>
  <c r="L14" i="1"/>
  <c r="M14" i="1"/>
  <c r="N14" i="1"/>
  <c r="O14" i="1"/>
  <c r="P14" i="1"/>
  <c r="Q14" i="1"/>
  <c r="R14" i="1"/>
  <c r="S14" i="1"/>
  <c r="T14" i="1"/>
  <c r="U14" i="1"/>
  <c r="V14" i="1"/>
  <c r="W14" i="1"/>
  <c r="X14" i="1"/>
  <c r="Y14" i="1"/>
  <c r="Z14" i="1"/>
  <c r="AA14" i="1"/>
  <c r="AB14" i="1"/>
  <c r="AC14" i="1"/>
  <c r="AD14" i="1"/>
  <c r="AE14" i="1"/>
  <c r="AF14" i="1"/>
  <c r="AG14" i="1"/>
  <c r="AH14" i="1"/>
  <c r="AI14" i="1"/>
  <c r="AJ14" i="1"/>
  <c r="AK14" i="1"/>
  <c r="AL14" i="1"/>
  <c r="AM14" i="1"/>
  <c r="AN14" i="1"/>
  <c r="AO14" i="1"/>
  <c r="AP14" i="1"/>
  <c r="AQ14" i="1"/>
  <c r="AR14" i="1"/>
  <c r="AS14" i="1"/>
  <c r="AT14" i="1"/>
  <c r="AU14" i="1"/>
  <c r="AV14" i="1"/>
  <c r="AW14" i="1"/>
  <c r="AX14" i="1"/>
  <c r="AY14" i="1"/>
  <c r="AZ14" i="1"/>
  <c r="BA14" i="1"/>
  <c r="BB14" i="1"/>
  <c r="BC14" i="1"/>
  <c r="BD14" i="1"/>
  <c r="BE14" i="1"/>
  <c r="BF14" i="1"/>
  <c r="BG14" i="1"/>
  <c r="BH14" i="1"/>
  <c r="BI14" i="1"/>
  <c r="BJ14" i="1"/>
  <c r="BK14" i="1"/>
  <c r="BL14" i="1"/>
  <c r="BM14" i="1"/>
  <c r="BN14" i="1"/>
  <c r="BO14" i="1"/>
  <c r="BP14" i="1"/>
  <c r="BQ14" i="1"/>
  <c r="BR14" i="1"/>
  <c r="BS14" i="1"/>
  <c r="BT14" i="1"/>
  <c r="BU14" i="1"/>
  <c r="BV14" i="1"/>
  <c r="BW14" i="1"/>
  <c r="BX14" i="1"/>
  <c r="BY14" i="1"/>
  <c r="BZ14" i="1"/>
  <c r="CA14" i="1"/>
  <c r="CB14" i="1"/>
  <c r="CC14" i="1"/>
  <c r="CD14" i="1"/>
  <c r="H15" i="1"/>
  <c r="I15" i="1"/>
  <c r="J15" i="1"/>
  <c r="K15" i="1"/>
  <c r="L15" i="1"/>
  <c r="M15" i="1"/>
  <c r="N15" i="1"/>
  <c r="O15" i="1"/>
  <c r="P15" i="1"/>
  <c r="Q15" i="1"/>
  <c r="R15" i="1"/>
  <c r="S15" i="1"/>
  <c r="T15" i="1"/>
  <c r="U15" i="1"/>
  <c r="V15" i="1"/>
  <c r="W15" i="1"/>
  <c r="X15" i="1"/>
  <c r="Y15" i="1"/>
  <c r="Z15" i="1"/>
  <c r="AA15" i="1"/>
  <c r="AB15" i="1"/>
  <c r="AC15" i="1"/>
  <c r="AD15" i="1"/>
  <c r="AE15" i="1"/>
  <c r="AF15" i="1"/>
  <c r="AG15" i="1"/>
  <c r="AH15" i="1"/>
  <c r="AI15" i="1"/>
  <c r="AJ15" i="1"/>
  <c r="AK15" i="1"/>
  <c r="AL15" i="1"/>
  <c r="AM15" i="1"/>
  <c r="AN15" i="1"/>
  <c r="AO15" i="1"/>
  <c r="AP15" i="1"/>
  <c r="AQ15" i="1"/>
  <c r="AR15" i="1"/>
  <c r="AS15" i="1"/>
  <c r="AT15" i="1"/>
  <c r="AU15" i="1"/>
  <c r="AV15" i="1"/>
  <c r="AW15" i="1"/>
  <c r="AX15" i="1"/>
  <c r="AY15" i="1"/>
  <c r="AZ15" i="1"/>
  <c r="BA15" i="1"/>
  <c r="BB15" i="1"/>
  <c r="BC15" i="1"/>
  <c r="BD15" i="1"/>
  <c r="BE15" i="1"/>
  <c r="BF15" i="1"/>
  <c r="BG15" i="1"/>
  <c r="BH15" i="1"/>
  <c r="BI15" i="1"/>
  <c r="BJ15" i="1"/>
  <c r="BK15" i="1"/>
  <c r="BL15" i="1"/>
  <c r="BM15" i="1"/>
  <c r="BN15" i="1"/>
  <c r="BO15" i="1"/>
  <c r="BP15" i="1"/>
  <c r="BQ15" i="1"/>
  <c r="BR15" i="1"/>
  <c r="BS15" i="1"/>
  <c r="BT15" i="1"/>
  <c r="BU15" i="1"/>
  <c r="BV15" i="1"/>
  <c r="BW15" i="1"/>
  <c r="BX15" i="1"/>
  <c r="BY15" i="1"/>
  <c r="BZ15" i="1"/>
  <c r="CA15" i="1"/>
  <c r="CB15" i="1"/>
  <c r="CC15" i="1"/>
  <c r="CD15" i="1"/>
  <c r="H16" i="1"/>
  <c r="I16" i="1"/>
  <c r="J16" i="1"/>
  <c r="K16" i="1"/>
  <c r="L16" i="1"/>
  <c r="M16" i="1"/>
  <c r="N16" i="1"/>
  <c r="O16" i="1"/>
  <c r="P16" i="1"/>
  <c r="Q16" i="1"/>
  <c r="R16" i="1"/>
  <c r="S16" i="1"/>
  <c r="T16" i="1"/>
  <c r="U16" i="1"/>
  <c r="V16" i="1"/>
  <c r="W16" i="1"/>
  <c r="X16" i="1"/>
  <c r="Y16" i="1"/>
  <c r="Z16" i="1"/>
  <c r="AA16" i="1"/>
  <c r="AB16" i="1"/>
  <c r="AC16" i="1"/>
  <c r="AD16" i="1"/>
  <c r="AE16" i="1"/>
  <c r="AF16" i="1"/>
  <c r="AG16" i="1"/>
  <c r="AH16" i="1"/>
  <c r="AI16" i="1"/>
  <c r="AJ16" i="1"/>
  <c r="AK16" i="1"/>
  <c r="AL16" i="1"/>
  <c r="AM16" i="1"/>
  <c r="AN16" i="1"/>
  <c r="AO16" i="1"/>
  <c r="AP16" i="1"/>
  <c r="AQ16" i="1"/>
  <c r="AR16" i="1"/>
  <c r="AS16" i="1"/>
  <c r="AT16" i="1"/>
  <c r="AU16" i="1"/>
  <c r="AV16" i="1"/>
  <c r="AW16" i="1"/>
  <c r="AX16" i="1"/>
  <c r="AY16" i="1"/>
  <c r="AZ16" i="1"/>
  <c r="BA16" i="1"/>
  <c r="BB16" i="1"/>
  <c r="BC16" i="1"/>
  <c r="BD16" i="1"/>
  <c r="BE16" i="1"/>
  <c r="BF16" i="1"/>
  <c r="BG16" i="1"/>
  <c r="BH16" i="1"/>
  <c r="BI16" i="1"/>
  <c r="BJ16" i="1"/>
  <c r="BK16" i="1"/>
  <c r="BL16" i="1"/>
  <c r="BM16" i="1"/>
  <c r="BN16" i="1"/>
  <c r="BO16" i="1"/>
  <c r="BP16" i="1"/>
  <c r="BQ16" i="1"/>
  <c r="BR16" i="1"/>
  <c r="BS16" i="1"/>
  <c r="BT16" i="1"/>
  <c r="BU16" i="1"/>
  <c r="BV16" i="1"/>
  <c r="BW16" i="1"/>
  <c r="BX16" i="1"/>
  <c r="BY16" i="1"/>
  <c r="BZ16" i="1"/>
  <c r="CA16" i="1"/>
  <c r="CB16" i="1"/>
  <c r="CC16" i="1"/>
  <c r="CD16" i="1"/>
  <c r="H17" i="1"/>
  <c r="I17" i="1"/>
  <c r="J17" i="1"/>
  <c r="K17" i="1"/>
  <c r="L17" i="1"/>
  <c r="M17" i="1"/>
  <c r="N17" i="1"/>
  <c r="O17" i="1"/>
  <c r="P17" i="1"/>
  <c r="Q17" i="1"/>
  <c r="R17" i="1"/>
  <c r="S17" i="1"/>
  <c r="T17" i="1"/>
  <c r="U17" i="1"/>
  <c r="V17" i="1"/>
  <c r="W17" i="1"/>
  <c r="X17" i="1"/>
  <c r="Y17" i="1"/>
  <c r="Z17" i="1"/>
  <c r="AA17" i="1"/>
  <c r="AB17" i="1"/>
  <c r="AC17" i="1"/>
  <c r="AD17" i="1"/>
  <c r="AE17" i="1"/>
  <c r="AF17" i="1"/>
  <c r="AG17" i="1"/>
  <c r="AH17" i="1"/>
  <c r="AI17" i="1"/>
  <c r="AJ17" i="1"/>
  <c r="AK17" i="1"/>
  <c r="AL17" i="1"/>
  <c r="AM17" i="1"/>
  <c r="AN17" i="1"/>
  <c r="AO17" i="1"/>
  <c r="AP17" i="1"/>
  <c r="AQ17" i="1"/>
  <c r="AR17" i="1"/>
  <c r="AS17" i="1"/>
  <c r="AT17" i="1"/>
  <c r="AU17" i="1"/>
  <c r="AV17" i="1"/>
  <c r="AW17" i="1"/>
  <c r="AX17" i="1"/>
  <c r="AY17" i="1"/>
  <c r="AZ17" i="1"/>
  <c r="BA17" i="1"/>
  <c r="BB17" i="1"/>
  <c r="BC17" i="1"/>
  <c r="BD17" i="1"/>
  <c r="BE17" i="1"/>
  <c r="BF17" i="1"/>
  <c r="BG17" i="1"/>
  <c r="BH17" i="1"/>
  <c r="BI17" i="1"/>
  <c r="BJ17" i="1"/>
  <c r="BK17" i="1"/>
  <c r="BL17" i="1"/>
  <c r="BM17" i="1"/>
  <c r="BN17" i="1"/>
  <c r="BO17" i="1"/>
  <c r="BP17" i="1"/>
  <c r="BQ17" i="1"/>
  <c r="BR17" i="1"/>
  <c r="BS17" i="1"/>
  <c r="BT17" i="1"/>
  <c r="BU17" i="1"/>
  <c r="BV17" i="1"/>
  <c r="BW17" i="1"/>
  <c r="BX17" i="1"/>
  <c r="BY17" i="1"/>
  <c r="BZ17" i="1"/>
  <c r="CA17" i="1"/>
  <c r="CB17" i="1"/>
  <c r="CC17" i="1"/>
  <c r="CD17" i="1"/>
  <c r="H18" i="1"/>
  <c r="I18" i="1"/>
  <c r="J18" i="1"/>
  <c r="K18" i="1"/>
  <c r="L18" i="1"/>
  <c r="M18" i="1"/>
  <c r="N18" i="1"/>
  <c r="O18" i="1"/>
  <c r="P18" i="1"/>
  <c r="Q18" i="1"/>
  <c r="R18" i="1"/>
  <c r="S18" i="1"/>
  <c r="T18" i="1"/>
  <c r="U18" i="1"/>
  <c r="V18" i="1"/>
  <c r="W18" i="1"/>
  <c r="X18" i="1"/>
  <c r="Y18" i="1"/>
  <c r="Z18" i="1"/>
  <c r="AA18" i="1"/>
  <c r="AB18" i="1"/>
  <c r="AC18" i="1"/>
  <c r="AD18" i="1"/>
  <c r="AE18" i="1"/>
  <c r="AF18" i="1"/>
  <c r="AG18" i="1"/>
  <c r="AH18" i="1"/>
  <c r="AI18" i="1"/>
  <c r="AJ18" i="1"/>
  <c r="AK18" i="1"/>
  <c r="AL18" i="1"/>
  <c r="AM18" i="1"/>
  <c r="AN18" i="1"/>
  <c r="AO18" i="1"/>
  <c r="AP18" i="1"/>
  <c r="AQ18" i="1"/>
  <c r="AR18" i="1"/>
  <c r="AS18" i="1"/>
  <c r="AT18" i="1"/>
  <c r="AU18" i="1"/>
  <c r="AV18" i="1"/>
  <c r="AW18" i="1"/>
  <c r="AX18" i="1"/>
  <c r="AY18" i="1"/>
  <c r="AZ18" i="1"/>
  <c r="BA18" i="1"/>
  <c r="BB18" i="1"/>
  <c r="BC18" i="1"/>
  <c r="BD18" i="1"/>
  <c r="BE18" i="1"/>
  <c r="BF18" i="1"/>
  <c r="BG18" i="1"/>
  <c r="BH18" i="1"/>
  <c r="BI18" i="1"/>
  <c r="BJ18" i="1"/>
  <c r="BK18" i="1"/>
  <c r="BL18" i="1"/>
  <c r="BM18" i="1"/>
  <c r="BN18" i="1"/>
  <c r="BO18" i="1"/>
  <c r="BP18" i="1"/>
  <c r="BQ18" i="1"/>
  <c r="BR18" i="1"/>
  <c r="BS18" i="1"/>
  <c r="BT18" i="1"/>
  <c r="BU18" i="1"/>
  <c r="BV18" i="1"/>
  <c r="BW18" i="1"/>
  <c r="BX18" i="1"/>
  <c r="BY18" i="1"/>
  <c r="BZ18" i="1"/>
  <c r="CA18" i="1"/>
  <c r="CB18" i="1"/>
  <c r="CC18" i="1"/>
  <c r="CD18" i="1"/>
  <c r="G7" i="1"/>
  <c r="G20" i="1"/>
  <c r="H20" i="1"/>
  <c r="I20" i="1"/>
  <c r="J20" i="1"/>
  <c r="K20" i="1"/>
  <c r="L20" i="1"/>
  <c r="M20" i="1"/>
  <c r="N20" i="1"/>
  <c r="O20" i="1"/>
  <c r="P20" i="1"/>
  <c r="Q20" i="1"/>
  <c r="R20" i="1"/>
  <c r="S20" i="1"/>
  <c r="T20" i="1"/>
  <c r="U20" i="1"/>
  <c r="V20" i="1"/>
  <c r="W20" i="1"/>
  <c r="X20" i="1"/>
  <c r="Y20" i="1"/>
  <c r="Z20" i="1"/>
  <c r="AA20" i="1"/>
  <c r="AB20" i="1"/>
  <c r="AC20" i="1"/>
  <c r="AD20" i="1"/>
  <c r="AE20" i="1"/>
  <c r="AF20" i="1"/>
  <c r="AG20" i="1"/>
  <c r="AH20" i="1"/>
  <c r="AI20" i="1"/>
  <c r="AJ20" i="1"/>
  <c r="AK20" i="1"/>
  <c r="AL20" i="1"/>
  <c r="AM20" i="1"/>
  <c r="AN20" i="1"/>
  <c r="AO20" i="1"/>
  <c r="AP20" i="1"/>
  <c r="AQ20" i="1"/>
  <c r="AR20" i="1"/>
  <c r="AS20" i="1"/>
  <c r="AT20" i="1"/>
  <c r="AU20" i="1"/>
  <c r="AV20" i="1"/>
  <c r="AW20" i="1"/>
  <c r="AX20" i="1"/>
  <c r="AY20" i="1"/>
  <c r="AZ20" i="1"/>
  <c r="BA20" i="1"/>
  <c r="BB20" i="1"/>
  <c r="BC20" i="1"/>
  <c r="BD20" i="1"/>
  <c r="BE20" i="1"/>
  <c r="BF20" i="1"/>
  <c r="BG20" i="1"/>
  <c r="BH20" i="1"/>
  <c r="BI20" i="1"/>
  <c r="BJ20" i="1"/>
  <c r="BK20" i="1"/>
  <c r="BL20" i="1"/>
  <c r="BM20" i="1"/>
  <c r="BN20" i="1"/>
  <c r="BO20" i="1"/>
  <c r="BP20" i="1"/>
  <c r="BQ20" i="1"/>
  <c r="BR20" i="1"/>
  <c r="BS20" i="1"/>
  <c r="BT20" i="1"/>
  <c r="BU20" i="1"/>
  <c r="BV20" i="1"/>
  <c r="BW20" i="1"/>
  <c r="BX20" i="1"/>
  <c r="BY20" i="1"/>
  <c r="BZ20" i="1"/>
  <c r="CA20" i="1"/>
  <c r="CB20" i="1"/>
  <c r="CC20" i="1"/>
  <c r="CD20" i="1"/>
  <c r="H21" i="1"/>
  <c r="I21" i="1"/>
  <c r="J21" i="1"/>
  <c r="K21" i="1"/>
  <c r="L21" i="1"/>
  <c r="M21" i="1"/>
  <c r="N21" i="1"/>
  <c r="O21" i="1"/>
  <c r="P21" i="1"/>
  <c r="Q21" i="1"/>
  <c r="R21" i="1"/>
  <c r="S21" i="1"/>
  <c r="T21" i="1"/>
  <c r="U21" i="1"/>
  <c r="V21" i="1"/>
  <c r="W21" i="1"/>
  <c r="X21" i="1"/>
  <c r="Y21" i="1"/>
  <c r="Z21" i="1"/>
  <c r="AA21" i="1"/>
  <c r="AB21" i="1"/>
  <c r="AC21" i="1"/>
  <c r="AD21" i="1"/>
  <c r="AE21" i="1"/>
  <c r="AF21" i="1"/>
  <c r="AG21" i="1"/>
  <c r="AH21" i="1"/>
  <c r="AI21" i="1"/>
  <c r="AJ21" i="1"/>
  <c r="AK21" i="1"/>
  <c r="AL21" i="1"/>
  <c r="AM21" i="1"/>
  <c r="AN21" i="1"/>
  <c r="AO21" i="1"/>
  <c r="AP21" i="1"/>
  <c r="AQ21" i="1"/>
  <c r="AR21" i="1"/>
  <c r="AS21" i="1"/>
  <c r="AT21" i="1"/>
  <c r="AU21" i="1"/>
  <c r="AV21" i="1"/>
  <c r="AW21" i="1"/>
  <c r="AX21" i="1"/>
  <c r="AY21" i="1"/>
  <c r="AZ21" i="1"/>
  <c r="BA21" i="1"/>
  <c r="BB21" i="1"/>
  <c r="BC21" i="1"/>
  <c r="BD21" i="1"/>
  <c r="BE21" i="1"/>
  <c r="BF21" i="1"/>
  <c r="BG21" i="1"/>
  <c r="BH21" i="1"/>
  <c r="BI21" i="1"/>
  <c r="BJ21" i="1"/>
  <c r="BK21" i="1"/>
  <c r="BL21" i="1"/>
  <c r="BM21" i="1"/>
  <c r="BN21" i="1"/>
  <c r="BO21" i="1"/>
  <c r="BP21" i="1"/>
  <c r="BQ21" i="1"/>
  <c r="BR21" i="1"/>
  <c r="BS21" i="1"/>
  <c r="BT21" i="1"/>
  <c r="BU21" i="1"/>
  <c r="BV21" i="1"/>
  <c r="BW21" i="1"/>
  <c r="BX21" i="1"/>
  <c r="BY21" i="1"/>
  <c r="BZ21" i="1"/>
  <c r="CA21" i="1"/>
  <c r="CB21" i="1"/>
  <c r="CC21" i="1"/>
  <c r="CD21" i="1"/>
  <c r="H22" i="1"/>
  <c r="I22" i="1"/>
  <c r="J22" i="1"/>
  <c r="K22" i="1"/>
  <c r="L22" i="1"/>
  <c r="M22" i="1"/>
  <c r="N22" i="1"/>
  <c r="O22" i="1"/>
  <c r="P22" i="1"/>
  <c r="Q22" i="1"/>
  <c r="R22" i="1"/>
  <c r="S22" i="1"/>
  <c r="T22" i="1"/>
  <c r="U22" i="1"/>
  <c r="V22" i="1"/>
  <c r="W22" i="1"/>
  <c r="X22" i="1"/>
  <c r="Y22" i="1"/>
  <c r="Z22" i="1"/>
  <c r="AA22" i="1"/>
  <c r="AB22" i="1"/>
  <c r="AC22" i="1"/>
  <c r="AD22" i="1"/>
  <c r="AE22" i="1"/>
  <c r="AF22" i="1"/>
  <c r="AG22" i="1"/>
  <c r="AH22" i="1"/>
  <c r="AI22" i="1"/>
  <c r="AJ22" i="1"/>
  <c r="AK22" i="1"/>
  <c r="AL22" i="1"/>
  <c r="AM22" i="1"/>
  <c r="AN22" i="1"/>
  <c r="AO22" i="1"/>
  <c r="AP22" i="1"/>
  <c r="AQ22" i="1"/>
  <c r="AR22" i="1"/>
  <c r="AS22" i="1"/>
  <c r="AT22" i="1"/>
  <c r="AU22" i="1"/>
  <c r="AV22" i="1"/>
  <c r="AW22" i="1"/>
  <c r="AX22" i="1"/>
  <c r="AY22" i="1"/>
  <c r="AZ22" i="1"/>
  <c r="BA22" i="1"/>
  <c r="BB22" i="1"/>
  <c r="BC22" i="1"/>
  <c r="BD22" i="1"/>
  <c r="BE22" i="1"/>
  <c r="BF22" i="1"/>
  <c r="BG22" i="1"/>
  <c r="BH22" i="1"/>
  <c r="BI22" i="1"/>
  <c r="BJ22" i="1"/>
  <c r="BK22" i="1"/>
  <c r="BL22" i="1"/>
  <c r="BM22" i="1"/>
  <c r="BN22" i="1"/>
  <c r="BO22" i="1"/>
  <c r="BP22" i="1"/>
  <c r="BQ22" i="1"/>
  <c r="BR22" i="1"/>
  <c r="BS22" i="1"/>
  <c r="BT22" i="1"/>
  <c r="BU22" i="1"/>
  <c r="BV22" i="1"/>
  <c r="BW22" i="1"/>
  <c r="BX22" i="1"/>
  <c r="BY22" i="1"/>
  <c r="BZ22" i="1"/>
  <c r="CA22" i="1"/>
  <c r="CB22" i="1"/>
  <c r="CC22" i="1"/>
  <c r="CD22" i="1"/>
  <c r="H23" i="1"/>
  <c r="I23" i="1"/>
  <c r="J23" i="1"/>
  <c r="K23" i="1"/>
  <c r="L23" i="1"/>
  <c r="M23" i="1"/>
  <c r="N23" i="1"/>
  <c r="O23" i="1"/>
  <c r="P23" i="1"/>
  <c r="Q23" i="1"/>
  <c r="R23" i="1"/>
  <c r="S23" i="1"/>
  <c r="T23" i="1"/>
  <c r="U23" i="1"/>
  <c r="V23" i="1"/>
  <c r="W23" i="1"/>
  <c r="X23" i="1"/>
  <c r="Y23" i="1"/>
  <c r="Z23" i="1"/>
  <c r="AA23" i="1"/>
  <c r="AB23" i="1"/>
  <c r="AC23" i="1"/>
  <c r="AD23" i="1"/>
  <c r="AE23" i="1"/>
  <c r="AF23" i="1"/>
  <c r="AG23" i="1"/>
  <c r="AH23" i="1"/>
  <c r="AI23" i="1"/>
  <c r="AJ23" i="1"/>
  <c r="AK23" i="1"/>
  <c r="AL23" i="1"/>
  <c r="AM23" i="1"/>
  <c r="AN23" i="1"/>
  <c r="AO23" i="1"/>
  <c r="AP23" i="1"/>
  <c r="AQ23" i="1"/>
  <c r="AR23" i="1"/>
  <c r="AS23" i="1"/>
  <c r="AT23" i="1"/>
  <c r="AU23" i="1"/>
  <c r="AV23" i="1"/>
  <c r="AW23" i="1"/>
  <c r="AX23" i="1"/>
  <c r="AY23" i="1"/>
  <c r="AZ23" i="1"/>
  <c r="BA23" i="1"/>
  <c r="BB23" i="1"/>
  <c r="BC23" i="1"/>
  <c r="BD23" i="1"/>
  <c r="BE23" i="1"/>
  <c r="BF23" i="1"/>
  <c r="BG23" i="1"/>
  <c r="BH23" i="1"/>
  <c r="BI23" i="1"/>
  <c r="BJ23" i="1"/>
  <c r="BK23" i="1"/>
  <c r="BL23" i="1"/>
  <c r="BM23" i="1"/>
  <c r="BN23" i="1"/>
  <c r="BO23" i="1"/>
  <c r="BP23" i="1"/>
  <c r="BQ23" i="1"/>
  <c r="BR23" i="1"/>
  <c r="BS23" i="1"/>
  <c r="BT23" i="1"/>
  <c r="BU23" i="1"/>
  <c r="BV23" i="1"/>
  <c r="BW23" i="1"/>
  <c r="BX23" i="1"/>
  <c r="BY23" i="1"/>
  <c r="BZ23" i="1"/>
  <c r="CA23" i="1"/>
  <c r="CB23" i="1"/>
  <c r="CC23" i="1"/>
  <c r="CD23" i="1"/>
  <c r="H24" i="1"/>
  <c r="I24" i="1"/>
  <c r="J24" i="1"/>
  <c r="K24" i="1"/>
  <c r="L24" i="1"/>
  <c r="M24" i="1"/>
  <c r="N24" i="1"/>
  <c r="O24" i="1"/>
  <c r="P24" i="1"/>
  <c r="Q24" i="1"/>
  <c r="R24" i="1"/>
  <c r="S24" i="1"/>
  <c r="T24" i="1"/>
  <c r="U24" i="1"/>
  <c r="V24" i="1"/>
  <c r="W24" i="1"/>
  <c r="X24" i="1"/>
  <c r="Y24" i="1"/>
  <c r="Z24" i="1"/>
  <c r="AA24" i="1"/>
  <c r="AB24" i="1"/>
  <c r="AC24" i="1"/>
  <c r="AD24" i="1"/>
  <c r="AE24" i="1"/>
  <c r="AF24" i="1"/>
  <c r="AG24" i="1"/>
  <c r="AH24" i="1"/>
  <c r="AI24" i="1"/>
  <c r="AJ24" i="1"/>
  <c r="AK24" i="1"/>
  <c r="AL24" i="1"/>
  <c r="AM24" i="1"/>
  <c r="AN24" i="1"/>
  <c r="AO24" i="1"/>
  <c r="AP24" i="1"/>
  <c r="AQ24" i="1"/>
  <c r="AR24" i="1"/>
  <c r="AS24" i="1"/>
  <c r="AT24" i="1"/>
  <c r="AU24" i="1"/>
  <c r="AV24" i="1"/>
  <c r="AW24" i="1"/>
  <c r="AX24" i="1"/>
  <c r="AY24" i="1"/>
  <c r="AZ24" i="1"/>
  <c r="BA24" i="1"/>
  <c r="BB24" i="1"/>
  <c r="BC24" i="1"/>
  <c r="BD24" i="1"/>
  <c r="BE24" i="1"/>
  <c r="BF24" i="1"/>
  <c r="BG24" i="1"/>
  <c r="BH24" i="1"/>
  <c r="BI24" i="1"/>
  <c r="BJ24" i="1"/>
  <c r="BK24" i="1"/>
  <c r="BL24" i="1"/>
  <c r="BM24" i="1"/>
  <c r="BN24" i="1"/>
  <c r="BO24" i="1"/>
  <c r="BP24" i="1"/>
  <c r="BQ24" i="1"/>
  <c r="BR24" i="1"/>
  <c r="BS24" i="1"/>
  <c r="BT24" i="1"/>
  <c r="BU24" i="1"/>
  <c r="BV24" i="1"/>
  <c r="BW24" i="1"/>
  <c r="BX24" i="1"/>
  <c r="BY24" i="1"/>
  <c r="BZ24" i="1"/>
  <c r="CA24" i="1"/>
  <c r="CB24" i="1"/>
  <c r="CC24" i="1"/>
  <c r="CD24" i="1"/>
  <c r="H25" i="1"/>
  <c r="I25" i="1"/>
  <c r="J25" i="1"/>
  <c r="K25" i="1"/>
  <c r="L25" i="1"/>
  <c r="M25" i="1"/>
  <c r="N25" i="1"/>
  <c r="O25" i="1"/>
  <c r="P25" i="1"/>
  <c r="Q25" i="1"/>
  <c r="R25" i="1"/>
  <c r="S25" i="1"/>
  <c r="T25" i="1"/>
  <c r="U25" i="1"/>
  <c r="V25" i="1"/>
  <c r="W25" i="1"/>
  <c r="X25" i="1"/>
  <c r="Y25" i="1"/>
  <c r="Z25" i="1"/>
  <c r="AA25" i="1"/>
  <c r="AB25" i="1"/>
  <c r="AC25" i="1"/>
  <c r="AD25" i="1"/>
  <c r="AE25" i="1"/>
  <c r="AF25" i="1"/>
  <c r="AG25" i="1"/>
  <c r="AH25" i="1"/>
  <c r="AI25" i="1"/>
  <c r="AJ25" i="1"/>
  <c r="AK25" i="1"/>
  <c r="AL25" i="1"/>
  <c r="AM25" i="1"/>
  <c r="AN25" i="1"/>
  <c r="AO25" i="1"/>
  <c r="AP25" i="1"/>
  <c r="AQ25" i="1"/>
  <c r="AR25" i="1"/>
  <c r="AS25" i="1"/>
  <c r="AT25" i="1"/>
  <c r="AU25" i="1"/>
  <c r="AV25" i="1"/>
  <c r="AW25" i="1"/>
  <c r="AX25" i="1"/>
  <c r="AY25" i="1"/>
  <c r="AZ25" i="1"/>
  <c r="BA25" i="1"/>
  <c r="BB25" i="1"/>
  <c r="BC25" i="1"/>
  <c r="BD25" i="1"/>
  <c r="BE25" i="1"/>
  <c r="BF25" i="1"/>
  <c r="BG25" i="1"/>
  <c r="BH25" i="1"/>
  <c r="BI25" i="1"/>
  <c r="BJ25" i="1"/>
  <c r="BK25" i="1"/>
  <c r="BL25" i="1"/>
  <c r="BM25" i="1"/>
  <c r="BN25" i="1"/>
  <c r="BO25" i="1"/>
  <c r="BP25" i="1"/>
  <c r="BQ25" i="1"/>
  <c r="BR25" i="1"/>
  <c r="BS25" i="1"/>
  <c r="BT25" i="1"/>
  <c r="BU25" i="1"/>
  <c r="BV25" i="1"/>
  <c r="BW25" i="1"/>
  <c r="BX25" i="1"/>
  <c r="BY25" i="1"/>
  <c r="BZ25" i="1"/>
  <c r="CA25" i="1"/>
  <c r="CB25" i="1"/>
  <c r="CC25" i="1"/>
  <c r="CD25" i="1"/>
  <c r="H26" i="1"/>
  <c r="I26" i="1"/>
  <c r="J26" i="1"/>
  <c r="K26" i="1"/>
  <c r="L26" i="1"/>
  <c r="M26" i="1"/>
  <c r="N26" i="1"/>
  <c r="O26" i="1"/>
  <c r="P26" i="1"/>
  <c r="Q26" i="1"/>
  <c r="R26" i="1"/>
  <c r="S26" i="1"/>
  <c r="T26" i="1"/>
  <c r="U26" i="1"/>
  <c r="V26" i="1"/>
  <c r="W26" i="1"/>
  <c r="X26" i="1"/>
  <c r="Y26" i="1"/>
  <c r="Z26" i="1"/>
  <c r="AA26" i="1"/>
  <c r="AB26" i="1"/>
  <c r="AC26" i="1"/>
  <c r="AD26" i="1"/>
  <c r="AE26" i="1"/>
  <c r="AF26" i="1"/>
  <c r="AG26" i="1"/>
  <c r="AH26" i="1"/>
  <c r="AI26" i="1"/>
  <c r="AJ26" i="1"/>
  <c r="AK26" i="1"/>
  <c r="AL26" i="1"/>
  <c r="AM26" i="1"/>
  <c r="AN26" i="1"/>
  <c r="AO26" i="1"/>
  <c r="AP26" i="1"/>
  <c r="AQ26" i="1"/>
  <c r="AR26" i="1"/>
  <c r="AS26" i="1"/>
  <c r="AT26" i="1"/>
  <c r="AU26" i="1"/>
  <c r="AV26" i="1"/>
  <c r="AW26" i="1"/>
  <c r="AX26" i="1"/>
  <c r="AY26" i="1"/>
  <c r="AZ26" i="1"/>
  <c r="BA26" i="1"/>
  <c r="BB26" i="1"/>
  <c r="BC26" i="1"/>
  <c r="BD26" i="1"/>
  <c r="BE26" i="1"/>
  <c r="BF26" i="1"/>
  <c r="BG26" i="1"/>
  <c r="BH26" i="1"/>
  <c r="BI26" i="1"/>
  <c r="BJ26" i="1"/>
  <c r="BK26" i="1"/>
  <c r="BL26" i="1"/>
  <c r="BM26" i="1"/>
  <c r="BN26" i="1"/>
  <c r="BO26" i="1"/>
  <c r="BP26" i="1"/>
  <c r="BQ26" i="1"/>
  <c r="BR26" i="1"/>
  <c r="BS26" i="1"/>
  <c r="BT26" i="1"/>
  <c r="BU26" i="1"/>
  <c r="BV26" i="1"/>
  <c r="BW26" i="1"/>
  <c r="BX26" i="1"/>
  <c r="BY26" i="1"/>
  <c r="BZ26" i="1"/>
  <c r="CA26" i="1"/>
  <c r="CB26" i="1"/>
  <c r="CC26" i="1"/>
  <c r="CD26" i="1"/>
  <c r="H27" i="1"/>
  <c r="I27" i="1"/>
  <c r="J27" i="1"/>
  <c r="K27" i="1"/>
  <c r="L27" i="1"/>
  <c r="M27" i="1"/>
  <c r="N27" i="1"/>
  <c r="O27" i="1"/>
  <c r="P27" i="1"/>
  <c r="Q27" i="1"/>
  <c r="R27" i="1"/>
  <c r="S27" i="1"/>
  <c r="T27" i="1"/>
  <c r="U27" i="1"/>
  <c r="V27" i="1"/>
  <c r="W27" i="1"/>
  <c r="X27" i="1"/>
  <c r="Y27" i="1"/>
  <c r="Z27" i="1"/>
  <c r="AA27" i="1"/>
  <c r="AB27" i="1"/>
  <c r="AC27" i="1"/>
  <c r="AD27" i="1"/>
  <c r="AE27" i="1"/>
  <c r="AF27" i="1"/>
  <c r="AG27" i="1"/>
  <c r="AH27" i="1"/>
  <c r="AI27" i="1"/>
  <c r="AJ27" i="1"/>
  <c r="AK27" i="1"/>
  <c r="AL27" i="1"/>
  <c r="AM27" i="1"/>
  <c r="AN27" i="1"/>
  <c r="AO27" i="1"/>
  <c r="AP27" i="1"/>
  <c r="AQ27" i="1"/>
  <c r="AR27" i="1"/>
  <c r="AS27" i="1"/>
  <c r="AT27" i="1"/>
  <c r="AU27" i="1"/>
  <c r="AV27" i="1"/>
  <c r="AW27" i="1"/>
  <c r="AX27" i="1"/>
  <c r="AY27" i="1"/>
  <c r="AZ27" i="1"/>
  <c r="BA27" i="1"/>
  <c r="BB27" i="1"/>
  <c r="BC27" i="1"/>
  <c r="BD27" i="1"/>
  <c r="BE27" i="1"/>
  <c r="BF27" i="1"/>
  <c r="BG27" i="1"/>
  <c r="BH27" i="1"/>
  <c r="BI27" i="1"/>
  <c r="BJ27" i="1"/>
  <c r="BK27" i="1"/>
  <c r="BL27" i="1"/>
  <c r="BM27" i="1"/>
  <c r="BN27" i="1"/>
  <c r="BO27" i="1"/>
  <c r="BP27" i="1"/>
  <c r="BQ27" i="1"/>
  <c r="BR27" i="1"/>
  <c r="BS27" i="1"/>
  <c r="BT27" i="1"/>
  <c r="BU27" i="1"/>
  <c r="BV27" i="1"/>
  <c r="BW27" i="1"/>
  <c r="BX27" i="1"/>
  <c r="BY27" i="1"/>
  <c r="BZ27" i="1"/>
  <c r="CA27" i="1"/>
  <c r="CB27" i="1"/>
  <c r="CC27" i="1"/>
  <c r="CD27" i="1"/>
  <c r="H28" i="1"/>
  <c r="I28" i="1"/>
  <c r="J28" i="1"/>
  <c r="K28" i="1"/>
  <c r="L28" i="1"/>
  <c r="M28" i="1"/>
  <c r="N28" i="1"/>
  <c r="O28" i="1"/>
  <c r="P28" i="1"/>
  <c r="Q28" i="1"/>
  <c r="R28" i="1"/>
  <c r="S28" i="1"/>
  <c r="T28" i="1"/>
  <c r="U28" i="1"/>
  <c r="V28" i="1"/>
  <c r="W28" i="1"/>
  <c r="X28" i="1"/>
  <c r="Y28" i="1"/>
  <c r="Z28" i="1"/>
  <c r="AA28" i="1"/>
  <c r="AB28" i="1"/>
  <c r="AC28" i="1"/>
  <c r="AD28" i="1"/>
  <c r="AE28" i="1"/>
  <c r="AF28" i="1"/>
  <c r="AG28" i="1"/>
  <c r="AH28" i="1"/>
  <c r="AI28" i="1"/>
  <c r="AJ28" i="1"/>
  <c r="AK28" i="1"/>
  <c r="AL28" i="1"/>
  <c r="AM28" i="1"/>
  <c r="AN28" i="1"/>
  <c r="AO28" i="1"/>
  <c r="AP28" i="1"/>
  <c r="AQ28" i="1"/>
  <c r="AR28" i="1"/>
  <c r="AS28" i="1"/>
  <c r="AT28" i="1"/>
  <c r="AU28" i="1"/>
  <c r="AV28" i="1"/>
  <c r="AW28" i="1"/>
  <c r="AX28" i="1"/>
  <c r="AY28" i="1"/>
  <c r="AZ28" i="1"/>
  <c r="BA28" i="1"/>
  <c r="BB28" i="1"/>
  <c r="BC28" i="1"/>
  <c r="BD28" i="1"/>
  <c r="BE28" i="1"/>
  <c r="BF28" i="1"/>
  <c r="BG28" i="1"/>
  <c r="BH28" i="1"/>
  <c r="BI28" i="1"/>
  <c r="BJ28" i="1"/>
  <c r="BK28" i="1"/>
  <c r="BL28" i="1"/>
  <c r="BM28" i="1"/>
  <c r="BN28" i="1"/>
  <c r="BO28" i="1"/>
  <c r="BP28" i="1"/>
  <c r="BQ28" i="1"/>
  <c r="BR28" i="1"/>
  <c r="BS28" i="1"/>
  <c r="BT28" i="1"/>
  <c r="BU28" i="1"/>
  <c r="BV28" i="1"/>
  <c r="BW28" i="1"/>
  <c r="BX28" i="1"/>
  <c r="BY28" i="1"/>
  <c r="BZ28" i="1"/>
  <c r="CA28" i="1"/>
  <c r="CB28" i="1"/>
  <c r="CC28" i="1"/>
  <c r="CD28" i="1"/>
  <c r="H29" i="1"/>
  <c r="I29" i="1"/>
  <c r="J29" i="1"/>
  <c r="K29" i="1"/>
  <c r="L29" i="1"/>
  <c r="M29" i="1"/>
  <c r="N29" i="1"/>
  <c r="O29" i="1"/>
  <c r="P29" i="1"/>
  <c r="Q29" i="1"/>
  <c r="R29" i="1"/>
  <c r="S29" i="1"/>
  <c r="T29" i="1"/>
  <c r="U29" i="1"/>
  <c r="V29" i="1"/>
  <c r="W29" i="1"/>
  <c r="X29" i="1"/>
  <c r="Y29" i="1"/>
  <c r="Z29" i="1"/>
  <c r="AA29" i="1"/>
  <c r="AB29" i="1"/>
  <c r="AC29" i="1"/>
  <c r="AD29" i="1"/>
  <c r="AE29" i="1"/>
  <c r="AF29" i="1"/>
  <c r="AG29" i="1"/>
  <c r="AH29" i="1"/>
  <c r="AI29" i="1"/>
  <c r="AJ29" i="1"/>
  <c r="AK29" i="1"/>
  <c r="AL29" i="1"/>
  <c r="AM29" i="1"/>
  <c r="AN29" i="1"/>
  <c r="AO29" i="1"/>
  <c r="AP29" i="1"/>
  <c r="AQ29" i="1"/>
  <c r="AR29" i="1"/>
  <c r="AS29" i="1"/>
  <c r="AT29" i="1"/>
  <c r="AU29" i="1"/>
  <c r="AV29" i="1"/>
  <c r="AW29" i="1"/>
  <c r="AX29" i="1"/>
  <c r="AY29" i="1"/>
  <c r="AZ29" i="1"/>
  <c r="BA29" i="1"/>
  <c r="BB29" i="1"/>
  <c r="BC29" i="1"/>
  <c r="BD29" i="1"/>
  <c r="BE29" i="1"/>
  <c r="BF29" i="1"/>
  <c r="BG29" i="1"/>
  <c r="BH29" i="1"/>
  <c r="BI29" i="1"/>
  <c r="BJ29" i="1"/>
  <c r="BK29" i="1"/>
  <c r="BL29" i="1"/>
  <c r="BM29" i="1"/>
  <c r="BN29" i="1"/>
  <c r="BO29" i="1"/>
  <c r="BP29" i="1"/>
  <c r="BQ29" i="1"/>
  <c r="BR29" i="1"/>
  <c r="BS29" i="1"/>
  <c r="BT29" i="1"/>
  <c r="BU29" i="1"/>
  <c r="BV29" i="1"/>
  <c r="BW29" i="1"/>
  <c r="BX29" i="1"/>
  <c r="BY29" i="1"/>
  <c r="BZ29" i="1"/>
  <c r="CA29" i="1"/>
  <c r="CB29" i="1"/>
  <c r="CC29" i="1"/>
  <c r="CD29" i="1"/>
  <c r="H30" i="1"/>
  <c r="I30" i="1"/>
  <c r="J30" i="1"/>
  <c r="K30" i="1"/>
  <c r="L30" i="1"/>
  <c r="M30" i="1"/>
  <c r="N30" i="1"/>
  <c r="O30" i="1"/>
  <c r="P30" i="1"/>
  <c r="Q30" i="1"/>
  <c r="R30" i="1"/>
  <c r="S30" i="1"/>
  <c r="T30" i="1"/>
  <c r="U30" i="1"/>
  <c r="V30" i="1"/>
  <c r="W30" i="1"/>
  <c r="X30" i="1"/>
  <c r="Y30" i="1"/>
  <c r="Z30" i="1"/>
  <c r="AA30" i="1"/>
  <c r="AB30" i="1"/>
  <c r="AC30" i="1"/>
  <c r="AD30" i="1"/>
  <c r="AE30" i="1"/>
  <c r="AF30" i="1"/>
  <c r="AG30" i="1"/>
  <c r="AH30" i="1"/>
  <c r="AI30" i="1"/>
  <c r="AJ30" i="1"/>
  <c r="AK30" i="1"/>
  <c r="AL30" i="1"/>
  <c r="AM30" i="1"/>
  <c r="AN30" i="1"/>
  <c r="AO30" i="1"/>
  <c r="AP30" i="1"/>
  <c r="AQ30" i="1"/>
  <c r="AR30" i="1"/>
  <c r="AS30" i="1"/>
  <c r="AT30" i="1"/>
  <c r="AU30" i="1"/>
  <c r="AV30" i="1"/>
  <c r="AW30" i="1"/>
  <c r="AX30" i="1"/>
  <c r="AY30" i="1"/>
  <c r="AZ30" i="1"/>
  <c r="BA30" i="1"/>
  <c r="BB30" i="1"/>
  <c r="BC30" i="1"/>
  <c r="BD30" i="1"/>
  <c r="BE30" i="1"/>
  <c r="BF30" i="1"/>
  <c r="BG30" i="1"/>
  <c r="BH30" i="1"/>
  <c r="BI30" i="1"/>
  <c r="BJ30" i="1"/>
  <c r="BK30" i="1"/>
  <c r="BL30" i="1"/>
  <c r="BM30" i="1"/>
  <c r="BN30" i="1"/>
  <c r="BO30" i="1"/>
  <c r="BP30" i="1"/>
  <c r="BQ30" i="1"/>
  <c r="BR30" i="1"/>
  <c r="BS30" i="1"/>
  <c r="BT30" i="1"/>
  <c r="BU30" i="1"/>
  <c r="BV30" i="1"/>
  <c r="BW30" i="1"/>
  <c r="BX30" i="1"/>
  <c r="BY30" i="1"/>
  <c r="BZ30" i="1"/>
  <c r="CA30" i="1"/>
  <c r="CB30" i="1"/>
  <c r="CC30" i="1"/>
  <c r="CD30" i="1"/>
  <c r="H31" i="1"/>
  <c r="I31" i="1"/>
  <c r="J31" i="1"/>
  <c r="K31" i="1"/>
  <c r="L31" i="1"/>
  <c r="M31" i="1"/>
  <c r="N31" i="1"/>
  <c r="O31" i="1"/>
  <c r="P31" i="1"/>
  <c r="Q31" i="1"/>
  <c r="R31" i="1"/>
  <c r="S31" i="1"/>
  <c r="T31" i="1"/>
  <c r="U31" i="1"/>
  <c r="V31" i="1"/>
  <c r="W31" i="1"/>
  <c r="X31" i="1"/>
  <c r="Y31" i="1"/>
  <c r="Z31" i="1"/>
  <c r="AA31" i="1"/>
  <c r="AB31" i="1"/>
  <c r="AC31" i="1"/>
  <c r="AD31" i="1"/>
  <c r="AE31" i="1"/>
  <c r="AF31" i="1"/>
  <c r="AG31" i="1"/>
  <c r="AH31" i="1"/>
  <c r="AI31" i="1"/>
  <c r="AJ31" i="1"/>
  <c r="AK31" i="1"/>
  <c r="AL31" i="1"/>
  <c r="AM31" i="1"/>
  <c r="AN31" i="1"/>
  <c r="AO31" i="1"/>
  <c r="AP31" i="1"/>
  <c r="AQ31" i="1"/>
  <c r="AR31" i="1"/>
  <c r="AS31" i="1"/>
  <c r="AT31" i="1"/>
  <c r="AU31" i="1"/>
  <c r="AV31" i="1"/>
  <c r="AW31" i="1"/>
  <c r="AX31" i="1"/>
  <c r="AY31" i="1"/>
  <c r="AZ31" i="1"/>
  <c r="BA31" i="1"/>
  <c r="BB31" i="1"/>
  <c r="BC31" i="1"/>
  <c r="BD31" i="1"/>
  <c r="BE31" i="1"/>
  <c r="BF31" i="1"/>
  <c r="BG31" i="1"/>
  <c r="BH31" i="1"/>
  <c r="BI31" i="1"/>
  <c r="BJ31" i="1"/>
  <c r="BK31" i="1"/>
  <c r="BL31" i="1"/>
  <c r="BM31" i="1"/>
  <c r="BN31" i="1"/>
  <c r="BO31" i="1"/>
  <c r="BP31" i="1"/>
  <c r="BQ31" i="1"/>
  <c r="BR31" i="1"/>
  <c r="BS31" i="1"/>
  <c r="BT31" i="1"/>
  <c r="BU31" i="1"/>
  <c r="BV31" i="1"/>
  <c r="BW31" i="1"/>
  <c r="BX31" i="1"/>
  <c r="BY31" i="1"/>
  <c r="BZ31" i="1"/>
  <c r="CA31" i="1"/>
  <c r="CB31" i="1"/>
  <c r="CC31" i="1"/>
  <c r="CD31" i="1"/>
  <c r="H32" i="1"/>
  <c r="I32" i="1"/>
  <c r="J32" i="1"/>
  <c r="K32" i="1"/>
  <c r="L32" i="1"/>
  <c r="M32" i="1"/>
  <c r="N32" i="1"/>
  <c r="O32" i="1"/>
  <c r="P32" i="1"/>
  <c r="Q32" i="1"/>
  <c r="R32" i="1"/>
  <c r="S32" i="1"/>
  <c r="T32" i="1"/>
  <c r="U32" i="1"/>
  <c r="V32" i="1"/>
  <c r="W32" i="1"/>
  <c r="X32" i="1"/>
  <c r="Y32" i="1"/>
  <c r="Z32" i="1"/>
  <c r="AA32" i="1"/>
  <c r="AB32" i="1"/>
  <c r="AC32" i="1"/>
  <c r="AD32" i="1"/>
  <c r="AE32" i="1"/>
  <c r="AF32" i="1"/>
  <c r="AG32" i="1"/>
  <c r="AH32" i="1"/>
  <c r="AI32" i="1"/>
  <c r="AJ32" i="1"/>
  <c r="AK32" i="1"/>
  <c r="AL32" i="1"/>
  <c r="AM32" i="1"/>
  <c r="AN32" i="1"/>
  <c r="AO32" i="1"/>
  <c r="AP32" i="1"/>
  <c r="AQ32" i="1"/>
  <c r="AR32" i="1"/>
  <c r="AS32" i="1"/>
  <c r="AT32" i="1"/>
  <c r="AU32" i="1"/>
  <c r="AV32" i="1"/>
  <c r="AW32" i="1"/>
  <c r="AX32" i="1"/>
  <c r="AY32" i="1"/>
  <c r="AZ32" i="1"/>
  <c r="BA32" i="1"/>
  <c r="BB32" i="1"/>
  <c r="BC32" i="1"/>
  <c r="BD32" i="1"/>
  <c r="BE32" i="1"/>
  <c r="BF32" i="1"/>
  <c r="BG32" i="1"/>
  <c r="BH32" i="1"/>
  <c r="BI32" i="1"/>
  <c r="BJ32" i="1"/>
  <c r="BK32" i="1"/>
  <c r="BL32" i="1"/>
  <c r="BM32" i="1"/>
  <c r="BN32" i="1"/>
  <c r="BO32" i="1"/>
  <c r="BP32" i="1"/>
  <c r="BQ32" i="1"/>
  <c r="BR32" i="1"/>
  <c r="BS32" i="1"/>
  <c r="BT32" i="1"/>
  <c r="BU32" i="1"/>
  <c r="BV32" i="1"/>
  <c r="BW32" i="1"/>
  <c r="BX32" i="1"/>
  <c r="BY32" i="1"/>
  <c r="BZ32" i="1"/>
  <c r="CA32" i="1"/>
  <c r="CB32" i="1"/>
  <c r="CC32" i="1"/>
  <c r="CD32" i="1"/>
  <c r="H33" i="1"/>
  <c r="I33" i="1"/>
  <c r="J33" i="1"/>
  <c r="K33" i="1"/>
  <c r="L33" i="1"/>
  <c r="M33" i="1"/>
  <c r="N33" i="1"/>
  <c r="O33" i="1"/>
  <c r="P33" i="1"/>
  <c r="Q33" i="1"/>
  <c r="R33" i="1"/>
  <c r="S33" i="1"/>
  <c r="T33" i="1"/>
  <c r="U33" i="1"/>
  <c r="V33" i="1"/>
  <c r="W33" i="1"/>
  <c r="X33" i="1"/>
  <c r="Y33" i="1"/>
  <c r="Z33" i="1"/>
  <c r="AA33" i="1"/>
  <c r="AB33" i="1"/>
  <c r="AC33" i="1"/>
  <c r="AD33" i="1"/>
  <c r="AE33" i="1"/>
  <c r="AF33" i="1"/>
  <c r="AG33" i="1"/>
  <c r="AH33" i="1"/>
  <c r="AI33" i="1"/>
  <c r="AJ33" i="1"/>
  <c r="AK33" i="1"/>
  <c r="AL33" i="1"/>
  <c r="AM33" i="1"/>
  <c r="AN33" i="1"/>
  <c r="AO33" i="1"/>
  <c r="AP33" i="1"/>
  <c r="AQ33" i="1"/>
  <c r="AR33" i="1"/>
  <c r="AS33" i="1"/>
  <c r="AT33" i="1"/>
  <c r="AU33" i="1"/>
  <c r="AV33" i="1"/>
  <c r="AW33" i="1"/>
  <c r="AX33" i="1"/>
  <c r="AY33" i="1"/>
  <c r="AZ33" i="1"/>
  <c r="BA33" i="1"/>
  <c r="BB33" i="1"/>
  <c r="BC33" i="1"/>
  <c r="BD33" i="1"/>
  <c r="BE33" i="1"/>
  <c r="BF33" i="1"/>
  <c r="BG33" i="1"/>
  <c r="BH33" i="1"/>
  <c r="BI33" i="1"/>
  <c r="BJ33" i="1"/>
  <c r="BK33" i="1"/>
  <c r="BL33" i="1"/>
  <c r="BM33" i="1"/>
  <c r="BN33" i="1"/>
  <c r="BO33" i="1"/>
  <c r="BP33" i="1"/>
  <c r="BQ33" i="1"/>
  <c r="BR33" i="1"/>
  <c r="BS33" i="1"/>
  <c r="BT33" i="1"/>
  <c r="BU33" i="1"/>
  <c r="BV33" i="1"/>
  <c r="BW33" i="1"/>
  <c r="BX33" i="1"/>
  <c r="BY33" i="1"/>
  <c r="BZ33" i="1"/>
  <c r="CA33" i="1"/>
  <c r="CB33" i="1"/>
  <c r="CC33" i="1"/>
  <c r="CD33" i="1"/>
  <c r="H34" i="1"/>
  <c r="I34" i="1"/>
  <c r="J34" i="1"/>
  <c r="K34" i="1"/>
  <c r="L34" i="1"/>
  <c r="M34" i="1"/>
  <c r="N34" i="1"/>
  <c r="O34" i="1"/>
  <c r="P34" i="1"/>
  <c r="Q34" i="1"/>
  <c r="R34" i="1"/>
  <c r="S34" i="1"/>
  <c r="T34" i="1"/>
  <c r="U34" i="1"/>
  <c r="V34" i="1"/>
  <c r="W34" i="1"/>
  <c r="X34" i="1"/>
  <c r="Y34" i="1"/>
  <c r="Z34" i="1"/>
  <c r="AA34" i="1"/>
  <c r="AB34" i="1"/>
  <c r="AC34" i="1"/>
  <c r="AD34" i="1"/>
  <c r="AE34" i="1"/>
  <c r="AF34" i="1"/>
  <c r="AG34" i="1"/>
  <c r="AH34" i="1"/>
  <c r="AI34" i="1"/>
  <c r="AJ34" i="1"/>
  <c r="AK34" i="1"/>
  <c r="AL34" i="1"/>
  <c r="AM34" i="1"/>
  <c r="AN34" i="1"/>
  <c r="AO34" i="1"/>
  <c r="AP34" i="1"/>
  <c r="AQ34" i="1"/>
  <c r="AR34" i="1"/>
  <c r="AS34" i="1"/>
  <c r="AT34" i="1"/>
  <c r="AU34" i="1"/>
  <c r="AV34" i="1"/>
  <c r="AW34" i="1"/>
  <c r="AX34" i="1"/>
  <c r="AY34" i="1"/>
  <c r="AZ34" i="1"/>
  <c r="BA34" i="1"/>
  <c r="BB34" i="1"/>
  <c r="BC34" i="1"/>
  <c r="BD34" i="1"/>
  <c r="BE34" i="1"/>
  <c r="BF34" i="1"/>
  <c r="BG34" i="1"/>
  <c r="BH34" i="1"/>
  <c r="BI34" i="1"/>
  <c r="BJ34" i="1"/>
  <c r="BK34" i="1"/>
  <c r="BL34" i="1"/>
  <c r="BM34" i="1"/>
  <c r="BN34" i="1"/>
  <c r="BO34" i="1"/>
  <c r="BP34" i="1"/>
  <c r="BQ34" i="1"/>
  <c r="BR34" i="1"/>
  <c r="BS34" i="1"/>
  <c r="BT34" i="1"/>
  <c r="BU34" i="1"/>
  <c r="BV34" i="1"/>
  <c r="BW34" i="1"/>
  <c r="BX34" i="1"/>
  <c r="BY34" i="1"/>
  <c r="BZ34" i="1"/>
  <c r="CA34" i="1"/>
  <c r="CB34" i="1"/>
  <c r="CC34" i="1"/>
  <c r="CD34" i="1"/>
  <c r="H35" i="1"/>
  <c r="I35" i="1"/>
  <c r="J35" i="1"/>
  <c r="K35" i="1"/>
  <c r="L35" i="1"/>
  <c r="M35" i="1"/>
  <c r="N35" i="1"/>
  <c r="O35" i="1"/>
  <c r="P35" i="1"/>
  <c r="Q35" i="1"/>
  <c r="R35" i="1"/>
  <c r="S35" i="1"/>
  <c r="T35" i="1"/>
  <c r="U35" i="1"/>
  <c r="V35" i="1"/>
  <c r="W35" i="1"/>
  <c r="X35" i="1"/>
  <c r="Y35" i="1"/>
  <c r="Z35" i="1"/>
  <c r="AA35" i="1"/>
  <c r="AB35" i="1"/>
  <c r="AC35" i="1"/>
  <c r="AD35" i="1"/>
  <c r="AE35" i="1"/>
  <c r="AF35" i="1"/>
  <c r="AG35" i="1"/>
  <c r="AH35" i="1"/>
  <c r="AI35" i="1"/>
  <c r="AJ35" i="1"/>
  <c r="AK35" i="1"/>
  <c r="AL35" i="1"/>
  <c r="AM35" i="1"/>
  <c r="AN35" i="1"/>
  <c r="AO35" i="1"/>
  <c r="AP35" i="1"/>
  <c r="AQ35" i="1"/>
  <c r="AR35" i="1"/>
  <c r="AS35" i="1"/>
  <c r="AT35" i="1"/>
  <c r="AU35" i="1"/>
  <c r="AV35" i="1"/>
  <c r="AW35" i="1"/>
  <c r="AX35" i="1"/>
  <c r="AY35" i="1"/>
  <c r="AZ35" i="1"/>
  <c r="BA35" i="1"/>
  <c r="BB35" i="1"/>
  <c r="BC35" i="1"/>
  <c r="BD35" i="1"/>
  <c r="BE35" i="1"/>
  <c r="BF35" i="1"/>
  <c r="BG35" i="1"/>
  <c r="BH35" i="1"/>
  <c r="BI35" i="1"/>
  <c r="BJ35" i="1"/>
  <c r="BK35" i="1"/>
  <c r="BL35" i="1"/>
  <c r="BM35" i="1"/>
  <c r="BN35" i="1"/>
  <c r="BO35" i="1"/>
  <c r="BP35" i="1"/>
  <c r="BQ35" i="1"/>
  <c r="BR35" i="1"/>
  <c r="BS35" i="1"/>
  <c r="BT35" i="1"/>
  <c r="BU35" i="1"/>
  <c r="BV35" i="1"/>
  <c r="BW35" i="1"/>
  <c r="BX35" i="1"/>
  <c r="BY35" i="1"/>
  <c r="BZ35" i="1"/>
  <c r="CA35" i="1"/>
  <c r="CB35" i="1"/>
  <c r="CC35" i="1"/>
  <c r="CD35" i="1"/>
  <c r="H36" i="1"/>
  <c r="I36" i="1"/>
  <c r="J36" i="1"/>
  <c r="K36" i="1"/>
  <c r="L36" i="1"/>
  <c r="M36" i="1"/>
  <c r="N36" i="1"/>
  <c r="O36" i="1"/>
  <c r="P36" i="1"/>
  <c r="Q36" i="1"/>
  <c r="R36" i="1"/>
  <c r="S36" i="1"/>
  <c r="T36" i="1"/>
  <c r="U36" i="1"/>
  <c r="V36" i="1"/>
  <c r="W36" i="1"/>
  <c r="X36" i="1"/>
  <c r="Y36" i="1"/>
  <c r="Z36" i="1"/>
  <c r="AA36" i="1"/>
  <c r="AB36" i="1"/>
  <c r="AC36" i="1"/>
  <c r="AD36" i="1"/>
  <c r="AE36" i="1"/>
  <c r="AF36" i="1"/>
  <c r="AG36" i="1"/>
  <c r="AH36" i="1"/>
  <c r="AI36" i="1"/>
  <c r="AJ36" i="1"/>
  <c r="AK36" i="1"/>
  <c r="AL36" i="1"/>
  <c r="AM36" i="1"/>
  <c r="AN36" i="1"/>
  <c r="AO36" i="1"/>
  <c r="AP36" i="1"/>
  <c r="AQ36" i="1"/>
  <c r="AR36" i="1"/>
  <c r="AS36" i="1"/>
  <c r="AT36" i="1"/>
  <c r="AU36" i="1"/>
  <c r="AV36" i="1"/>
  <c r="AW36" i="1"/>
  <c r="AX36" i="1"/>
  <c r="AY36" i="1"/>
  <c r="AZ36" i="1"/>
  <c r="BA36" i="1"/>
  <c r="BB36" i="1"/>
  <c r="BC36" i="1"/>
  <c r="BD36" i="1"/>
  <c r="BE36" i="1"/>
  <c r="BF36" i="1"/>
  <c r="BG36" i="1"/>
  <c r="BH36" i="1"/>
  <c r="BI36" i="1"/>
  <c r="BJ36" i="1"/>
  <c r="BK36" i="1"/>
  <c r="BL36" i="1"/>
  <c r="BM36" i="1"/>
  <c r="BN36" i="1"/>
  <c r="BO36" i="1"/>
  <c r="BP36" i="1"/>
  <c r="BQ36" i="1"/>
  <c r="BR36" i="1"/>
  <c r="BS36" i="1"/>
  <c r="BT36" i="1"/>
  <c r="BU36" i="1"/>
  <c r="BV36" i="1"/>
  <c r="BW36" i="1"/>
  <c r="BX36" i="1"/>
  <c r="BY36" i="1"/>
  <c r="BZ36" i="1"/>
  <c r="CA36" i="1"/>
  <c r="CB36" i="1"/>
  <c r="CC36" i="1"/>
  <c r="CD36" i="1"/>
  <c r="H37" i="1"/>
  <c r="I37" i="1"/>
  <c r="J37" i="1"/>
  <c r="K37" i="1"/>
  <c r="L37" i="1"/>
  <c r="M37" i="1"/>
  <c r="N37" i="1"/>
  <c r="O37" i="1"/>
  <c r="P37" i="1"/>
  <c r="Q37" i="1"/>
  <c r="R37" i="1"/>
  <c r="S37" i="1"/>
  <c r="T37" i="1"/>
  <c r="U37" i="1"/>
  <c r="V37" i="1"/>
  <c r="W37" i="1"/>
  <c r="X37" i="1"/>
  <c r="Y37" i="1"/>
  <c r="Z37" i="1"/>
  <c r="AA37" i="1"/>
  <c r="AB37" i="1"/>
  <c r="AC37" i="1"/>
  <c r="AD37" i="1"/>
  <c r="AE37" i="1"/>
  <c r="AF37" i="1"/>
  <c r="AG37" i="1"/>
  <c r="AH37" i="1"/>
  <c r="AI37" i="1"/>
  <c r="AJ37" i="1"/>
  <c r="AK37" i="1"/>
  <c r="AL37" i="1"/>
  <c r="AM37" i="1"/>
  <c r="AN37" i="1"/>
  <c r="AO37" i="1"/>
  <c r="AP37" i="1"/>
  <c r="AQ37" i="1"/>
  <c r="AR37" i="1"/>
  <c r="AS37" i="1"/>
  <c r="AT37" i="1"/>
  <c r="AU37" i="1"/>
  <c r="AV37" i="1"/>
  <c r="AW37" i="1"/>
  <c r="AX37" i="1"/>
  <c r="AY37" i="1"/>
  <c r="AZ37" i="1"/>
  <c r="BA37" i="1"/>
  <c r="BB37" i="1"/>
  <c r="BC37" i="1"/>
  <c r="BD37" i="1"/>
  <c r="BE37" i="1"/>
  <c r="BF37" i="1"/>
  <c r="BG37" i="1"/>
  <c r="BH37" i="1"/>
  <c r="BI37" i="1"/>
  <c r="BJ37" i="1"/>
  <c r="BK37" i="1"/>
  <c r="BL37" i="1"/>
  <c r="BM37" i="1"/>
  <c r="BN37" i="1"/>
  <c r="BO37" i="1"/>
  <c r="BP37" i="1"/>
  <c r="BQ37" i="1"/>
  <c r="BR37" i="1"/>
  <c r="BS37" i="1"/>
  <c r="BT37" i="1"/>
  <c r="BU37" i="1"/>
  <c r="BV37" i="1"/>
  <c r="BW37" i="1"/>
  <c r="BX37" i="1"/>
  <c r="BY37" i="1"/>
  <c r="BZ37" i="1"/>
  <c r="CA37" i="1"/>
  <c r="CB37" i="1"/>
  <c r="CC37" i="1"/>
  <c r="CD37" i="1"/>
  <c r="H38" i="1"/>
  <c r="I38" i="1"/>
  <c r="J38" i="1"/>
  <c r="K38" i="1"/>
  <c r="L38" i="1"/>
  <c r="M38" i="1"/>
  <c r="N38" i="1"/>
  <c r="O38" i="1"/>
  <c r="P38" i="1"/>
  <c r="Q38" i="1"/>
  <c r="R38" i="1"/>
  <c r="S38" i="1"/>
  <c r="T38" i="1"/>
  <c r="U38" i="1"/>
  <c r="V38" i="1"/>
  <c r="W38" i="1"/>
  <c r="X38" i="1"/>
  <c r="Y38" i="1"/>
  <c r="Z38" i="1"/>
  <c r="AA38" i="1"/>
  <c r="AB38" i="1"/>
  <c r="AC38" i="1"/>
  <c r="AD38" i="1"/>
  <c r="AE38" i="1"/>
  <c r="AF38" i="1"/>
  <c r="AG38" i="1"/>
  <c r="AH38" i="1"/>
  <c r="AI38" i="1"/>
  <c r="AJ38" i="1"/>
  <c r="AK38" i="1"/>
  <c r="AL38" i="1"/>
  <c r="AM38" i="1"/>
  <c r="AN38" i="1"/>
  <c r="AO38" i="1"/>
  <c r="AP38" i="1"/>
  <c r="AQ38" i="1"/>
  <c r="AR38" i="1"/>
  <c r="AS38" i="1"/>
  <c r="AT38" i="1"/>
  <c r="AU38" i="1"/>
  <c r="AV38" i="1"/>
  <c r="AW38" i="1"/>
  <c r="AX38" i="1"/>
  <c r="AY38" i="1"/>
  <c r="AZ38" i="1"/>
  <c r="BA38" i="1"/>
  <c r="BB38" i="1"/>
  <c r="BC38" i="1"/>
  <c r="BD38" i="1"/>
  <c r="BE38" i="1"/>
  <c r="BF38" i="1"/>
  <c r="BG38" i="1"/>
  <c r="BH38" i="1"/>
  <c r="BI38" i="1"/>
  <c r="BJ38" i="1"/>
  <c r="BK38" i="1"/>
  <c r="BL38" i="1"/>
  <c r="BM38" i="1"/>
  <c r="BN38" i="1"/>
  <c r="BO38" i="1"/>
  <c r="BP38" i="1"/>
  <c r="BQ38" i="1"/>
  <c r="BR38" i="1"/>
  <c r="BS38" i="1"/>
  <c r="BT38" i="1"/>
  <c r="BU38" i="1"/>
  <c r="BV38" i="1"/>
  <c r="BW38" i="1"/>
  <c r="BX38" i="1"/>
  <c r="BY38" i="1"/>
  <c r="BZ38" i="1"/>
  <c r="CA38" i="1"/>
  <c r="CB38" i="1"/>
  <c r="CC38" i="1"/>
  <c r="CD38" i="1"/>
  <c r="H39" i="1"/>
  <c r="I39" i="1"/>
  <c r="J39" i="1"/>
  <c r="K39" i="1"/>
  <c r="L39" i="1"/>
  <c r="M39" i="1"/>
  <c r="N39" i="1"/>
  <c r="O39" i="1"/>
  <c r="P39" i="1"/>
  <c r="Q39" i="1"/>
  <c r="R39" i="1"/>
  <c r="S39" i="1"/>
  <c r="T39" i="1"/>
  <c r="U39" i="1"/>
  <c r="V39" i="1"/>
  <c r="W39" i="1"/>
  <c r="X39" i="1"/>
  <c r="Y39" i="1"/>
  <c r="Z39" i="1"/>
  <c r="AA39" i="1"/>
  <c r="AB39" i="1"/>
  <c r="AC39" i="1"/>
  <c r="AD39" i="1"/>
  <c r="AE39" i="1"/>
  <c r="AF39" i="1"/>
  <c r="AG39" i="1"/>
  <c r="AH39" i="1"/>
  <c r="AI39" i="1"/>
  <c r="AJ39" i="1"/>
  <c r="AK39" i="1"/>
  <c r="AL39" i="1"/>
  <c r="AM39" i="1"/>
  <c r="AN39" i="1"/>
  <c r="AO39" i="1"/>
  <c r="AP39" i="1"/>
  <c r="AQ39" i="1"/>
  <c r="AR39" i="1"/>
  <c r="AS39" i="1"/>
  <c r="AT39" i="1"/>
  <c r="AU39" i="1"/>
  <c r="AV39" i="1"/>
  <c r="AW39" i="1"/>
  <c r="AX39" i="1"/>
  <c r="AY39" i="1"/>
  <c r="AZ39" i="1"/>
  <c r="BA39" i="1"/>
  <c r="BB39" i="1"/>
  <c r="BC39" i="1"/>
  <c r="BD39" i="1"/>
  <c r="BE39" i="1"/>
  <c r="BF39" i="1"/>
  <c r="BG39" i="1"/>
  <c r="BH39" i="1"/>
  <c r="BI39" i="1"/>
  <c r="BJ39" i="1"/>
  <c r="BK39" i="1"/>
  <c r="BL39" i="1"/>
  <c r="BM39" i="1"/>
  <c r="BN39" i="1"/>
  <c r="BO39" i="1"/>
  <c r="BP39" i="1"/>
  <c r="BQ39" i="1"/>
  <c r="BR39" i="1"/>
  <c r="BS39" i="1"/>
  <c r="BT39" i="1"/>
  <c r="BU39" i="1"/>
  <c r="BV39" i="1"/>
  <c r="BW39" i="1"/>
  <c r="BX39" i="1"/>
  <c r="BY39" i="1"/>
  <c r="BZ39" i="1"/>
  <c r="CA39" i="1"/>
  <c r="CB39" i="1"/>
  <c r="CC39" i="1"/>
  <c r="CD39" i="1"/>
  <c r="H40" i="1"/>
  <c r="I40" i="1"/>
  <c r="J40" i="1"/>
  <c r="K40" i="1"/>
  <c r="L40" i="1"/>
  <c r="M40" i="1"/>
  <c r="N40" i="1"/>
  <c r="O40" i="1"/>
  <c r="P40" i="1"/>
  <c r="Q40" i="1"/>
  <c r="R40" i="1"/>
  <c r="S40" i="1"/>
  <c r="T40" i="1"/>
  <c r="U40" i="1"/>
  <c r="V40" i="1"/>
  <c r="W40" i="1"/>
  <c r="X40" i="1"/>
  <c r="Y40" i="1"/>
  <c r="Z40" i="1"/>
  <c r="AA40" i="1"/>
  <c r="AB40" i="1"/>
  <c r="AC40" i="1"/>
  <c r="AD40" i="1"/>
  <c r="AE40" i="1"/>
  <c r="AF40" i="1"/>
  <c r="AG40" i="1"/>
  <c r="AH40" i="1"/>
  <c r="AI40" i="1"/>
  <c r="AJ40" i="1"/>
  <c r="AK40" i="1"/>
  <c r="AL40" i="1"/>
  <c r="AM40" i="1"/>
  <c r="AN40" i="1"/>
  <c r="AO40" i="1"/>
  <c r="AP40" i="1"/>
  <c r="AQ40" i="1"/>
  <c r="AR40" i="1"/>
  <c r="AS40" i="1"/>
  <c r="AT40" i="1"/>
  <c r="AU40" i="1"/>
  <c r="AV40" i="1"/>
  <c r="AW40" i="1"/>
  <c r="AX40" i="1"/>
  <c r="AY40" i="1"/>
  <c r="AZ40" i="1"/>
  <c r="BA40" i="1"/>
  <c r="BB40" i="1"/>
  <c r="BC40" i="1"/>
  <c r="BD40" i="1"/>
  <c r="BE40" i="1"/>
  <c r="BF40" i="1"/>
  <c r="BG40" i="1"/>
  <c r="BH40" i="1"/>
  <c r="BI40" i="1"/>
  <c r="BJ40" i="1"/>
  <c r="BK40" i="1"/>
  <c r="BL40" i="1"/>
  <c r="BM40" i="1"/>
  <c r="BN40" i="1"/>
  <c r="BO40" i="1"/>
  <c r="BP40" i="1"/>
  <c r="BQ40" i="1"/>
  <c r="BR40" i="1"/>
  <c r="BS40" i="1"/>
  <c r="BT40" i="1"/>
  <c r="BU40" i="1"/>
  <c r="BV40" i="1"/>
  <c r="BW40" i="1"/>
  <c r="BX40" i="1"/>
  <c r="BY40" i="1"/>
  <c r="BZ40" i="1"/>
  <c r="CA40" i="1"/>
  <c r="CB40" i="1"/>
  <c r="CC40" i="1"/>
  <c r="CD40" i="1"/>
  <c r="H41" i="1"/>
  <c r="I41" i="1"/>
  <c r="J41" i="1"/>
  <c r="K41" i="1"/>
  <c r="L41" i="1"/>
  <c r="M41" i="1"/>
  <c r="N41" i="1"/>
  <c r="O41" i="1"/>
  <c r="P41" i="1"/>
  <c r="Q41" i="1"/>
  <c r="R41" i="1"/>
  <c r="S41" i="1"/>
  <c r="T41" i="1"/>
  <c r="U41" i="1"/>
  <c r="V41" i="1"/>
  <c r="W41" i="1"/>
  <c r="X41" i="1"/>
  <c r="Y41" i="1"/>
  <c r="Z41" i="1"/>
  <c r="AA41" i="1"/>
  <c r="AB41" i="1"/>
  <c r="AC41" i="1"/>
  <c r="AD41" i="1"/>
  <c r="AE41" i="1"/>
  <c r="AF41" i="1"/>
  <c r="AG41" i="1"/>
  <c r="AH41" i="1"/>
  <c r="AI41" i="1"/>
  <c r="AJ41" i="1"/>
  <c r="AK41" i="1"/>
  <c r="AL41" i="1"/>
  <c r="AM41" i="1"/>
  <c r="AN41" i="1"/>
  <c r="AO41" i="1"/>
  <c r="AP41" i="1"/>
  <c r="AQ41" i="1"/>
  <c r="AR41" i="1"/>
  <c r="AS41" i="1"/>
  <c r="AT41" i="1"/>
  <c r="AU41" i="1"/>
  <c r="AV41" i="1"/>
  <c r="AW41" i="1"/>
  <c r="AX41" i="1"/>
  <c r="AY41" i="1"/>
  <c r="AZ41" i="1"/>
  <c r="BA41" i="1"/>
  <c r="BB41" i="1"/>
  <c r="BC41" i="1"/>
  <c r="BD41" i="1"/>
  <c r="BE41" i="1"/>
  <c r="BF41" i="1"/>
  <c r="BG41" i="1"/>
  <c r="BH41" i="1"/>
  <c r="BI41" i="1"/>
  <c r="BJ41" i="1"/>
  <c r="BK41" i="1"/>
  <c r="BL41" i="1"/>
  <c r="BM41" i="1"/>
  <c r="BN41" i="1"/>
  <c r="BO41" i="1"/>
  <c r="BP41" i="1"/>
  <c r="BQ41" i="1"/>
  <c r="BR41" i="1"/>
  <c r="BS41" i="1"/>
  <c r="BT41" i="1"/>
  <c r="BU41" i="1"/>
  <c r="BV41" i="1"/>
  <c r="BW41" i="1"/>
  <c r="BX41" i="1"/>
  <c r="BY41" i="1"/>
  <c r="BZ41" i="1"/>
  <c r="CA41" i="1"/>
  <c r="CB41" i="1"/>
  <c r="CC41" i="1"/>
  <c r="CD41" i="1"/>
  <c r="H42" i="1"/>
  <c r="I42" i="1"/>
  <c r="J42" i="1"/>
  <c r="K42" i="1"/>
  <c r="L42" i="1"/>
  <c r="M42" i="1"/>
  <c r="N42" i="1"/>
  <c r="O42" i="1"/>
  <c r="P42" i="1"/>
  <c r="Q42" i="1"/>
  <c r="R42" i="1"/>
  <c r="S42" i="1"/>
  <c r="T42" i="1"/>
  <c r="U42" i="1"/>
  <c r="V42" i="1"/>
  <c r="W42" i="1"/>
  <c r="X42" i="1"/>
  <c r="Y42" i="1"/>
  <c r="Z42" i="1"/>
  <c r="AA42" i="1"/>
  <c r="AB42" i="1"/>
  <c r="AC42" i="1"/>
  <c r="AD42" i="1"/>
  <c r="AE42" i="1"/>
  <c r="AF42" i="1"/>
  <c r="AG42" i="1"/>
  <c r="AH42" i="1"/>
  <c r="AI42" i="1"/>
  <c r="AJ42" i="1"/>
  <c r="AK42" i="1"/>
  <c r="AL42" i="1"/>
  <c r="AM42" i="1"/>
  <c r="AN42" i="1"/>
  <c r="AO42" i="1"/>
  <c r="AP42" i="1"/>
  <c r="AQ42" i="1"/>
  <c r="AR42" i="1"/>
  <c r="AS42" i="1"/>
  <c r="AT42" i="1"/>
  <c r="AU42" i="1"/>
  <c r="AV42" i="1"/>
  <c r="AW42" i="1"/>
  <c r="AX42" i="1"/>
  <c r="AY42" i="1"/>
  <c r="AZ42" i="1"/>
  <c r="BA42" i="1"/>
  <c r="BB42" i="1"/>
  <c r="BC42" i="1"/>
  <c r="BD42" i="1"/>
  <c r="BE42" i="1"/>
  <c r="BF42" i="1"/>
  <c r="BG42" i="1"/>
  <c r="BH42" i="1"/>
  <c r="BI42" i="1"/>
  <c r="BJ42" i="1"/>
  <c r="BK42" i="1"/>
  <c r="BL42" i="1"/>
  <c r="BM42" i="1"/>
  <c r="BN42" i="1"/>
  <c r="BO42" i="1"/>
  <c r="BP42" i="1"/>
  <c r="BQ42" i="1"/>
  <c r="BR42" i="1"/>
  <c r="BS42" i="1"/>
  <c r="BT42" i="1"/>
  <c r="BU42" i="1"/>
  <c r="BV42" i="1"/>
  <c r="BW42" i="1"/>
  <c r="BX42" i="1"/>
  <c r="BY42" i="1"/>
  <c r="BZ42" i="1"/>
  <c r="CA42" i="1"/>
  <c r="CB42" i="1"/>
  <c r="CC42" i="1"/>
  <c r="CD42" i="1"/>
  <c r="H43" i="1"/>
  <c r="I43" i="1"/>
  <c r="J43" i="1"/>
  <c r="K43" i="1"/>
  <c r="L43" i="1"/>
  <c r="M43" i="1"/>
  <c r="N43" i="1"/>
  <c r="O43" i="1"/>
  <c r="P43" i="1"/>
  <c r="Q43" i="1"/>
  <c r="R43" i="1"/>
  <c r="S43" i="1"/>
  <c r="T43" i="1"/>
  <c r="U43" i="1"/>
  <c r="V43" i="1"/>
  <c r="W43" i="1"/>
  <c r="X43" i="1"/>
  <c r="Y43" i="1"/>
  <c r="Z43" i="1"/>
  <c r="AA43" i="1"/>
  <c r="AB43" i="1"/>
  <c r="AC43" i="1"/>
  <c r="AD43" i="1"/>
  <c r="AE43" i="1"/>
  <c r="AF43" i="1"/>
  <c r="AG43" i="1"/>
  <c r="AH43" i="1"/>
  <c r="AI43" i="1"/>
  <c r="AJ43" i="1"/>
  <c r="AK43" i="1"/>
  <c r="AL43" i="1"/>
  <c r="AM43" i="1"/>
  <c r="AN43" i="1"/>
  <c r="AO43" i="1"/>
  <c r="AP43" i="1"/>
  <c r="AQ43" i="1"/>
  <c r="AR43" i="1"/>
  <c r="AS43" i="1"/>
  <c r="AT43" i="1"/>
  <c r="AU43" i="1"/>
  <c r="AV43" i="1"/>
  <c r="AW43" i="1"/>
  <c r="AX43" i="1"/>
  <c r="AY43" i="1"/>
  <c r="AZ43" i="1"/>
  <c r="BA43" i="1"/>
  <c r="BB43" i="1"/>
  <c r="BC43" i="1"/>
  <c r="BD43" i="1"/>
  <c r="BE43" i="1"/>
  <c r="BF43" i="1"/>
  <c r="BG43" i="1"/>
  <c r="BH43" i="1"/>
  <c r="BI43" i="1"/>
  <c r="BJ43" i="1"/>
  <c r="BK43" i="1"/>
  <c r="BL43" i="1"/>
  <c r="BM43" i="1"/>
  <c r="BN43" i="1"/>
  <c r="BO43" i="1"/>
  <c r="BP43" i="1"/>
  <c r="BQ43" i="1"/>
  <c r="BR43" i="1"/>
  <c r="BS43" i="1"/>
  <c r="BT43" i="1"/>
  <c r="BU43" i="1"/>
  <c r="BV43" i="1"/>
  <c r="BW43" i="1"/>
  <c r="BX43" i="1"/>
  <c r="BY43" i="1"/>
  <c r="BZ43" i="1"/>
  <c r="CA43" i="1"/>
  <c r="CB43" i="1"/>
  <c r="CC43" i="1"/>
  <c r="CD43" i="1"/>
  <c r="H44" i="1"/>
  <c r="I44" i="1"/>
  <c r="J44" i="1"/>
  <c r="K44" i="1"/>
  <c r="L44" i="1"/>
  <c r="M44" i="1"/>
  <c r="N44" i="1"/>
  <c r="O44" i="1"/>
  <c r="P44" i="1"/>
  <c r="Q44" i="1"/>
  <c r="R44" i="1"/>
  <c r="S44" i="1"/>
  <c r="T44" i="1"/>
  <c r="U44" i="1"/>
  <c r="V44" i="1"/>
  <c r="W44" i="1"/>
  <c r="X44" i="1"/>
  <c r="Y44" i="1"/>
  <c r="Z44" i="1"/>
  <c r="AA44" i="1"/>
  <c r="AB44" i="1"/>
  <c r="AC44" i="1"/>
  <c r="AD44" i="1"/>
  <c r="AE44" i="1"/>
  <c r="AF44" i="1"/>
  <c r="AG44" i="1"/>
  <c r="AH44" i="1"/>
  <c r="AI44" i="1"/>
  <c r="AJ44" i="1"/>
  <c r="AK44" i="1"/>
  <c r="AL44" i="1"/>
  <c r="AM44" i="1"/>
  <c r="AN44" i="1"/>
  <c r="AO44" i="1"/>
  <c r="AP44" i="1"/>
  <c r="AQ44" i="1"/>
  <c r="AR44" i="1"/>
  <c r="AS44" i="1"/>
  <c r="AT44" i="1"/>
  <c r="AU44" i="1"/>
  <c r="AV44" i="1"/>
  <c r="AW44" i="1"/>
  <c r="AX44" i="1"/>
  <c r="AY44" i="1"/>
  <c r="AZ44" i="1"/>
  <c r="BA44" i="1"/>
  <c r="BB44" i="1"/>
  <c r="BC44" i="1"/>
  <c r="BD44" i="1"/>
  <c r="BE44" i="1"/>
  <c r="BF44" i="1"/>
  <c r="BG44" i="1"/>
  <c r="BH44" i="1"/>
  <c r="BI44" i="1"/>
  <c r="BJ44" i="1"/>
  <c r="BK44" i="1"/>
  <c r="BL44" i="1"/>
  <c r="BM44" i="1"/>
  <c r="BN44" i="1"/>
  <c r="BO44" i="1"/>
  <c r="BP44" i="1"/>
  <c r="BQ44" i="1"/>
  <c r="BR44" i="1"/>
  <c r="BS44" i="1"/>
  <c r="BT44" i="1"/>
  <c r="BU44" i="1"/>
  <c r="BV44" i="1"/>
  <c r="BW44" i="1"/>
  <c r="BX44" i="1"/>
  <c r="BY44" i="1"/>
  <c r="BZ44" i="1"/>
  <c r="CA44" i="1"/>
  <c r="CB44" i="1"/>
  <c r="CC44" i="1"/>
  <c r="CD44" i="1"/>
  <c r="H45" i="1"/>
  <c r="I45" i="1"/>
  <c r="J45" i="1"/>
  <c r="K45" i="1"/>
  <c r="L45" i="1"/>
  <c r="M45" i="1"/>
  <c r="N45" i="1"/>
  <c r="O45" i="1"/>
  <c r="P45" i="1"/>
  <c r="Q45" i="1"/>
  <c r="R45" i="1"/>
  <c r="S45" i="1"/>
  <c r="T45" i="1"/>
  <c r="U45" i="1"/>
  <c r="V45" i="1"/>
  <c r="W45" i="1"/>
  <c r="X45" i="1"/>
  <c r="Y45" i="1"/>
  <c r="Z45" i="1"/>
  <c r="AA45" i="1"/>
  <c r="AB45" i="1"/>
  <c r="AC45" i="1"/>
  <c r="AD45" i="1"/>
  <c r="AE45" i="1"/>
  <c r="AF45" i="1"/>
  <c r="AG45" i="1"/>
  <c r="AH45" i="1"/>
  <c r="AI45" i="1"/>
  <c r="AJ45" i="1"/>
  <c r="AK45" i="1"/>
  <c r="AL45" i="1"/>
  <c r="AM45" i="1"/>
  <c r="AN45" i="1"/>
  <c r="AO45" i="1"/>
  <c r="AP45" i="1"/>
  <c r="AQ45" i="1"/>
  <c r="AR45" i="1"/>
  <c r="AS45" i="1"/>
  <c r="AT45" i="1"/>
  <c r="AU45" i="1"/>
  <c r="AV45" i="1"/>
  <c r="AW45" i="1"/>
  <c r="AX45" i="1"/>
  <c r="AY45" i="1"/>
  <c r="AZ45" i="1"/>
  <c r="BA45" i="1"/>
  <c r="BB45" i="1"/>
  <c r="BC45" i="1"/>
  <c r="BD45" i="1"/>
  <c r="BE45" i="1"/>
  <c r="BF45" i="1"/>
  <c r="BG45" i="1"/>
  <c r="BH45" i="1"/>
  <c r="BI45" i="1"/>
  <c r="BJ45" i="1"/>
  <c r="BK45" i="1"/>
  <c r="BL45" i="1"/>
  <c r="BM45" i="1"/>
  <c r="BN45" i="1"/>
  <c r="BO45" i="1"/>
  <c r="BP45" i="1"/>
  <c r="BQ45" i="1"/>
  <c r="BR45" i="1"/>
  <c r="BS45" i="1"/>
  <c r="BT45" i="1"/>
  <c r="BU45" i="1"/>
  <c r="BV45" i="1"/>
  <c r="BW45" i="1"/>
  <c r="BX45" i="1"/>
  <c r="BY45" i="1"/>
  <c r="BZ45" i="1"/>
  <c r="CA45" i="1"/>
  <c r="CB45" i="1"/>
  <c r="CC45" i="1"/>
  <c r="CD45" i="1"/>
  <c r="H46" i="1"/>
  <c r="I46" i="1"/>
  <c r="J46" i="1"/>
  <c r="K46" i="1"/>
  <c r="L46" i="1"/>
  <c r="M46" i="1"/>
  <c r="N46" i="1"/>
  <c r="O46" i="1"/>
  <c r="P46" i="1"/>
  <c r="Q46" i="1"/>
  <c r="R46" i="1"/>
  <c r="S46" i="1"/>
  <c r="T46" i="1"/>
  <c r="U46" i="1"/>
  <c r="V46" i="1"/>
  <c r="W46" i="1"/>
  <c r="X46" i="1"/>
  <c r="Y46" i="1"/>
  <c r="Z46" i="1"/>
  <c r="AA46" i="1"/>
  <c r="AB46" i="1"/>
  <c r="AC46" i="1"/>
  <c r="AD46" i="1"/>
  <c r="AE46" i="1"/>
  <c r="AF46" i="1"/>
  <c r="AG46" i="1"/>
  <c r="AH46" i="1"/>
  <c r="AI46" i="1"/>
  <c r="AJ46" i="1"/>
  <c r="AK46" i="1"/>
  <c r="AL46" i="1"/>
  <c r="AM46" i="1"/>
  <c r="AN46" i="1"/>
  <c r="AO46" i="1"/>
  <c r="AP46" i="1"/>
  <c r="AQ46" i="1"/>
  <c r="AR46" i="1"/>
  <c r="AS46" i="1"/>
  <c r="AT46" i="1"/>
  <c r="AU46" i="1"/>
  <c r="AV46" i="1"/>
  <c r="AW46" i="1"/>
  <c r="AX46" i="1"/>
  <c r="AY46" i="1"/>
  <c r="AZ46" i="1"/>
  <c r="BA46" i="1"/>
  <c r="BB46" i="1"/>
  <c r="BC46" i="1"/>
  <c r="BD46" i="1"/>
  <c r="BE46" i="1"/>
  <c r="BF46" i="1"/>
  <c r="BG46" i="1"/>
  <c r="BH46" i="1"/>
  <c r="BI46" i="1"/>
  <c r="BJ46" i="1"/>
  <c r="BK46" i="1"/>
  <c r="BL46" i="1"/>
  <c r="BM46" i="1"/>
  <c r="BN46" i="1"/>
  <c r="BO46" i="1"/>
  <c r="BP46" i="1"/>
  <c r="BQ46" i="1"/>
  <c r="BR46" i="1"/>
  <c r="BS46" i="1"/>
  <c r="BT46" i="1"/>
  <c r="BU46" i="1"/>
  <c r="BV46" i="1"/>
  <c r="BW46" i="1"/>
  <c r="BX46" i="1"/>
  <c r="BY46" i="1"/>
  <c r="BZ46" i="1"/>
  <c r="CA46" i="1"/>
  <c r="CB46" i="1"/>
  <c r="CC46" i="1"/>
  <c r="CD46" i="1"/>
  <c r="H48" i="1"/>
  <c r="I48" i="1"/>
  <c r="J48" i="1"/>
  <c r="K48" i="1"/>
  <c r="L48" i="1"/>
  <c r="M48" i="1"/>
  <c r="N48" i="1"/>
  <c r="O48" i="1"/>
  <c r="P48" i="1"/>
  <c r="Q48" i="1"/>
  <c r="R48" i="1"/>
  <c r="S48" i="1"/>
  <c r="T48" i="1"/>
  <c r="U48" i="1"/>
  <c r="V48" i="1"/>
  <c r="W48" i="1"/>
  <c r="X48" i="1"/>
  <c r="Y48" i="1"/>
  <c r="Z48" i="1"/>
  <c r="AA48" i="1"/>
  <c r="AB48" i="1"/>
  <c r="AC48" i="1"/>
  <c r="AD48" i="1"/>
  <c r="AE48" i="1"/>
  <c r="AF48" i="1"/>
  <c r="AG48" i="1"/>
  <c r="AH48" i="1"/>
  <c r="AI48" i="1"/>
  <c r="AJ48" i="1"/>
  <c r="AK48" i="1"/>
  <c r="AL48" i="1"/>
  <c r="AM48" i="1"/>
  <c r="AN48" i="1"/>
  <c r="AO48" i="1"/>
  <c r="AP48" i="1"/>
  <c r="AQ48" i="1"/>
  <c r="AR48" i="1"/>
  <c r="AS48" i="1"/>
  <c r="AT48" i="1"/>
  <c r="AU48" i="1"/>
  <c r="AV48" i="1"/>
  <c r="AW48" i="1"/>
  <c r="AX48" i="1"/>
  <c r="AY48" i="1"/>
  <c r="AZ48" i="1"/>
  <c r="BA48" i="1"/>
  <c r="BB48" i="1"/>
  <c r="BC48" i="1"/>
  <c r="BD48" i="1"/>
  <c r="BE48" i="1"/>
  <c r="BF48" i="1"/>
  <c r="BG48" i="1"/>
  <c r="BH48" i="1"/>
  <c r="BI48" i="1"/>
  <c r="BJ48" i="1"/>
  <c r="BK48" i="1"/>
  <c r="BL48" i="1"/>
  <c r="BM48" i="1"/>
  <c r="BN48" i="1"/>
  <c r="BO48" i="1"/>
  <c r="BP48" i="1"/>
  <c r="BQ48" i="1"/>
  <c r="BR48" i="1"/>
  <c r="BS48" i="1"/>
  <c r="BT48" i="1"/>
  <c r="BU48" i="1"/>
  <c r="BV48" i="1"/>
  <c r="BW48" i="1"/>
  <c r="BX48" i="1"/>
  <c r="BY48" i="1"/>
  <c r="BZ48" i="1"/>
  <c r="CA48" i="1"/>
  <c r="CB48" i="1"/>
  <c r="CC48" i="1"/>
  <c r="CD48" i="1"/>
  <c r="H49" i="1"/>
  <c r="I49" i="1"/>
  <c r="J49" i="1"/>
  <c r="K49" i="1"/>
  <c r="L49" i="1"/>
  <c r="M49" i="1"/>
  <c r="N49" i="1"/>
  <c r="O49" i="1"/>
  <c r="P49" i="1"/>
  <c r="Q49" i="1"/>
  <c r="R49" i="1"/>
  <c r="S49" i="1"/>
  <c r="T49" i="1"/>
  <c r="U49" i="1"/>
  <c r="V49" i="1"/>
  <c r="W49" i="1"/>
  <c r="X49" i="1"/>
  <c r="Y49" i="1"/>
  <c r="Z49" i="1"/>
  <c r="AA49" i="1"/>
  <c r="AB49" i="1"/>
  <c r="AC49" i="1"/>
  <c r="AD49" i="1"/>
  <c r="AE49" i="1"/>
  <c r="AF49" i="1"/>
  <c r="AG49" i="1"/>
  <c r="AH49" i="1"/>
  <c r="AI49" i="1"/>
  <c r="AJ49" i="1"/>
  <c r="AK49" i="1"/>
  <c r="AL49" i="1"/>
  <c r="AM49" i="1"/>
  <c r="AN49" i="1"/>
  <c r="AO49" i="1"/>
  <c r="AP49" i="1"/>
  <c r="AQ49" i="1"/>
  <c r="AR49" i="1"/>
  <c r="AS49" i="1"/>
  <c r="AT49" i="1"/>
  <c r="AU49" i="1"/>
  <c r="AV49" i="1"/>
  <c r="AW49" i="1"/>
  <c r="AX49" i="1"/>
  <c r="AY49" i="1"/>
  <c r="AZ49" i="1"/>
  <c r="BA49" i="1"/>
  <c r="BB49" i="1"/>
  <c r="BC49" i="1"/>
  <c r="BD49" i="1"/>
  <c r="BE49" i="1"/>
  <c r="BF49" i="1"/>
  <c r="BG49" i="1"/>
  <c r="BH49" i="1"/>
  <c r="BI49" i="1"/>
  <c r="BJ49" i="1"/>
  <c r="BK49" i="1"/>
  <c r="BL49" i="1"/>
  <c r="BM49" i="1"/>
  <c r="BN49" i="1"/>
  <c r="BO49" i="1"/>
  <c r="BP49" i="1"/>
  <c r="BQ49" i="1"/>
  <c r="BR49" i="1"/>
  <c r="BS49" i="1"/>
  <c r="BT49" i="1"/>
  <c r="BU49" i="1"/>
  <c r="BV49" i="1"/>
  <c r="BW49" i="1"/>
  <c r="BX49" i="1"/>
  <c r="BY49" i="1"/>
  <c r="BZ49" i="1"/>
  <c r="CA49" i="1"/>
  <c r="CB49" i="1"/>
  <c r="CC49" i="1"/>
  <c r="CD49" i="1"/>
  <c r="H50" i="1"/>
  <c r="I50" i="1"/>
  <c r="J50" i="1"/>
  <c r="K50" i="1"/>
  <c r="L50" i="1"/>
  <c r="M50" i="1"/>
  <c r="N50" i="1"/>
  <c r="O50" i="1"/>
  <c r="P50" i="1"/>
  <c r="Q50" i="1"/>
  <c r="R50" i="1"/>
  <c r="S50" i="1"/>
  <c r="T50" i="1"/>
  <c r="U50" i="1"/>
  <c r="V50" i="1"/>
  <c r="W50" i="1"/>
  <c r="X50" i="1"/>
  <c r="Y50" i="1"/>
  <c r="Z50" i="1"/>
  <c r="AA50" i="1"/>
  <c r="AB50" i="1"/>
  <c r="AC50" i="1"/>
  <c r="AD50" i="1"/>
  <c r="AE50" i="1"/>
  <c r="AF50" i="1"/>
  <c r="AG50" i="1"/>
  <c r="AH50" i="1"/>
  <c r="AI50" i="1"/>
  <c r="AJ50" i="1"/>
  <c r="AK50" i="1"/>
  <c r="AL50" i="1"/>
  <c r="AM50" i="1"/>
  <c r="AN50" i="1"/>
  <c r="AO50" i="1"/>
  <c r="AP50" i="1"/>
  <c r="AQ50" i="1"/>
  <c r="AR50" i="1"/>
  <c r="AS50" i="1"/>
  <c r="AT50" i="1"/>
  <c r="AU50" i="1"/>
  <c r="AV50" i="1"/>
  <c r="AW50" i="1"/>
  <c r="AX50" i="1"/>
  <c r="AY50" i="1"/>
  <c r="AZ50" i="1"/>
  <c r="BA50" i="1"/>
  <c r="BB50" i="1"/>
  <c r="BC50" i="1"/>
  <c r="BD50" i="1"/>
  <c r="BE50" i="1"/>
  <c r="BF50" i="1"/>
  <c r="BG50" i="1"/>
  <c r="BH50" i="1"/>
  <c r="BI50" i="1"/>
  <c r="BJ50" i="1"/>
  <c r="BK50" i="1"/>
  <c r="BL50" i="1"/>
  <c r="BM50" i="1"/>
  <c r="BN50" i="1"/>
  <c r="BO50" i="1"/>
  <c r="BP50" i="1"/>
  <c r="BQ50" i="1"/>
  <c r="BR50" i="1"/>
  <c r="BS50" i="1"/>
  <c r="BT50" i="1"/>
  <c r="BU50" i="1"/>
  <c r="BV50" i="1"/>
  <c r="BW50" i="1"/>
  <c r="BX50" i="1"/>
  <c r="BY50" i="1"/>
  <c r="BZ50" i="1"/>
  <c r="CA50" i="1"/>
  <c r="CB50" i="1"/>
  <c r="CC50" i="1"/>
  <c r="CD50" i="1"/>
  <c r="H52" i="1"/>
  <c r="I52" i="1"/>
  <c r="J52" i="1"/>
  <c r="K52" i="1"/>
  <c r="L52" i="1"/>
  <c r="M52" i="1"/>
  <c r="N52" i="1"/>
  <c r="O52" i="1"/>
  <c r="P52" i="1"/>
  <c r="Q52" i="1"/>
  <c r="R52" i="1"/>
  <c r="S52" i="1"/>
  <c r="T52" i="1"/>
  <c r="U52" i="1"/>
  <c r="V52" i="1"/>
  <c r="W52" i="1"/>
  <c r="X52" i="1"/>
  <c r="Y52" i="1"/>
  <c r="Z52" i="1"/>
  <c r="AA52" i="1"/>
  <c r="AB52" i="1"/>
  <c r="AC52" i="1"/>
  <c r="AD52" i="1"/>
  <c r="AE52" i="1"/>
  <c r="AF52" i="1"/>
  <c r="AG52" i="1"/>
  <c r="AH52" i="1"/>
  <c r="AI52" i="1"/>
  <c r="AJ52" i="1"/>
  <c r="AK52" i="1"/>
  <c r="AL52" i="1"/>
  <c r="AM52" i="1"/>
  <c r="AN52" i="1"/>
  <c r="AO52" i="1"/>
  <c r="AP52" i="1"/>
  <c r="AQ52" i="1"/>
  <c r="AR52" i="1"/>
  <c r="AS52" i="1"/>
  <c r="AT52" i="1"/>
  <c r="AU52" i="1"/>
  <c r="AV52" i="1"/>
  <c r="AW52" i="1"/>
  <c r="AX52" i="1"/>
  <c r="AY52" i="1"/>
  <c r="AZ52" i="1"/>
  <c r="BA52" i="1"/>
  <c r="BB52" i="1"/>
  <c r="BC52" i="1"/>
  <c r="BD52" i="1"/>
  <c r="BE52" i="1"/>
  <c r="BF52" i="1"/>
  <c r="BG52" i="1"/>
  <c r="BH52" i="1"/>
  <c r="BI52" i="1"/>
  <c r="BJ52" i="1"/>
  <c r="BK52" i="1"/>
  <c r="BL52" i="1"/>
  <c r="BM52" i="1"/>
  <c r="BN52" i="1"/>
  <c r="BO52" i="1"/>
  <c r="BP52" i="1"/>
  <c r="BQ52" i="1"/>
  <c r="BR52" i="1"/>
  <c r="BS52" i="1"/>
  <c r="BT52" i="1"/>
  <c r="BU52" i="1"/>
  <c r="BV52" i="1"/>
  <c r="BW52" i="1"/>
  <c r="BX52" i="1"/>
  <c r="BY52" i="1"/>
  <c r="BZ52" i="1"/>
  <c r="CA52" i="1"/>
  <c r="CB52" i="1"/>
  <c r="CC52" i="1"/>
  <c r="CD52" i="1"/>
  <c r="H53" i="1"/>
  <c r="I53" i="1"/>
  <c r="J53" i="1"/>
  <c r="K53" i="1"/>
  <c r="L53" i="1"/>
  <c r="M53" i="1"/>
  <c r="N53" i="1"/>
  <c r="O53" i="1"/>
  <c r="P53" i="1"/>
  <c r="Q53" i="1"/>
  <c r="R53" i="1"/>
  <c r="S53" i="1"/>
  <c r="T53" i="1"/>
  <c r="U53" i="1"/>
  <c r="V53" i="1"/>
  <c r="W53" i="1"/>
  <c r="X53" i="1"/>
  <c r="Y53" i="1"/>
  <c r="Z53" i="1"/>
  <c r="AA53" i="1"/>
  <c r="AB53" i="1"/>
  <c r="AC53" i="1"/>
  <c r="AD53" i="1"/>
  <c r="AE53" i="1"/>
  <c r="AF53" i="1"/>
  <c r="AG53" i="1"/>
  <c r="AH53" i="1"/>
  <c r="AI53" i="1"/>
  <c r="AJ53" i="1"/>
  <c r="AK53" i="1"/>
  <c r="AL53" i="1"/>
  <c r="AM53" i="1"/>
  <c r="AN53" i="1"/>
  <c r="AO53" i="1"/>
  <c r="AP53" i="1"/>
  <c r="AQ53" i="1"/>
  <c r="AR53" i="1"/>
  <c r="AS53" i="1"/>
  <c r="AT53" i="1"/>
  <c r="AU53" i="1"/>
  <c r="AV53" i="1"/>
  <c r="AW53" i="1"/>
  <c r="AX53" i="1"/>
  <c r="AY53" i="1"/>
  <c r="AZ53" i="1"/>
  <c r="BA53" i="1"/>
  <c r="BB53" i="1"/>
  <c r="BC53" i="1"/>
  <c r="BD53" i="1"/>
  <c r="BE53" i="1"/>
  <c r="BF53" i="1"/>
  <c r="BG53" i="1"/>
  <c r="BH53" i="1"/>
  <c r="BI53" i="1"/>
  <c r="BJ53" i="1"/>
  <c r="BK53" i="1"/>
  <c r="BL53" i="1"/>
  <c r="BM53" i="1"/>
  <c r="BN53" i="1"/>
  <c r="BO53" i="1"/>
  <c r="BP53" i="1"/>
  <c r="BQ53" i="1"/>
  <c r="BR53" i="1"/>
  <c r="BS53" i="1"/>
  <c r="BT53" i="1"/>
  <c r="BU53" i="1"/>
  <c r="BV53" i="1"/>
  <c r="BW53" i="1"/>
  <c r="BX53" i="1"/>
  <c r="BY53" i="1"/>
  <c r="BZ53" i="1"/>
  <c r="CA53" i="1"/>
  <c r="CB53" i="1"/>
  <c r="CC53" i="1"/>
  <c r="CD53" i="1"/>
  <c r="H54" i="1"/>
  <c r="I54" i="1"/>
  <c r="J54" i="1"/>
  <c r="K54" i="1"/>
  <c r="L54" i="1"/>
  <c r="M54" i="1"/>
  <c r="N54" i="1"/>
  <c r="O54" i="1"/>
  <c r="P54" i="1"/>
  <c r="Q54" i="1"/>
  <c r="R54" i="1"/>
  <c r="S54" i="1"/>
  <c r="T54" i="1"/>
  <c r="U54" i="1"/>
  <c r="V54" i="1"/>
  <c r="W54" i="1"/>
  <c r="X54" i="1"/>
  <c r="Y54" i="1"/>
  <c r="Z54" i="1"/>
  <c r="AA54" i="1"/>
  <c r="AB54" i="1"/>
  <c r="AC54" i="1"/>
  <c r="AD54" i="1"/>
  <c r="AE54" i="1"/>
  <c r="AF54" i="1"/>
  <c r="AG54" i="1"/>
  <c r="AH54" i="1"/>
  <c r="AI54" i="1"/>
  <c r="AJ54" i="1"/>
  <c r="AK54" i="1"/>
  <c r="AL54" i="1"/>
  <c r="AM54" i="1"/>
  <c r="AN54" i="1"/>
  <c r="AO54" i="1"/>
  <c r="AP54" i="1"/>
  <c r="AQ54" i="1"/>
  <c r="AR54" i="1"/>
  <c r="AS54" i="1"/>
  <c r="AT54" i="1"/>
  <c r="AU54" i="1"/>
  <c r="AV54" i="1"/>
  <c r="AW54" i="1"/>
  <c r="AX54" i="1"/>
  <c r="AY54" i="1"/>
  <c r="AZ54" i="1"/>
  <c r="BA54" i="1"/>
  <c r="BB54" i="1"/>
  <c r="BC54" i="1"/>
  <c r="BD54" i="1"/>
  <c r="BE54" i="1"/>
  <c r="BF54" i="1"/>
  <c r="BG54" i="1"/>
  <c r="BH54" i="1"/>
  <c r="BI54" i="1"/>
  <c r="BJ54" i="1"/>
  <c r="BK54" i="1"/>
  <c r="BL54" i="1"/>
  <c r="BM54" i="1"/>
  <c r="BN54" i="1"/>
  <c r="BO54" i="1"/>
  <c r="BP54" i="1"/>
  <c r="BQ54" i="1"/>
  <c r="BR54" i="1"/>
  <c r="BS54" i="1"/>
  <c r="BT54" i="1"/>
  <c r="BU54" i="1"/>
  <c r="BV54" i="1"/>
  <c r="BW54" i="1"/>
  <c r="BX54" i="1"/>
  <c r="BY54" i="1"/>
  <c r="BZ54" i="1"/>
  <c r="CA54" i="1"/>
  <c r="CB54" i="1"/>
  <c r="CC54" i="1"/>
  <c r="CD54" i="1"/>
  <c r="H55" i="1"/>
  <c r="I55" i="1"/>
  <c r="J55" i="1"/>
  <c r="K55" i="1"/>
  <c r="L55" i="1"/>
  <c r="M55" i="1"/>
  <c r="N55" i="1"/>
  <c r="O55" i="1"/>
  <c r="P55" i="1"/>
  <c r="Q55" i="1"/>
  <c r="R55" i="1"/>
  <c r="S55" i="1"/>
  <c r="T55" i="1"/>
  <c r="U55" i="1"/>
  <c r="V55" i="1"/>
  <c r="W55" i="1"/>
  <c r="X55" i="1"/>
  <c r="Y55" i="1"/>
  <c r="Z55" i="1"/>
  <c r="AA55" i="1"/>
  <c r="AB55" i="1"/>
  <c r="AC55" i="1"/>
  <c r="AD55" i="1"/>
  <c r="AE55" i="1"/>
  <c r="AF55" i="1"/>
  <c r="AG55" i="1"/>
  <c r="AH55" i="1"/>
  <c r="AI55" i="1"/>
  <c r="AJ55" i="1"/>
  <c r="AK55" i="1"/>
  <c r="AL55" i="1"/>
  <c r="AM55" i="1"/>
  <c r="AN55" i="1"/>
  <c r="AO55" i="1"/>
  <c r="AP55" i="1"/>
  <c r="AQ55" i="1"/>
  <c r="AR55" i="1"/>
  <c r="AS55" i="1"/>
  <c r="AT55" i="1"/>
  <c r="AU55" i="1"/>
  <c r="AV55" i="1"/>
  <c r="AW55" i="1"/>
  <c r="AX55" i="1"/>
  <c r="AY55" i="1"/>
  <c r="AZ55" i="1"/>
  <c r="BA55" i="1"/>
  <c r="BB55" i="1"/>
  <c r="BC55" i="1"/>
  <c r="BD55" i="1"/>
  <c r="BE55" i="1"/>
  <c r="BF55" i="1"/>
  <c r="BG55" i="1"/>
  <c r="BH55" i="1"/>
  <c r="BI55" i="1"/>
  <c r="BJ55" i="1"/>
  <c r="BK55" i="1"/>
  <c r="BL55" i="1"/>
  <c r="BM55" i="1"/>
  <c r="BN55" i="1"/>
  <c r="BO55" i="1"/>
  <c r="BP55" i="1"/>
  <c r="BQ55" i="1"/>
  <c r="BR55" i="1"/>
  <c r="BS55" i="1"/>
  <c r="BT55" i="1"/>
  <c r="BU55" i="1"/>
  <c r="BV55" i="1"/>
  <c r="BW55" i="1"/>
  <c r="BX55" i="1"/>
  <c r="BY55" i="1"/>
  <c r="BZ55" i="1"/>
  <c r="CA55" i="1"/>
  <c r="CB55" i="1"/>
  <c r="CC55" i="1"/>
  <c r="CD55" i="1"/>
  <c r="H56" i="1"/>
  <c r="I56" i="1"/>
  <c r="J56" i="1"/>
  <c r="K56" i="1"/>
  <c r="L56" i="1"/>
  <c r="M56" i="1"/>
  <c r="N56" i="1"/>
  <c r="O56" i="1"/>
  <c r="P56" i="1"/>
  <c r="Q56" i="1"/>
  <c r="R56" i="1"/>
  <c r="S56" i="1"/>
  <c r="T56" i="1"/>
  <c r="U56" i="1"/>
  <c r="V56" i="1"/>
  <c r="W56" i="1"/>
  <c r="X56" i="1"/>
  <c r="Y56" i="1"/>
  <c r="Z56" i="1"/>
  <c r="AA56" i="1"/>
  <c r="AB56" i="1"/>
  <c r="AC56" i="1"/>
  <c r="AD56" i="1"/>
  <c r="AE56" i="1"/>
  <c r="AF56" i="1"/>
  <c r="AG56" i="1"/>
  <c r="AH56" i="1"/>
  <c r="AI56" i="1"/>
  <c r="AJ56" i="1"/>
  <c r="AK56" i="1"/>
  <c r="AL56" i="1"/>
  <c r="AM56" i="1"/>
  <c r="AN56" i="1"/>
  <c r="AO56" i="1"/>
  <c r="AP56" i="1"/>
  <c r="AQ56" i="1"/>
  <c r="AR56" i="1"/>
  <c r="AS56" i="1"/>
  <c r="AT56" i="1"/>
  <c r="AU56" i="1"/>
  <c r="AV56" i="1"/>
  <c r="AW56" i="1"/>
  <c r="AX56" i="1"/>
  <c r="AY56" i="1"/>
  <c r="AZ56" i="1"/>
  <c r="BA56" i="1"/>
  <c r="BB56" i="1"/>
  <c r="BC56" i="1"/>
  <c r="BD56" i="1"/>
  <c r="BE56" i="1"/>
  <c r="BF56" i="1"/>
  <c r="BG56" i="1"/>
  <c r="BH56" i="1"/>
  <c r="BI56" i="1"/>
  <c r="BJ56" i="1"/>
  <c r="BK56" i="1"/>
  <c r="BL56" i="1"/>
  <c r="BM56" i="1"/>
  <c r="BN56" i="1"/>
  <c r="BO56" i="1"/>
  <c r="BP56" i="1"/>
  <c r="BQ56" i="1"/>
  <c r="BR56" i="1"/>
  <c r="BS56" i="1"/>
  <c r="BT56" i="1"/>
  <c r="BU56" i="1"/>
  <c r="BV56" i="1"/>
  <c r="BW56" i="1"/>
  <c r="BX56" i="1"/>
  <c r="BY56" i="1"/>
  <c r="BZ56" i="1"/>
  <c r="CA56" i="1"/>
  <c r="CB56" i="1"/>
  <c r="CC56" i="1"/>
  <c r="CD56" i="1"/>
  <c r="H57" i="1"/>
  <c r="I57" i="1"/>
  <c r="J57" i="1"/>
  <c r="K57" i="1"/>
  <c r="L57" i="1"/>
  <c r="M57" i="1"/>
  <c r="N57" i="1"/>
  <c r="O57" i="1"/>
  <c r="P57" i="1"/>
  <c r="Q57" i="1"/>
  <c r="R57" i="1"/>
  <c r="S57" i="1"/>
  <c r="T57" i="1"/>
  <c r="U57" i="1"/>
  <c r="V57" i="1"/>
  <c r="W57" i="1"/>
  <c r="X57" i="1"/>
  <c r="Y57" i="1"/>
  <c r="Z57" i="1"/>
  <c r="AA57" i="1"/>
  <c r="AB57" i="1"/>
  <c r="AC57" i="1"/>
  <c r="AD57" i="1"/>
  <c r="AE57" i="1"/>
  <c r="AF57" i="1"/>
  <c r="AG57" i="1"/>
  <c r="AH57" i="1"/>
  <c r="AI57" i="1"/>
  <c r="AJ57" i="1"/>
  <c r="AK57" i="1"/>
  <c r="AL57" i="1"/>
  <c r="AM57" i="1"/>
  <c r="AN57" i="1"/>
  <c r="AO57" i="1"/>
  <c r="AP57" i="1"/>
  <c r="AQ57" i="1"/>
  <c r="AR57" i="1"/>
  <c r="AS57" i="1"/>
  <c r="AT57" i="1"/>
  <c r="AU57" i="1"/>
  <c r="AV57" i="1"/>
  <c r="AW57" i="1"/>
  <c r="AX57" i="1"/>
  <c r="AY57" i="1"/>
  <c r="AZ57" i="1"/>
  <c r="BA57" i="1"/>
  <c r="BB57" i="1"/>
  <c r="BC57" i="1"/>
  <c r="BD57" i="1"/>
  <c r="BE57" i="1"/>
  <c r="BF57" i="1"/>
  <c r="BG57" i="1"/>
  <c r="BH57" i="1"/>
  <c r="BI57" i="1"/>
  <c r="BJ57" i="1"/>
  <c r="BK57" i="1"/>
  <c r="BL57" i="1"/>
  <c r="BM57" i="1"/>
  <c r="BN57" i="1"/>
  <c r="BO57" i="1"/>
  <c r="BP57" i="1"/>
  <c r="BQ57" i="1"/>
  <c r="BR57" i="1"/>
  <c r="BS57" i="1"/>
  <c r="BT57" i="1"/>
  <c r="BU57" i="1"/>
  <c r="BV57" i="1"/>
  <c r="BW57" i="1"/>
  <c r="BX57" i="1"/>
  <c r="BY57" i="1"/>
  <c r="BZ57" i="1"/>
  <c r="CA57" i="1"/>
  <c r="CB57" i="1"/>
  <c r="CC57" i="1"/>
  <c r="CD57" i="1"/>
  <c r="H58" i="1"/>
  <c r="I58" i="1"/>
  <c r="J58" i="1"/>
  <c r="K58" i="1"/>
  <c r="L58" i="1"/>
  <c r="M58" i="1"/>
  <c r="N58" i="1"/>
  <c r="O58" i="1"/>
  <c r="P58" i="1"/>
  <c r="Q58" i="1"/>
  <c r="R58" i="1"/>
  <c r="S58" i="1"/>
  <c r="T58" i="1"/>
  <c r="U58" i="1"/>
  <c r="V58" i="1"/>
  <c r="W58" i="1"/>
  <c r="X58" i="1"/>
  <c r="Y58" i="1"/>
  <c r="Z58" i="1"/>
  <c r="AA58" i="1"/>
  <c r="AB58" i="1"/>
  <c r="AC58" i="1"/>
  <c r="AD58" i="1"/>
  <c r="AE58" i="1"/>
  <c r="AF58" i="1"/>
  <c r="AG58" i="1"/>
  <c r="AH58" i="1"/>
  <c r="AI58" i="1"/>
  <c r="AJ58" i="1"/>
  <c r="AK58" i="1"/>
  <c r="AL58" i="1"/>
  <c r="AM58" i="1"/>
  <c r="AN58" i="1"/>
  <c r="AO58" i="1"/>
  <c r="AP58" i="1"/>
  <c r="AQ58" i="1"/>
  <c r="AR58" i="1"/>
  <c r="AS58" i="1"/>
  <c r="AT58" i="1"/>
  <c r="AU58" i="1"/>
  <c r="AV58" i="1"/>
  <c r="AW58" i="1"/>
  <c r="AX58" i="1"/>
  <c r="AY58" i="1"/>
  <c r="AZ58" i="1"/>
  <c r="BA58" i="1"/>
  <c r="BB58" i="1"/>
  <c r="BC58" i="1"/>
  <c r="BD58" i="1"/>
  <c r="BE58" i="1"/>
  <c r="BF58" i="1"/>
  <c r="BG58" i="1"/>
  <c r="BH58" i="1"/>
  <c r="BI58" i="1"/>
  <c r="BJ58" i="1"/>
  <c r="BK58" i="1"/>
  <c r="BL58" i="1"/>
  <c r="BM58" i="1"/>
  <c r="BN58" i="1"/>
  <c r="BO58" i="1"/>
  <c r="BP58" i="1"/>
  <c r="BQ58" i="1"/>
  <c r="BR58" i="1"/>
  <c r="BS58" i="1"/>
  <c r="BT58" i="1"/>
  <c r="BU58" i="1"/>
  <c r="BV58" i="1"/>
  <c r="BW58" i="1"/>
  <c r="BX58" i="1"/>
  <c r="BY58" i="1"/>
  <c r="BZ58" i="1"/>
  <c r="CA58" i="1"/>
  <c r="CB58" i="1"/>
  <c r="CC58" i="1"/>
  <c r="CD58" i="1"/>
  <c r="H59" i="1"/>
  <c r="I59" i="1"/>
  <c r="J59" i="1"/>
  <c r="K59" i="1"/>
  <c r="L59" i="1"/>
  <c r="M59" i="1"/>
  <c r="N59" i="1"/>
  <c r="O59" i="1"/>
  <c r="P59" i="1"/>
  <c r="Q59" i="1"/>
  <c r="R59" i="1"/>
  <c r="S59" i="1"/>
  <c r="T59" i="1"/>
  <c r="U59" i="1"/>
  <c r="V59" i="1"/>
  <c r="W59" i="1"/>
  <c r="X59" i="1"/>
  <c r="Y59" i="1"/>
  <c r="Z59" i="1"/>
  <c r="AA59" i="1"/>
  <c r="AB59" i="1"/>
  <c r="AC59" i="1"/>
  <c r="AD59" i="1"/>
  <c r="AE59" i="1"/>
  <c r="AF59" i="1"/>
  <c r="AG59" i="1"/>
  <c r="AH59" i="1"/>
  <c r="AI59" i="1"/>
  <c r="AJ59" i="1"/>
  <c r="AK59" i="1"/>
  <c r="AL59" i="1"/>
  <c r="AM59" i="1"/>
  <c r="AN59" i="1"/>
  <c r="AO59" i="1"/>
  <c r="AP59" i="1"/>
  <c r="AQ59" i="1"/>
  <c r="AR59" i="1"/>
  <c r="AS59" i="1"/>
  <c r="AT59" i="1"/>
  <c r="AU59" i="1"/>
  <c r="AV59" i="1"/>
  <c r="AW59" i="1"/>
  <c r="AX59" i="1"/>
  <c r="AY59" i="1"/>
  <c r="AZ59" i="1"/>
  <c r="BA59" i="1"/>
  <c r="BB59" i="1"/>
  <c r="BC59" i="1"/>
  <c r="BD59" i="1"/>
  <c r="BE59" i="1"/>
  <c r="BF59" i="1"/>
  <c r="BG59" i="1"/>
  <c r="BH59" i="1"/>
  <c r="BI59" i="1"/>
  <c r="BJ59" i="1"/>
  <c r="BK59" i="1"/>
  <c r="BL59" i="1"/>
  <c r="BM59" i="1"/>
  <c r="BN59" i="1"/>
  <c r="BO59" i="1"/>
  <c r="BP59" i="1"/>
  <c r="BQ59" i="1"/>
  <c r="BR59" i="1"/>
  <c r="BS59" i="1"/>
  <c r="BT59" i="1"/>
  <c r="BU59" i="1"/>
  <c r="BV59" i="1"/>
  <c r="BW59" i="1"/>
  <c r="BX59" i="1"/>
  <c r="BY59" i="1"/>
  <c r="BZ59" i="1"/>
  <c r="CA59" i="1"/>
  <c r="CB59" i="1"/>
  <c r="CC59" i="1"/>
  <c r="CD59" i="1"/>
  <c r="H60" i="1"/>
  <c r="I60" i="1"/>
  <c r="J60" i="1"/>
  <c r="K60" i="1"/>
  <c r="L60" i="1"/>
  <c r="M60" i="1"/>
  <c r="N60" i="1"/>
  <c r="O60" i="1"/>
  <c r="P60" i="1"/>
  <c r="Q60" i="1"/>
  <c r="R60" i="1"/>
  <c r="S60" i="1"/>
  <c r="T60" i="1"/>
  <c r="U60" i="1"/>
  <c r="V60" i="1"/>
  <c r="W60" i="1"/>
  <c r="X60" i="1"/>
  <c r="Y60" i="1"/>
  <c r="Z60" i="1"/>
  <c r="AA60" i="1"/>
  <c r="AB60" i="1"/>
  <c r="AC60" i="1"/>
  <c r="AD60" i="1"/>
  <c r="AE60" i="1"/>
  <c r="AF60" i="1"/>
  <c r="AG60" i="1"/>
  <c r="AH60" i="1"/>
  <c r="AI60" i="1"/>
  <c r="AJ60" i="1"/>
  <c r="AK60" i="1"/>
  <c r="AL60" i="1"/>
  <c r="AM60" i="1"/>
  <c r="AN60" i="1"/>
  <c r="AO60" i="1"/>
  <c r="AP60" i="1"/>
  <c r="AQ60" i="1"/>
  <c r="AR60" i="1"/>
  <c r="AS60" i="1"/>
  <c r="AT60" i="1"/>
  <c r="AU60" i="1"/>
  <c r="AV60" i="1"/>
  <c r="AW60" i="1"/>
  <c r="AX60" i="1"/>
  <c r="AY60" i="1"/>
  <c r="AZ60" i="1"/>
  <c r="BA60" i="1"/>
  <c r="BB60" i="1"/>
  <c r="BC60" i="1"/>
  <c r="BD60" i="1"/>
  <c r="BE60" i="1"/>
  <c r="BF60" i="1"/>
  <c r="BG60" i="1"/>
  <c r="BH60" i="1"/>
  <c r="BI60" i="1"/>
  <c r="BJ60" i="1"/>
  <c r="BK60" i="1"/>
  <c r="BL60" i="1"/>
  <c r="BM60" i="1"/>
  <c r="BN60" i="1"/>
  <c r="BO60" i="1"/>
  <c r="BP60" i="1"/>
  <c r="BQ60" i="1"/>
  <c r="BR60" i="1"/>
  <c r="BS60" i="1"/>
  <c r="BT60" i="1"/>
  <c r="BU60" i="1"/>
  <c r="BV60" i="1"/>
  <c r="BW60" i="1"/>
  <c r="BX60" i="1"/>
  <c r="BY60" i="1"/>
  <c r="BZ60" i="1"/>
  <c r="CA60" i="1"/>
  <c r="CB60" i="1"/>
  <c r="CC60" i="1"/>
  <c r="CD60" i="1"/>
  <c r="H61" i="1"/>
  <c r="I61" i="1"/>
  <c r="J61" i="1"/>
  <c r="K61" i="1"/>
  <c r="L61" i="1"/>
  <c r="M61" i="1"/>
  <c r="N61" i="1"/>
  <c r="O61" i="1"/>
  <c r="P61" i="1"/>
  <c r="Q61" i="1"/>
  <c r="R61" i="1"/>
  <c r="S61" i="1"/>
  <c r="T61" i="1"/>
  <c r="U61" i="1"/>
  <c r="V61" i="1"/>
  <c r="W61" i="1"/>
  <c r="X61" i="1"/>
  <c r="Y61" i="1"/>
  <c r="Z61" i="1"/>
  <c r="AA61" i="1"/>
  <c r="AB61" i="1"/>
  <c r="AC61" i="1"/>
  <c r="AD61" i="1"/>
  <c r="AE61" i="1"/>
  <c r="AF61" i="1"/>
  <c r="AG61" i="1"/>
  <c r="AH61" i="1"/>
  <c r="AI61" i="1"/>
  <c r="AJ61" i="1"/>
  <c r="AK61" i="1"/>
  <c r="AL61" i="1"/>
  <c r="AM61" i="1"/>
  <c r="AN61" i="1"/>
  <c r="AO61" i="1"/>
  <c r="AP61" i="1"/>
  <c r="AQ61" i="1"/>
  <c r="AR61" i="1"/>
  <c r="AS61" i="1"/>
  <c r="AT61" i="1"/>
  <c r="AU61" i="1"/>
  <c r="AV61" i="1"/>
  <c r="AW61" i="1"/>
  <c r="AX61" i="1"/>
  <c r="AY61" i="1"/>
  <c r="AZ61" i="1"/>
  <c r="BA61" i="1"/>
  <c r="BB61" i="1"/>
  <c r="BC61" i="1"/>
  <c r="BD61" i="1"/>
  <c r="BE61" i="1"/>
  <c r="BF61" i="1"/>
  <c r="BG61" i="1"/>
  <c r="BH61" i="1"/>
  <c r="BI61" i="1"/>
  <c r="BJ61" i="1"/>
  <c r="BK61" i="1"/>
  <c r="BL61" i="1"/>
  <c r="BM61" i="1"/>
  <c r="BN61" i="1"/>
  <c r="BO61" i="1"/>
  <c r="BP61" i="1"/>
  <c r="BQ61" i="1"/>
  <c r="BR61" i="1"/>
  <c r="BS61" i="1"/>
  <c r="BT61" i="1"/>
  <c r="BU61" i="1"/>
  <c r="BV61" i="1"/>
  <c r="BW61" i="1"/>
  <c r="BX61" i="1"/>
  <c r="BY61" i="1"/>
  <c r="BZ61" i="1"/>
  <c r="CA61" i="1"/>
  <c r="CB61" i="1"/>
  <c r="CC61" i="1"/>
  <c r="CD61" i="1"/>
  <c r="H62" i="1"/>
  <c r="I62" i="1"/>
  <c r="J62" i="1"/>
  <c r="K62" i="1"/>
  <c r="L62" i="1"/>
  <c r="M62" i="1"/>
  <c r="N62" i="1"/>
  <c r="O62" i="1"/>
  <c r="P62" i="1"/>
  <c r="Q62" i="1"/>
  <c r="R62" i="1"/>
  <c r="S62" i="1"/>
  <c r="T62" i="1"/>
  <c r="U62" i="1"/>
  <c r="V62" i="1"/>
  <c r="W62" i="1"/>
  <c r="X62" i="1"/>
  <c r="Y62" i="1"/>
  <c r="Z62" i="1"/>
  <c r="AA62" i="1"/>
  <c r="AB62" i="1"/>
  <c r="AC62" i="1"/>
  <c r="AD62" i="1"/>
  <c r="AE62" i="1"/>
  <c r="AF62" i="1"/>
  <c r="AG62" i="1"/>
  <c r="AH62" i="1"/>
  <c r="AI62" i="1"/>
  <c r="AJ62" i="1"/>
  <c r="AK62" i="1"/>
  <c r="AL62" i="1"/>
  <c r="AM62" i="1"/>
  <c r="AN62" i="1"/>
  <c r="AO62" i="1"/>
  <c r="AP62" i="1"/>
  <c r="AQ62" i="1"/>
  <c r="AR62" i="1"/>
  <c r="AS62" i="1"/>
  <c r="AT62" i="1"/>
  <c r="AU62" i="1"/>
  <c r="AV62" i="1"/>
  <c r="AW62" i="1"/>
  <c r="AX62" i="1"/>
  <c r="AY62" i="1"/>
  <c r="AZ62" i="1"/>
  <c r="BA62" i="1"/>
  <c r="BB62" i="1"/>
  <c r="BC62" i="1"/>
  <c r="BD62" i="1"/>
  <c r="BE62" i="1"/>
  <c r="BF62" i="1"/>
  <c r="BG62" i="1"/>
  <c r="BH62" i="1"/>
  <c r="BI62" i="1"/>
  <c r="BJ62" i="1"/>
  <c r="BK62" i="1"/>
  <c r="BL62" i="1"/>
  <c r="BM62" i="1"/>
  <c r="BN62" i="1"/>
  <c r="BO62" i="1"/>
  <c r="BP62" i="1"/>
  <c r="BQ62" i="1"/>
  <c r="BR62" i="1"/>
  <c r="BS62" i="1"/>
  <c r="BT62" i="1"/>
  <c r="BU62" i="1"/>
  <c r="BV62" i="1"/>
  <c r="BW62" i="1"/>
  <c r="BX62" i="1"/>
  <c r="BY62" i="1"/>
  <c r="BZ62" i="1"/>
  <c r="CA62" i="1"/>
  <c r="CB62" i="1"/>
  <c r="CC62" i="1"/>
  <c r="CD62" i="1"/>
  <c r="H63" i="1"/>
  <c r="I63" i="1"/>
  <c r="J63" i="1"/>
  <c r="K63" i="1"/>
  <c r="L63" i="1"/>
  <c r="M63" i="1"/>
  <c r="N63" i="1"/>
  <c r="O63" i="1"/>
  <c r="P63" i="1"/>
  <c r="Q63" i="1"/>
  <c r="R63" i="1"/>
  <c r="S63" i="1"/>
  <c r="T63" i="1"/>
  <c r="U63" i="1"/>
  <c r="V63" i="1"/>
  <c r="W63" i="1"/>
  <c r="X63" i="1"/>
  <c r="Y63" i="1"/>
  <c r="Z63" i="1"/>
  <c r="AA63" i="1"/>
  <c r="AB63" i="1"/>
  <c r="AC63" i="1"/>
  <c r="AD63" i="1"/>
  <c r="AE63" i="1"/>
  <c r="AF63" i="1"/>
  <c r="AG63" i="1"/>
  <c r="AH63" i="1"/>
  <c r="AI63" i="1"/>
  <c r="AJ63" i="1"/>
  <c r="AK63" i="1"/>
  <c r="AL63" i="1"/>
  <c r="AM63" i="1"/>
  <c r="AN63" i="1"/>
  <c r="AO63" i="1"/>
  <c r="AP63" i="1"/>
  <c r="AQ63" i="1"/>
  <c r="AR63" i="1"/>
  <c r="AS63" i="1"/>
  <c r="AT63" i="1"/>
  <c r="AU63" i="1"/>
  <c r="AV63" i="1"/>
  <c r="AW63" i="1"/>
  <c r="AX63" i="1"/>
  <c r="AY63" i="1"/>
  <c r="AZ63" i="1"/>
  <c r="BA63" i="1"/>
  <c r="BB63" i="1"/>
  <c r="BC63" i="1"/>
  <c r="BD63" i="1"/>
  <c r="BE63" i="1"/>
  <c r="BF63" i="1"/>
  <c r="BG63" i="1"/>
  <c r="BH63" i="1"/>
  <c r="BI63" i="1"/>
  <c r="BJ63" i="1"/>
  <c r="BK63" i="1"/>
  <c r="BL63" i="1"/>
  <c r="BM63" i="1"/>
  <c r="BN63" i="1"/>
  <c r="BO63" i="1"/>
  <c r="BP63" i="1"/>
  <c r="BQ63" i="1"/>
  <c r="BR63" i="1"/>
  <c r="BS63" i="1"/>
  <c r="BT63" i="1"/>
  <c r="BU63" i="1"/>
  <c r="BV63" i="1"/>
  <c r="BW63" i="1"/>
  <c r="BX63" i="1"/>
  <c r="BY63" i="1"/>
  <c r="BZ63" i="1"/>
  <c r="CA63" i="1"/>
  <c r="CB63" i="1"/>
  <c r="CC63" i="1"/>
  <c r="CD63" i="1"/>
  <c r="H64" i="1"/>
  <c r="I64" i="1"/>
  <c r="J64" i="1"/>
  <c r="K64" i="1"/>
  <c r="L64" i="1"/>
  <c r="M64" i="1"/>
  <c r="N64" i="1"/>
  <c r="O64" i="1"/>
  <c r="P64" i="1"/>
  <c r="Q64" i="1"/>
  <c r="R64" i="1"/>
  <c r="S64" i="1"/>
  <c r="T64" i="1"/>
  <c r="U64" i="1"/>
  <c r="V64" i="1"/>
  <c r="W64" i="1"/>
  <c r="X64" i="1"/>
  <c r="Y64" i="1"/>
  <c r="Z64" i="1"/>
  <c r="AA64" i="1"/>
  <c r="AB64" i="1"/>
  <c r="AC64" i="1"/>
  <c r="AD64" i="1"/>
  <c r="AE64" i="1"/>
  <c r="AF64" i="1"/>
  <c r="AG64" i="1"/>
  <c r="AH64" i="1"/>
  <c r="AI64" i="1"/>
  <c r="AJ64" i="1"/>
  <c r="AK64" i="1"/>
  <c r="AL64" i="1"/>
  <c r="AM64" i="1"/>
  <c r="AN64" i="1"/>
  <c r="AO64" i="1"/>
  <c r="AP64" i="1"/>
  <c r="AQ64" i="1"/>
  <c r="AR64" i="1"/>
  <c r="AS64" i="1"/>
  <c r="AT64" i="1"/>
  <c r="AU64" i="1"/>
  <c r="AV64" i="1"/>
  <c r="AW64" i="1"/>
  <c r="AX64" i="1"/>
  <c r="AY64" i="1"/>
  <c r="AZ64" i="1"/>
  <c r="BA64" i="1"/>
  <c r="BB64" i="1"/>
  <c r="BC64" i="1"/>
  <c r="BD64" i="1"/>
  <c r="BE64" i="1"/>
  <c r="BF64" i="1"/>
  <c r="BG64" i="1"/>
  <c r="BH64" i="1"/>
  <c r="BI64" i="1"/>
  <c r="BJ64" i="1"/>
  <c r="BK64" i="1"/>
  <c r="BL64" i="1"/>
  <c r="BM64" i="1"/>
  <c r="BN64" i="1"/>
  <c r="BO64" i="1"/>
  <c r="BP64" i="1"/>
  <c r="BQ64" i="1"/>
  <c r="BR64" i="1"/>
  <c r="BS64" i="1"/>
  <c r="BT64" i="1"/>
  <c r="BU64" i="1"/>
  <c r="BV64" i="1"/>
  <c r="BW64" i="1"/>
  <c r="BX64" i="1"/>
  <c r="BY64" i="1"/>
  <c r="BZ64" i="1"/>
  <c r="CA64" i="1"/>
  <c r="CB64" i="1"/>
  <c r="CC64" i="1"/>
  <c r="CD64" i="1"/>
  <c r="H65" i="1"/>
  <c r="I65" i="1"/>
  <c r="J65" i="1"/>
  <c r="K65" i="1"/>
  <c r="L65" i="1"/>
  <c r="M65" i="1"/>
  <c r="N65" i="1"/>
  <c r="O65" i="1"/>
  <c r="P65" i="1"/>
  <c r="Q65" i="1"/>
  <c r="R65" i="1"/>
  <c r="S65" i="1"/>
  <c r="T65" i="1"/>
  <c r="U65" i="1"/>
  <c r="V65" i="1"/>
  <c r="W65" i="1"/>
  <c r="X65" i="1"/>
  <c r="Y65" i="1"/>
  <c r="Z65" i="1"/>
  <c r="AA65" i="1"/>
  <c r="AB65" i="1"/>
  <c r="AC65" i="1"/>
  <c r="AD65" i="1"/>
  <c r="AE65" i="1"/>
  <c r="AF65" i="1"/>
  <c r="AG65" i="1"/>
  <c r="AH65" i="1"/>
  <c r="AI65" i="1"/>
  <c r="AJ65" i="1"/>
  <c r="AK65" i="1"/>
  <c r="AL65" i="1"/>
  <c r="AM65" i="1"/>
  <c r="AN65" i="1"/>
  <c r="AO65" i="1"/>
  <c r="AP65" i="1"/>
  <c r="AQ65" i="1"/>
  <c r="AR65" i="1"/>
  <c r="AS65" i="1"/>
  <c r="AT65" i="1"/>
  <c r="AU65" i="1"/>
  <c r="AV65" i="1"/>
  <c r="AW65" i="1"/>
  <c r="AX65" i="1"/>
  <c r="AY65" i="1"/>
  <c r="AZ65" i="1"/>
  <c r="BA65" i="1"/>
  <c r="BB65" i="1"/>
  <c r="BC65" i="1"/>
  <c r="BD65" i="1"/>
  <c r="BE65" i="1"/>
  <c r="BF65" i="1"/>
  <c r="BG65" i="1"/>
  <c r="BH65" i="1"/>
  <c r="BI65" i="1"/>
  <c r="BJ65" i="1"/>
  <c r="BK65" i="1"/>
  <c r="BL65" i="1"/>
  <c r="BM65" i="1"/>
  <c r="BN65" i="1"/>
  <c r="BO65" i="1"/>
  <c r="BP65" i="1"/>
  <c r="BQ65" i="1"/>
  <c r="BR65" i="1"/>
  <c r="BS65" i="1"/>
  <c r="BT65" i="1"/>
  <c r="BU65" i="1"/>
  <c r="BV65" i="1"/>
  <c r="BW65" i="1"/>
  <c r="BX65" i="1"/>
  <c r="BY65" i="1"/>
  <c r="BZ65" i="1"/>
  <c r="CA65" i="1"/>
  <c r="CB65" i="1"/>
  <c r="CC65" i="1"/>
  <c r="CD65" i="1"/>
  <c r="H66" i="1"/>
  <c r="I66" i="1"/>
  <c r="J66" i="1"/>
  <c r="K66" i="1"/>
  <c r="L66" i="1"/>
  <c r="M66" i="1"/>
  <c r="N66" i="1"/>
  <c r="O66" i="1"/>
  <c r="P66" i="1"/>
  <c r="Q66" i="1"/>
  <c r="R66" i="1"/>
  <c r="S66" i="1"/>
  <c r="T66" i="1"/>
  <c r="U66" i="1"/>
  <c r="V66" i="1"/>
  <c r="W66" i="1"/>
  <c r="X66" i="1"/>
  <c r="Y66" i="1"/>
  <c r="Z66" i="1"/>
  <c r="AA66" i="1"/>
  <c r="AB66" i="1"/>
  <c r="AC66" i="1"/>
  <c r="AD66" i="1"/>
  <c r="AE66" i="1"/>
  <c r="AF66" i="1"/>
  <c r="AG66" i="1"/>
  <c r="AH66" i="1"/>
  <c r="AI66" i="1"/>
  <c r="AJ66" i="1"/>
  <c r="AK66" i="1"/>
  <c r="AL66" i="1"/>
  <c r="AM66" i="1"/>
  <c r="AN66" i="1"/>
  <c r="AO66" i="1"/>
  <c r="AP66" i="1"/>
  <c r="AQ66" i="1"/>
  <c r="AR66" i="1"/>
  <c r="AS66" i="1"/>
  <c r="AT66" i="1"/>
  <c r="AU66" i="1"/>
  <c r="AV66" i="1"/>
  <c r="AW66" i="1"/>
  <c r="AX66" i="1"/>
  <c r="AY66" i="1"/>
  <c r="AZ66" i="1"/>
  <c r="BA66" i="1"/>
  <c r="BB66" i="1"/>
  <c r="BC66" i="1"/>
  <c r="BD66" i="1"/>
  <c r="BE66" i="1"/>
  <c r="BF66" i="1"/>
  <c r="BG66" i="1"/>
  <c r="BH66" i="1"/>
  <c r="BI66" i="1"/>
  <c r="BJ66" i="1"/>
  <c r="BK66" i="1"/>
  <c r="BL66" i="1"/>
  <c r="BM66" i="1"/>
  <c r="BN66" i="1"/>
  <c r="BO66" i="1"/>
  <c r="BP66" i="1"/>
  <c r="BQ66" i="1"/>
  <c r="BR66" i="1"/>
  <c r="BS66" i="1"/>
  <c r="BT66" i="1"/>
  <c r="BU66" i="1"/>
  <c r="BV66" i="1"/>
  <c r="BW66" i="1"/>
  <c r="BX66" i="1"/>
  <c r="BY66" i="1"/>
  <c r="BZ66" i="1"/>
  <c r="CA66" i="1"/>
  <c r="CB66" i="1"/>
  <c r="CC66" i="1"/>
  <c r="CD66" i="1"/>
  <c r="H67" i="1"/>
  <c r="I67" i="1"/>
  <c r="J67" i="1"/>
  <c r="K67" i="1"/>
  <c r="L67" i="1"/>
  <c r="M67" i="1"/>
  <c r="N67" i="1"/>
  <c r="O67" i="1"/>
  <c r="P67" i="1"/>
  <c r="Q67" i="1"/>
  <c r="R67" i="1"/>
  <c r="S67" i="1"/>
  <c r="T67" i="1"/>
  <c r="U67" i="1"/>
  <c r="V67" i="1"/>
  <c r="W67" i="1"/>
  <c r="X67" i="1"/>
  <c r="Y67" i="1"/>
  <c r="Z67" i="1"/>
  <c r="AA67" i="1"/>
  <c r="AB67" i="1"/>
  <c r="AC67" i="1"/>
  <c r="AD67" i="1"/>
  <c r="AE67" i="1"/>
  <c r="AF67" i="1"/>
  <c r="AG67" i="1"/>
  <c r="AH67" i="1"/>
  <c r="AI67" i="1"/>
  <c r="AJ67" i="1"/>
  <c r="AK67" i="1"/>
  <c r="AL67" i="1"/>
  <c r="AM67" i="1"/>
  <c r="AN67" i="1"/>
  <c r="AO67" i="1"/>
  <c r="AP67" i="1"/>
  <c r="AQ67" i="1"/>
  <c r="AR67" i="1"/>
  <c r="AS67" i="1"/>
  <c r="AT67" i="1"/>
  <c r="AU67" i="1"/>
  <c r="AV67" i="1"/>
  <c r="AW67" i="1"/>
  <c r="AX67" i="1"/>
  <c r="AY67" i="1"/>
  <c r="AZ67" i="1"/>
  <c r="BA67" i="1"/>
  <c r="BB67" i="1"/>
  <c r="BC67" i="1"/>
  <c r="BD67" i="1"/>
  <c r="BE67" i="1"/>
  <c r="BF67" i="1"/>
  <c r="BG67" i="1"/>
  <c r="BH67" i="1"/>
  <c r="BI67" i="1"/>
  <c r="BJ67" i="1"/>
  <c r="BK67" i="1"/>
  <c r="BL67" i="1"/>
  <c r="BM67" i="1"/>
  <c r="BN67" i="1"/>
  <c r="BO67" i="1"/>
  <c r="BP67" i="1"/>
  <c r="BQ67" i="1"/>
  <c r="BR67" i="1"/>
  <c r="BS67" i="1"/>
  <c r="BT67" i="1"/>
  <c r="BU67" i="1"/>
  <c r="BV67" i="1"/>
  <c r="BW67" i="1"/>
  <c r="BX67" i="1"/>
  <c r="BY67" i="1"/>
  <c r="BZ67" i="1"/>
  <c r="CA67" i="1"/>
  <c r="CB67" i="1"/>
  <c r="CC67" i="1"/>
  <c r="CD67" i="1"/>
  <c r="H68" i="1"/>
  <c r="I68" i="1"/>
  <c r="J68" i="1"/>
  <c r="K68" i="1"/>
  <c r="L68" i="1"/>
  <c r="M68" i="1"/>
  <c r="N68" i="1"/>
  <c r="O68" i="1"/>
  <c r="P68" i="1"/>
  <c r="Q68" i="1"/>
  <c r="R68" i="1"/>
  <c r="S68" i="1"/>
  <c r="T68" i="1"/>
  <c r="U68" i="1"/>
  <c r="V68" i="1"/>
  <c r="W68" i="1"/>
  <c r="X68" i="1"/>
  <c r="Y68" i="1"/>
  <c r="Z68" i="1"/>
  <c r="AA68" i="1"/>
  <c r="AB68" i="1"/>
  <c r="AC68" i="1"/>
  <c r="AD68" i="1"/>
  <c r="AE68" i="1"/>
  <c r="AF68" i="1"/>
  <c r="AG68" i="1"/>
  <c r="AH68" i="1"/>
  <c r="AI68" i="1"/>
  <c r="AJ68" i="1"/>
  <c r="AK68" i="1"/>
  <c r="AL68" i="1"/>
  <c r="AM68" i="1"/>
  <c r="AN68" i="1"/>
  <c r="AO68" i="1"/>
  <c r="AP68" i="1"/>
  <c r="AQ68" i="1"/>
  <c r="AR68" i="1"/>
  <c r="AS68" i="1"/>
  <c r="AT68" i="1"/>
  <c r="AU68" i="1"/>
  <c r="AV68" i="1"/>
  <c r="AW68" i="1"/>
  <c r="AX68" i="1"/>
  <c r="AY68" i="1"/>
  <c r="AZ68" i="1"/>
  <c r="BA68" i="1"/>
  <c r="BB68" i="1"/>
  <c r="BC68" i="1"/>
  <c r="BD68" i="1"/>
  <c r="BE68" i="1"/>
  <c r="BF68" i="1"/>
  <c r="BG68" i="1"/>
  <c r="BH68" i="1"/>
  <c r="BI68" i="1"/>
  <c r="BJ68" i="1"/>
  <c r="BK68" i="1"/>
  <c r="BL68" i="1"/>
  <c r="BM68" i="1"/>
  <c r="BN68" i="1"/>
  <c r="BO68" i="1"/>
  <c r="BP68" i="1"/>
  <c r="BQ68" i="1"/>
  <c r="BR68" i="1"/>
  <c r="BS68" i="1"/>
  <c r="BT68" i="1"/>
  <c r="BU68" i="1"/>
  <c r="BV68" i="1"/>
  <c r="BW68" i="1"/>
  <c r="BX68" i="1"/>
  <c r="BY68" i="1"/>
  <c r="BZ68" i="1"/>
  <c r="CA68" i="1"/>
  <c r="CB68" i="1"/>
  <c r="CC68" i="1"/>
  <c r="CD68" i="1"/>
  <c r="H69" i="1"/>
  <c r="I69" i="1"/>
  <c r="J69" i="1"/>
  <c r="K69" i="1"/>
  <c r="L69" i="1"/>
  <c r="M69" i="1"/>
  <c r="N69" i="1"/>
  <c r="O69" i="1"/>
  <c r="P69" i="1"/>
  <c r="Q69" i="1"/>
  <c r="R69" i="1"/>
  <c r="S69" i="1"/>
  <c r="T69" i="1"/>
  <c r="U69" i="1"/>
  <c r="V69" i="1"/>
  <c r="W69" i="1"/>
  <c r="X69" i="1"/>
  <c r="Y69" i="1"/>
  <c r="Z69" i="1"/>
  <c r="AA69" i="1"/>
  <c r="AB69" i="1"/>
  <c r="AC69" i="1"/>
  <c r="AD69" i="1"/>
  <c r="AE69" i="1"/>
  <c r="AF69" i="1"/>
  <c r="AG69" i="1"/>
  <c r="AH69" i="1"/>
  <c r="AI69" i="1"/>
  <c r="AJ69" i="1"/>
  <c r="AK69" i="1"/>
  <c r="AL69" i="1"/>
  <c r="AM69" i="1"/>
  <c r="AN69" i="1"/>
  <c r="AO69" i="1"/>
  <c r="AP69" i="1"/>
  <c r="AQ69" i="1"/>
  <c r="AR69" i="1"/>
  <c r="AS69" i="1"/>
  <c r="AT69" i="1"/>
  <c r="AU69" i="1"/>
  <c r="AV69" i="1"/>
  <c r="AW69" i="1"/>
  <c r="AX69" i="1"/>
  <c r="AY69" i="1"/>
  <c r="AZ69" i="1"/>
  <c r="BA69" i="1"/>
  <c r="BB69" i="1"/>
  <c r="BC69" i="1"/>
  <c r="BD69" i="1"/>
  <c r="BE69" i="1"/>
  <c r="BF69" i="1"/>
  <c r="BG69" i="1"/>
  <c r="BH69" i="1"/>
  <c r="BI69" i="1"/>
  <c r="BJ69" i="1"/>
  <c r="BK69" i="1"/>
  <c r="BL69" i="1"/>
  <c r="BM69" i="1"/>
  <c r="BN69" i="1"/>
  <c r="BO69" i="1"/>
  <c r="BP69" i="1"/>
  <c r="BQ69" i="1"/>
  <c r="BR69" i="1"/>
  <c r="BS69" i="1"/>
  <c r="BT69" i="1"/>
  <c r="BU69" i="1"/>
  <c r="BV69" i="1"/>
  <c r="BW69" i="1"/>
  <c r="BX69" i="1"/>
  <c r="BY69" i="1"/>
  <c r="BZ69" i="1"/>
  <c r="CA69" i="1"/>
  <c r="CB69" i="1"/>
  <c r="CC69" i="1"/>
  <c r="CD69" i="1"/>
  <c r="H71" i="1"/>
  <c r="I71" i="1"/>
  <c r="J71" i="1"/>
  <c r="K71" i="1"/>
  <c r="L71" i="1"/>
  <c r="M71" i="1"/>
  <c r="N71" i="1"/>
  <c r="O71" i="1"/>
  <c r="P71" i="1"/>
  <c r="Q71" i="1"/>
  <c r="R71" i="1"/>
  <c r="S71" i="1"/>
  <c r="T71" i="1"/>
  <c r="U71" i="1"/>
  <c r="V71" i="1"/>
  <c r="W71" i="1"/>
  <c r="X71" i="1"/>
  <c r="Y71" i="1"/>
  <c r="Z71" i="1"/>
  <c r="AA71" i="1"/>
  <c r="AB71" i="1"/>
  <c r="AC71" i="1"/>
  <c r="AD71" i="1"/>
  <c r="AE71" i="1"/>
  <c r="AF71" i="1"/>
  <c r="AG71" i="1"/>
  <c r="AH71" i="1"/>
  <c r="AI71" i="1"/>
  <c r="AJ71" i="1"/>
  <c r="AK71" i="1"/>
  <c r="AL71" i="1"/>
  <c r="AM71" i="1"/>
  <c r="AN71" i="1"/>
  <c r="AO71" i="1"/>
  <c r="AP71" i="1"/>
  <c r="AQ71" i="1"/>
  <c r="AR71" i="1"/>
  <c r="AS71" i="1"/>
  <c r="AT71" i="1"/>
  <c r="AU71" i="1"/>
  <c r="AV71" i="1"/>
  <c r="AW71" i="1"/>
  <c r="AX71" i="1"/>
  <c r="AY71" i="1"/>
  <c r="AZ71" i="1"/>
  <c r="BA71" i="1"/>
  <c r="BB71" i="1"/>
  <c r="BC71" i="1"/>
  <c r="BD71" i="1"/>
  <c r="BE71" i="1"/>
  <c r="BF71" i="1"/>
  <c r="BG71" i="1"/>
  <c r="BH71" i="1"/>
  <c r="BI71" i="1"/>
  <c r="BJ71" i="1"/>
  <c r="BK71" i="1"/>
  <c r="BL71" i="1"/>
  <c r="BM71" i="1"/>
  <c r="BN71" i="1"/>
  <c r="BO71" i="1"/>
  <c r="BP71" i="1"/>
  <c r="BQ71" i="1"/>
  <c r="BR71" i="1"/>
  <c r="BS71" i="1"/>
  <c r="BT71" i="1"/>
  <c r="BU71" i="1"/>
  <c r="BV71" i="1"/>
  <c r="BW71" i="1"/>
  <c r="BX71" i="1"/>
  <c r="BY71" i="1"/>
  <c r="BZ71" i="1"/>
  <c r="CA71" i="1"/>
  <c r="CB71" i="1"/>
  <c r="CC71" i="1"/>
  <c r="CD71" i="1"/>
  <c r="H72" i="1"/>
  <c r="I72" i="1"/>
  <c r="J72" i="1"/>
  <c r="K72" i="1"/>
  <c r="L72" i="1"/>
  <c r="M72" i="1"/>
  <c r="N72" i="1"/>
  <c r="O72" i="1"/>
  <c r="P72" i="1"/>
  <c r="Q72" i="1"/>
  <c r="R72" i="1"/>
  <c r="S72" i="1"/>
  <c r="T72" i="1"/>
  <c r="U72" i="1"/>
  <c r="V72" i="1"/>
  <c r="W72" i="1"/>
  <c r="X72" i="1"/>
  <c r="Y72" i="1"/>
  <c r="Z72" i="1"/>
  <c r="AA72" i="1"/>
  <c r="AB72" i="1"/>
  <c r="AC72" i="1"/>
  <c r="AD72" i="1"/>
  <c r="AE72" i="1"/>
  <c r="AF72" i="1"/>
  <c r="AG72" i="1"/>
  <c r="AH72" i="1"/>
  <c r="AI72" i="1"/>
  <c r="AJ72" i="1"/>
  <c r="AK72" i="1"/>
  <c r="AL72" i="1"/>
  <c r="AM72" i="1"/>
  <c r="AN72" i="1"/>
  <c r="AO72" i="1"/>
  <c r="AP72" i="1"/>
  <c r="AQ72" i="1"/>
  <c r="AR72" i="1"/>
  <c r="AS72" i="1"/>
  <c r="AT72" i="1"/>
  <c r="AU72" i="1"/>
  <c r="AV72" i="1"/>
  <c r="AW72" i="1"/>
  <c r="AX72" i="1"/>
  <c r="AY72" i="1"/>
  <c r="AZ72" i="1"/>
  <c r="BA72" i="1"/>
  <c r="BB72" i="1"/>
  <c r="BC72" i="1"/>
  <c r="BD72" i="1"/>
  <c r="BE72" i="1"/>
  <c r="BF72" i="1"/>
  <c r="BG72" i="1"/>
  <c r="BH72" i="1"/>
  <c r="BI72" i="1"/>
  <c r="BJ72" i="1"/>
  <c r="BK72" i="1"/>
  <c r="BL72" i="1"/>
  <c r="BM72" i="1"/>
  <c r="BN72" i="1"/>
  <c r="BO72" i="1"/>
  <c r="BP72" i="1"/>
  <c r="BQ72" i="1"/>
  <c r="BR72" i="1"/>
  <c r="BS72" i="1"/>
  <c r="BT72" i="1"/>
  <c r="BU72" i="1"/>
  <c r="BV72" i="1"/>
  <c r="BW72" i="1"/>
  <c r="BX72" i="1"/>
  <c r="BY72" i="1"/>
  <c r="BZ72" i="1"/>
  <c r="CA72" i="1"/>
  <c r="CB72" i="1"/>
  <c r="CC72" i="1"/>
  <c r="CD72" i="1"/>
  <c r="H73" i="1"/>
  <c r="I73" i="1"/>
  <c r="J73" i="1"/>
  <c r="K73" i="1"/>
  <c r="L73" i="1"/>
  <c r="M73" i="1"/>
  <c r="N73" i="1"/>
  <c r="O73" i="1"/>
  <c r="P73" i="1"/>
  <c r="Q73" i="1"/>
  <c r="R73" i="1"/>
  <c r="S73" i="1"/>
  <c r="T73" i="1"/>
  <c r="U73" i="1"/>
  <c r="V73" i="1"/>
  <c r="W73" i="1"/>
  <c r="X73" i="1"/>
  <c r="Y73" i="1"/>
  <c r="Z73" i="1"/>
  <c r="AA73" i="1"/>
  <c r="AB73" i="1"/>
  <c r="AC73" i="1"/>
  <c r="AD73" i="1"/>
  <c r="AE73" i="1"/>
  <c r="AF73" i="1"/>
  <c r="AG73" i="1"/>
  <c r="AH73" i="1"/>
  <c r="AI73" i="1"/>
  <c r="AJ73" i="1"/>
  <c r="AK73" i="1"/>
  <c r="AL73" i="1"/>
  <c r="AM73" i="1"/>
  <c r="AN73" i="1"/>
  <c r="AO73" i="1"/>
  <c r="AP73" i="1"/>
  <c r="AQ73" i="1"/>
  <c r="AR73" i="1"/>
  <c r="AS73" i="1"/>
  <c r="AT73" i="1"/>
  <c r="AU73" i="1"/>
  <c r="AV73" i="1"/>
  <c r="AW73" i="1"/>
  <c r="AX73" i="1"/>
  <c r="AY73" i="1"/>
  <c r="AZ73" i="1"/>
  <c r="BA73" i="1"/>
  <c r="BB73" i="1"/>
  <c r="BC73" i="1"/>
  <c r="BD73" i="1"/>
  <c r="BE73" i="1"/>
  <c r="BF73" i="1"/>
  <c r="BG73" i="1"/>
  <c r="BH73" i="1"/>
  <c r="BI73" i="1"/>
  <c r="BJ73" i="1"/>
  <c r="BK73" i="1"/>
  <c r="BL73" i="1"/>
  <c r="BM73" i="1"/>
  <c r="BN73" i="1"/>
  <c r="BO73" i="1"/>
  <c r="BP73" i="1"/>
  <c r="BQ73" i="1"/>
  <c r="BR73" i="1"/>
  <c r="BS73" i="1"/>
  <c r="BT73" i="1"/>
  <c r="BU73" i="1"/>
  <c r="BV73" i="1"/>
  <c r="BW73" i="1"/>
  <c r="BX73" i="1"/>
  <c r="BY73" i="1"/>
  <c r="BZ73" i="1"/>
  <c r="CA73" i="1"/>
  <c r="CB73" i="1"/>
  <c r="CC73" i="1"/>
  <c r="CD73" i="1"/>
  <c r="H74" i="1"/>
  <c r="I74" i="1"/>
  <c r="J74" i="1"/>
  <c r="K74" i="1"/>
  <c r="L74" i="1"/>
  <c r="M74" i="1"/>
  <c r="N74" i="1"/>
  <c r="O74" i="1"/>
  <c r="P74" i="1"/>
  <c r="Q74" i="1"/>
  <c r="R74" i="1"/>
  <c r="S74" i="1"/>
  <c r="T74" i="1"/>
  <c r="U74" i="1"/>
  <c r="V74" i="1"/>
  <c r="W74" i="1"/>
  <c r="X74" i="1"/>
  <c r="Y74" i="1"/>
  <c r="Z74" i="1"/>
  <c r="AA74" i="1"/>
  <c r="AB74" i="1"/>
  <c r="AC74" i="1"/>
  <c r="AD74" i="1"/>
  <c r="AE74" i="1"/>
  <c r="AF74" i="1"/>
  <c r="AG74" i="1"/>
  <c r="AH74" i="1"/>
  <c r="AI74" i="1"/>
  <c r="AJ74" i="1"/>
  <c r="AK74" i="1"/>
  <c r="AL74" i="1"/>
  <c r="AM74" i="1"/>
  <c r="AN74" i="1"/>
  <c r="AO74" i="1"/>
  <c r="AP74" i="1"/>
  <c r="AQ74" i="1"/>
  <c r="AR74" i="1"/>
  <c r="AS74" i="1"/>
  <c r="AT74" i="1"/>
  <c r="AU74" i="1"/>
  <c r="AV74" i="1"/>
  <c r="AW74" i="1"/>
  <c r="AX74" i="1"/>
  <c r="AY74" i="1"/>
  <c r="AZ74" i="1"/>
  <c r="BA74" i="1"/>
  <c r="BB74" i="1"/>
  <c r="BC74" i="1"/>
  <c r="BD74" i="1"/>
  <c r="BE74" i="1"/>
  <c r="BF74" i="1"/>
  <c r="BG74" i="1"/>
  <c r="BH74" i="1"/>
  <c r="BI74" i="1"/>
  <c r="BJ74" i="1"/>
  <c r="BK74" i="1"/>
  <c r="BL74" i="1"/>
  <c r="BM74" i="1"/>
  <c r="BN74" i="1"/>
  <c r="BO74" i="1"/>
  <c r="BP74" i="1"/>
  <c r="BQ74" i="1"/>
  <c r="BR74" i="1"/>
  <c r="BS74" i="1"/>
  <c r="BT74" i="1"/>
  <c r="BU74" i="1"/>
  <c r="BV74" i="1"/>
  <c r="BW74" i="1"/>
  <c r="BX74" i="1"/>
  <c r="BY74" i="1"/>
  <c r="BZ74" i="1"/>
  <c r="CA74" i="1"/>
  <c r="CB74" i="1"/>
  <c r="CC74" i="1"/>
  <c r="CD74" i="1"/>
  <c r="H75" i="1"/>
  <c r="I75" i="1"/>
  <c r="J75" i="1"/>
  <c r="K75" i="1"/>
  <c r="L75" i="1"/>
  <c r="M75" i="1"/>
  <c r="N75" i="1"/>
  <c r="O75" i="1"/>
  <c r="P75" i="1"/>
  <c r="Q75" i="1"/>
  <c r="R75" i="1"/>
  <c r="S75" i="1"/>
  <c r="T75" i="1"/>
  <c r="U75" i="1"/>
  <c r="V75" i="1"/>
  <c r="W75" i="1"/>
  <c r="X75" i="1"/>
  <c r="Y75" i="1"/>
  <c r="Z75" i="1"/>
  <c r="AA75" i="1"/>
  <c r="AB75" i="1"/>
  <c r="AC75" i="1"/>
  <c r="AD75" i="1"/>
  <c r="AE75" i="1"/>
  <c r="AF75" i="1"/>
  <c r="AG75" i="1"/>
  <c r="AH75" i="1"/>
  <c r="AI75" i="1"/>
  <c r="AJ75" i="1"/>
  <c r="AK75" i="1"/>
  <c r="AL75" i="1"/>
  <c r="AM75" i="1"/>
  <c r="AN75" i="1"/>
  <c r="AO75" i="1"/>
  <c r="AP75" i="1"/>
  <c r="AQ75" i="1"/>
  <c r="AR75" i="1"/>
  <c r="AS75" i="1"/>
  <c r="AT75" i="1"/>
  <c r="AU75" i="1"/>
  <c r="AV75" i="1"/>
  <c r="AW75" i="1"/>
  <c r="AX75" i="1"/>
  <c r="AY75" i="1"/>
  <c r="AZ75" i="1"/>
  <c r="BA75" i="1"/>
  <c r="BB75" i="1"/>
  <c r="BC75" i="1"/>
  <c r="BD75" i="1"/>
  <c r="BE75" i="1"/>
  <c r="BF75" i="1"/>
  <c r="BG75" i="1"/>
  <c r="BH75" i="1"/>
  <c r="BI75" i="1"/>
  <c r="BJ75" i="1"/>
  <c r="BK75" i="1"/>
  <c r="BL75" i="1"/>
  <c r="BM75" i="1"/>
  <c r="BN75" i="1"/>
  <c r="BO75" i="1"/>
  <c r="BP75" i="1"/>
  <c r="BQ75" i="1"/>
  <c r="BR75" i="1"/>
  <c r="BS75" i="1"/>
  <c r="BT75" i="1"/>
  <c r="BU75" i="1"/>
  <c r="BV75" i="1"/>
  <c r="BW75" i="1"/>
  <c r="BX75" i="1"/>
  <c r="BY75" i="1"/>
  <c r="BZ75" i="1"/>
  <c r="CA75" i="1"/>
  <c r="CB75" i="1"/>
  <c r="CC75" i="1"/>
  <c r="CD75" i="1"/>
  <c r="H76" i="1"/>
  <c r="I76" i="1"/>
  <c r="J76" i="1"/>
  <c r="K76" i="1"/>
  <c r="L76" i="1"/>
  <c r="M76" i="1"/>
  <c r="N76" i="1"/>
  <c r="O76" i="1"/>
  <c r="P76" i="1"/>
  <c r="Q76" i="1"/>
  <c r="R76" i="1"/>
  <c r="S76" i="1"/>
  <c r="T76" i="1"/>
  <c r="U76" i="1"/>
  <c r="V76" i="1"/>
  <c r="W76" i="1"/>
  <c r="X76" i="1"/>
  <c r="Y76" i="1"/>
  <c r="Z76" i="1"/>
  <c r="AA76" i="1"/>
  <c r="AB76" i="1"/>
  <c r="AC76" i="1"/>
  <c r="AD76" i="1"/>
  <c r="AE76" i="1"/>
  <c r="AF76" i="1"/>
  <c r="AG76" i="1"/>
  <c r="AH76" i="1"/>
  <c r="AI76" i="1"/>
  <c r="AJ76" i="1"/>
  <c r="AK76" i="1"/>
  <c r="AL76" i="1"/>
  <c r="AM76" i="1"/>
  <c r="AN76" i="1"/>
  <c r="AO76" i="1"/>
  <c r="AP76" i="1"/>
  <c r="AQ76" i="1"/>
  <c r="AR76" i="1"/>
  <c r="AS76" i="1"/>
  <c r="AT76" i="1"/>
  <c r="AU76" i="1"/>
  <c r="AV76" i="1"/>
  <c r="AW76" i="1"/>
  <c r="AX76" i="1"/>
  <c r="AY76" i="1"/>
  <c r="AZ76" i="1"/>
  <c r="BA76" i="1"/>
  <c r="BB76" i="1"/>
  <c r="BC76" i="1"/>
  <c r="BD76" i="1"/>
  <c r="BE76" i="1"/>
  <c r="BF76" i="1"/>
  <c r="BG76" i="1"/>
  <c r="BH76" i="1"/>
  <c r="BI76" i="1"/>
  <c r="BJ76" i="1"/>
  <c r="BK76" i="1"/>
  <c r="BL76" i="1"/>
  <c r="BM76" i="1"/>
  <c r="BN76" i="1"/>
  <c r="BO76" i="1"/>
  <c r="BP76" i="1"/>
  <c r="BQ76" i="1"/>
  <c r="BR76" i="1"/>
  <c r="BS76" i="1"/>
  <c r="BT76" i="1"/>
  <c r="BU76" i="1"/>
  <c r="BV76" i="1"/>
  <c r="BW76" i="1"/>
  <c r="BX76" i="1"/>
  <c r="BY76" i="1"/>
  <c r="BZ76" i="1"/>
  <c r="CA76" i="1"/>
  <c r="CB76" i="1"/>
  <c r="CC76" i="1"/>
  <c r="CD76" i="1"/>
  <c r="H77" i="1"/>
  <c r="I77" i="1"/>
  <c r="J77" i="1"/>
  <c r="K77" i="1"/>
  <c r="L77" i="1"/>
  <c r="M77" i="1"/>
  <c r="N77" i="1"/>
  <c r="O77" i="1"/>
  <c r="P77" i="1"/>
  <c r="Q77" i="1"/>
  <c r="R77" i="1"/>
  <c r="S77" i="1"/>
  <c r="T77" i="1"/>
  <c r="U77" i="1"/>
  <c r="V77" i="1"/>
  <c r="W77" i="1"/>
  <c r="X77" i="1"/>
  <c r="Y77" i="1"/>
  <c r="Z77" i="1"/>
  <c r="AA77" i="1"/>
  <c r="AB77" i="1"/>
  <c r="AC77" i="1"/>
  <c r="AD77" i="1"/>
  <c r="AE77" i="1"/>
  <c r="AF77" i="1"/>
  <c r="AG77" i="1"/>
  <c r="AH77" i="1"/>
  <c r="AI77" i="1"/>
  <c r="AJ77" i="1"/>
  <c r="AK77" i="1"/>
  <c r="AL77" i="1"/>
  <c r="AM77" i="1"/>
  <c r="AN77" i="1"/>
  <c r="AO77" i="1"/>
  <c r="AP77" i="1"/>
  <c r="AQ77" i="1"/>
  <c r="AR77" i="1"/>
  <c r="AS77" i="1"/>
  <c r="AT77" i="1"/>
  <c r="AU77" i="1"/>
  <c r="AV77" i="1"/>
  <c r="AW77" i="1"/>
  <c r="AX77" i="1"/>
  <c r="AY77" i="1"/>
  <c r="AZ77" i="1"/>
  <c r="BA77" i="1"/>
  <c r="BB77" i="1"/>
  <c r="BC77" i="1"/>
  <c r="BD77" i="1"/>
  <c r="BE77" i="1"/>
  <c r="BF77" i="1"/>
  <c r="BG77" i="1"/>
  <c r="BH77" i="1"/>
  <c r="BI77" i="1"/>
  <c r="BJ77" i="1"/>
  <c r="BK77" i="1"/>
  <c r="BL77" i="1"/>
  <c r="BM77" i="1"/>
  <c r="BN77" i="1"/>
  <c r="BO77" i="1"/>
  <c r="BP77" i="1"/>
  <c r="BQ77" i="1"/>
  <c r="BR77" i="1"/>
  <c r="BS77" i="1"/>
  <c r="BT77" i="1"/>
  <c r="BU77" i="1"/>
  <c r="BV77" i="1"/>
  <c r="BW77" i="1"/>
  <c r="BX77" i="1"/>
  <c r="BY77" i="1"/>
  <c r="BZ77" i="1"/>
  <c r="CA77" i="1"/>
  <c r="CB77" i="1"/>
  <c r="CC77" i="1"/>
  <c r="CD77" i="1"/>
  <c r="H78" i="1"/>
  <c r="I78" i="1"/>
  <c r="J78" i="1"/>
  <c r="K78" i="1"/>
  <c r="L78" i="1"/>
  <c r="M78" i="1"/>
  <c r="N78" i="1"/>
  <c r="O78" i="1"/>
  <c r="P78" i="1"/>
  <c r="Q78" i="1"/>
  <c r="R78" i="1"/>
  <c r="S78" i="1"/>
  <c r="T78" i="1"/>
  <c r="U78" i="1"/>
  <c r="V78" i="1"/>
  <c r="W78" i="1"/>
  <c r="X78" i="1"/>
  <c r="Y78" i="1"/>
  <c r="Z78" i="1"/>
  <c r="AA78" i="1"/>
  <c r="AB78" i="1"/>
  <c r="AC78" i="1"/>
  <c r="AD78" i="1"/>
  <c r="AE78" i="1"/>
  <c r="AF78" i="1"/>
  <c r="AG78" i="1"/>
  <c r="AH78" i="1"/>
  <c r="AI78" i="1"/>
  <c r="AJ78" i="1"/>
  <c r="AK78" i="1"/>
  <c r="AL78" i="1"/>
  <c r="AM78" i="1"/>
  <c r="AN78" i="1"/>
  <c r="AO78" i="1"/>
  <c r="AP78" i="1"/>
  <c r="AQ78" i="1"/>
  <c r="AR78" i="1"/>
  <c r="AS78" i="1"/>
  <c r="AT78" i="1"/>
  <c r="AU78" i="1"/>
  <c r="AV78" i="1"/>
  <c r="AW78" i="1"/>
  <c r="AX78" i="1"/>
  <c r="AY78" i="1"/>
  <c r="AZ78" i="1"/>
  <c r="BA78" i="1"/>
  <c r="BB78" i="1"/>
  <c r="BC78" i="1"/>
  <c r="BD78" i="1"/>
  <c r="BE78" i="1"/>
  <c r="BF78" i="1"/>
  <c r="BG78" i="1"/>
  <c r="BH78" i="1"/>
  <c r="BI78" i="1"/>
  <c r="BJ78" i="1"/>
  <c r="BK78" i="1"/>
  <c r="BL78" i="1"/>
  <c r="BM78" i="1"/>
  <c r="BN78" i="1"/>
  <c r="BO78" i="1"/>
  <c r="BP78" i="1"/>
  <c r="BQ78" i="1"/>
  <c r="BR78" i="1"/>
  <c r="BS78" i="1"/>
  <c r="BT78" i="1"/>
  <c r="BU78" i="1"/>
  <c r="BV78" i="1"/>
  <c r="BW78" i="1"/>
  <c r="BX78" i="1"/>
  <c r="BY78" i="1"/>
  <c r="BZ78" i="1"/>
  <c r="CA78" i="1"/>
  <c r="CB78" i="1"/>
  <c r="CC78" i="1"/>
  <c r="CD78" i="1"/>
  <c r="H79" i="1"/>
  <c r="I79" i="1"/>
  <c r="J79" i="1"/>
  <c r="K79" i="1"/>
  <c r="L79" i="1"/>
  <c r="M79" i="1"/>
  <c r="N79" i="1"/>
  <c r="O79" i="1"/>
  <c r="P79" i="1"/>
  <c r="Q79" i="1"/>
  <c r="R79" i="1"/>
  <c r="S79" i="1"/>
  <c r="T79" i="1"/>
  <c r="U79" i="1"/>
  <c r="V79" i="1"/>
  <c r="W79" i="1"/>
  <c r="X79" i="1"/>
  <c r="Y79" i="1"/>
  <c r="Z79" i="1"/>
  <c r="AA79" i="1"/>
  <c r="AB79" i="1"/>
  <c r="AC79" i="1"/>
  <c r="AD79" i="1"/>
  <c r="AE79" i="1"/>
  <c r="AF79" i="1"/>
  <c r="AG79" i="1"/>
  <c r="AH79" i="1"/>
  <c r="AI79" i="1"/>
  <c r="AJ79" i="1"/>
  <c r="AK79" i="1"/>
  <c r="AL79" i="1"/>
  <c r="AM79" i="1"/>
  <c r="AN79" i="1"/>
  <c r="AO79" i="1"/>
  <c r="AP79" i="1"/>
  <c r="AQ79" i="1"/>
  <c r="AR79" i="1"/>
  <c r="AS79" i="1"/>
  <c r="AT79" i="1"/>
  <c r="AU79" i="1"/>
  <c r="AV79" i="1"/>
  <c r="AW79" i="1"/>
  <c r="AX79" i="1"/>
  <c r="AY79" i="1"/>
  <c r="AZ79" i="1"/>
  <c r="BA79" i="1"/>
  <c r="BB79" i="1"/>
  <c r="BC79" i="1"/>
  <c r="BD79" i="1"/>
  <c r="BE79" i="1"/>
  <c r="BF79" i="1"/>
  <c r="BG79" i="1"/>
  <c r="BH79" i="1"/>
  <c r="BI79" i="1"/>
  <c r="BJ79" i="1"/>
  <c r="BK79" i="1"/>
  <c r="BL79" i="1"/>
  <c r="BM79" i="1"/>
  <c r="BN79" i="1"/>
  <c r="BO79" i="1"/>
  <c r="BP79" i="1"/>
  <c r="BQ79" i="1"/>
  <c r="BR79" i="1"/>
  <c r="BS79" i="1"/>
  <c r="BT79" i="1"/>
  <c r="BU79" i="1"/>
  <c r="BV79" i="1"/>
  <c r="BW79" i="1"/>
  <c r="BX79" i="1"/>
  <c r="BY79" i="1"/>
  <c r="BZ79" i="1"/>
  <c r="CA79" i="1"/>
  <c r="CB79" i="1"/>
  <c r="CC79" i="1"/>
  <c r="CD79" i="1"/>
  <c r="H81" i="1"/>
  <c r="I81" i="1"/>
  <c r="J81" i="1"/>
  <c r="K81" i="1"/>
  <c r="L81" i="1"/>
  <c r="M81" i="1"/>
  <c r="N81" i="1"/>
  <c r="O81" i="1"/>
  <c r="P81" i="1"/>
  <c r="Q81" i="1"/>
  <c r="R81" i="1"/>
  <c r="S81" i="1"/>
  <c r="T81" i="1"/>
  <c r="U81" i="1"/>
  <c r="V81" i="1"/>
  <c r="W81" i="1"/>
  <c r="X81" i="1"/>
  <c r="Y81" i="1"/>
  <c r="Z81" i="1"/>
  <c r="AA81" i="1"/>
  <c r="AB81" i="1"/>
  <c r="AC81" i="1"/>
  <c r="AD81" i="1"/>
  <c r="AE81" i="1"/>
  <c r="AF81" i="1"/>
  <c r="AG81" i="1"/>
  <c r="AH81" i="1"/>
  <c r="AI81" i="1"/>
  <c r="AJ81" i="1"/>
  <c r="AK81" i="1"/>
  <c r="AL81" i="1"/>
  <c r="AM81" i="1"/>
  <c r="AN81" i="1"/>
  <c r="AO81" i="1"/>
  <c r="AP81" i="1"/>
  <c r="AQ81" i="1"/>
  <c r="AR81" i="1"/>
  <c r="AS81" i="1"/>
  <c r="AT81" i="1"/>
  <c r="AU81" i="1"/>
  <c r="AV81" i="1"/>
  <c r="AW81" i="1"/>
  <c r="AX81" i="1"/>
  <c r="AY81" i="1"/>
  <c r="AZ81" i="1"/>
  <c r="BA81" i="1"/>
  <c r="BB81" i="1"/>
  <c r="BC81" i="1"/>
  <c r="BD81" i="1"/>
  <c r="BE81" i="1"/>
  <c r="BF81" i="1"/>
  <c r="BG81" i="1"/>
  <c r="BH81" i="1"/>
  <c r="BI81" i="1"/>
  <c r="BJ81" i="1"/>
  <c r="BK81" i="1"/>
  <c r="BL81" i="1"/>
  <c r="BM81" i="1"/>
  <c r="BN81" i="1"/>
  <c r="BO81" i="1"/>
  <c r="BP81" i="1"/>
  <c r="BQ81" i="1"/>
  <c r="BR81" i="1"/>
  <c r="BS81" i="1"/>
  <c r="BT81" i="1"/>
  <c r="BU81" i="1"/>
  <c r="BV81" i="1"/>
  <c r="BW81" i="1"/>
  <c r="BX81" i="1"/>
  <c r="BY81" i="1"/>
  <c r="BZ81" i="1"/>
  <c r="CA81" i="1"/>
  <c r="CB81" i="1"/>
  <c r="CC81" i="1"/>
  <c r="CD81" i="1"/>
  <c r="H82" i="1"/>
  <c r="I82" i="1"/>
  <c r="J82" i="1"/>
  <c r="K82" i="1"/>
  <c r="L82" i="1"/>
  <c r="M82" i="1"/>
  <c r="N82" i="1"/>
  <c r="O82" i="1"/>
  <c r="P82" i="1"/>
  <c r="Q82" i="1"/>
  <c r="R82" i="1"/>
  <c r="S82" i="1"/>
  <c r="T82" i="1"/>
  <c r="U82" i="1"/>
  <c r="V82" i="1"/>
  <c r="W82" i="1"/>
  <c r="X82" i="1"/>
  <c r="Y82" i="1"/>
  <c r="Z82" i="1"/>
  <c r="AA82" i="1"/>
  <c r="AB82" i="1"/>
  <c r="AC82" i="1"/>
  <c r="AD82" i="1"/>
  <c r="AE82" i="1"/>
  <c r="AF82" i="1"/>
  <c r="AG82" i="1"/>
  <c r="AH82" i="1"/>
  <c r="AI82" i="1"/>
  <c r="AJ82" i="1"/>
  <c r="AK82" i="1"/>
  <c r="AL82" i="1"/>
  <c r="AM82" i="1"/>
  <c r="AN82" i="1"/>
  <c r="AO82" i="1"/>
  <c r="AP82" i="1"/>
  <c r="AQ82" i="1"/>
  <c r="AR82" i="1"/>
  <c r="AS82" i="1"/>
  <c r="AT82" i="1"/>
  <c r="AU82" i="1"/>
  <c r="AV82" i="1"/>
  <c r="AW82" i="1"/>
  <c r="AX82" i="1"/>
  <c r="AY82" i="1"/>
  <c r="AZ82" i="1"/>
  <c r="BA82" i="1"/>
  <c r="BB82" i="1"/>
  <c r="BC82" i="1"/>
  <c r="BD82" i="1"/>
  <c r="BE82" i="1"/>
  <c r="BF82" i="1"/>
  <c r="BG82" i="1"/>
  <c r="BH82" i="1"/>
  <c r="BI82" i="1"/>
  <c r="BJ82" i="1"/>
  <c r="BK82" i="1"/>
  <c r="BL82" i="1"/>
  <c r="BM82" i="1"/>
  <c r="BN82" i="1"/>
  <c r="BO82" i="1"/>
  <c r="BP82" i="1"/>
  <c r="BQ82" i="1"/>
  <c r="BR82" i="1"/>
  <c r="BS82" i="1"/>
  <c r="BT82" i="1"/>
  <c r="BU82" i="1"/>
  <c r="BV82" i="1"/>
  <c r="BW82" i="1"/>
  <c r="BX82" i="1"/>
  <c r="BY82" i="1"/>
  <c r="BZ82" i="1"/>
  <c r="CA82" i="1"/>
  <c r="CB82" i="1"/>
  <c r="CC82" i="1"/>
  <c r="CD82" i="1"/>
  <c r="H83" i="1"/>
  <c r="I83" i="1"/>
  <c r="J83" i="1"/>
  <c r="K83" i="1"/>
  <c r="L83" i="1"/>
  <c r="M83" i="1"/>
  <c r="N83" i="1"/>
  <c r="O83" i="1"/>
  <c r="P83" i="1"/>
  <c r="Q83" i="1"/>
  <c r="R83" i="1"/>
  <c r="S83" i="1"/>
  <c r="T83" i="1"/>
  <c r="U83" i="1"/>
  <c r="V83" i="1"/>
  <c r="W83" i="1"/>
  <c r="X83" i="1"/>
  <c r="Y83" i="1"/>
  <c r="Z83" i="1"/>
  <c r="AA83" i="1"/>
  <c r="AB83" i="1"/>
  <c r="AC83" i="1"/>
  <c r="AD83" i="1"/>
  <c r="AE83" i="1"/>
  <c r="AF83" i="1"/>
  <c r="AG83" i="1"/>
  <c r="AH83" i="1"/>
  <c r="AI83" i="1"/>
  <c r="AJ83" i="1"/>
  <c r="AK83" i="1"/>
  <c r="AL83" i="1"/>
  <c r="AM83" i="1"/>
  <c r="AN83" i="1"/>
  <c r="AO83" i="1"/>
  <c r="AP83" i="1"/>
  <c r="AQ83" i="1"/>
  <c r="AR83" i="1"/>
  <c r="AS83" i="1"/>
  <c r="AT83" i="1"/>
  <c r="AU83" i="1"/>
  <c r="AV83" i="1"/>
  <c r="AW83" i="1"/>
  <c r="AX83" i="1"/>
  <c r="AY83" i="1"/>
  <c r="AZ83" i="1"/>
  <c r="BA83" i="1"/>
  <c r="BB83" i="1"/>
  <c r="BC83" i="1"/>
  <c r="BD83" i="1"/>
  <c r="BE83" i="1"/>
  <c r="BF83" i="1"/>
  <c r="BG83" i="1"/>
  <c r="BH83" i="1"/>
  <c r="BI83" i="1"/>
  <c r="BJ83" i="1"/>
  <c r="BK83" i="1"/>
  <c r="BL83" i="1"/>
  <c r="BM83" i="1"/>
  <c r="BN83" i="1"/>
  <c r="BO83" i="1"/>
  <c r="BP83" i="1"/>
  <c r="BQ83" i="1"/>
  <c r="BR83" i="1"/>
  <c r="BS83" i="1"/>
  <c r="BT83" i="1"/>
  <c r="BU83" i="1"/>
  <c r="BV83" i="1"/>
  <c r="BW83" i="1"/>
  <c r="BX83" i="1"/>
  <c r="BY83" i="1"/>
  <c r="BZ83" i="1"/>
  <c r="CA83" i="1"/>
  <c r="CB83" i="1"/>
  <c r="CC83" i="1"/>
  <c r="CD83" i="1"/>
  <c r="H86" i="1"/>
  <c r="I86" i="1"/>
  <c r="J86" i="1"/>
  <c r="K86" i="1"/>
  <c r="L86" i="1"/>
  <c r="M86" i="1"/>
  <c r="N86" i="1"/>
  <c r="O86" i="1"/>
  <c r="P86" i="1"/>
  <c r="Q86" i="1"/>
  <c r="R86" i="1"/>
  <c r="S86" i="1"/>
  <c r="T86" i="1"/>
  <c r="U86" i="1"/>
  <c r="V86" i="1"/>
  <c r="W86" i="1"/>
  <c r="X86" i="1"/>
  <c r="Y86" i="1"/>
  <c r="Z86" i="1"/>
  <c r="AA86" i="1"/>
  <c r="AB86" i="1"/>
  <c r="AC86" i="1"/>
  <c r="AD86" i="1"/>
  <c r="AE86" i="1"/>
  <c r="AF86" i="1"/>
  <c r="AG86" i="1"/>
  <c r="AH86" i="1"/>
  <c r="AI86" i="1"/>
  <c r="AJ86" i="1"/>
  <c r="AK86" i="1"/>
  <c r="AL86" i="1"/>
  <c r="AM86" i="1"/>
  <c r="AN86" i="1"/>
  <c r="AO86" i="1"/>
  <c r="AP86" i="1"/>
  <c r="AQ86" i="1"/>
  <c r="AR86" i="1"/>
  <c r="AS86" i="1"/>
  <c r="AT86" i="1"/>
  <c r="AU86" i="1"/>
  <c r="AV86" i="1"/>
  <c r="AW86" i="1"/>
  <c r="AX86" i="1"/>
  <c r="AY86" i="1"/>
  <c r="AZ86" i="1"/>
  <c r="BA86" i="1"/>
  <c r="BB86" i="1"/>
  <c r="BC86" i="1"/>
  <c r="BD86" i="1"/>
  <c r="BE86" i="1"/>
  <c r="BF86" i="1"/>
  <c r="BG86" i="1"/>
  <c r="BH86" i="1"/>
  <c r="BI86" i="1"/>
  <c r="BJ86" i="1"/>
  <c r="BK86" i="1"/>
  <c r="BL86" i="1"/>
  <c r="BM86" i="1"/>
  <c r="BN86" i="1"/>
  <c r="BO86" i="1"/>
  <c r="BP86" i="1"/>
  <c r="BQ86" i="1"/>
  <c r="BR86" i="1"/>
  <c r="BS86" i="1"/>
  <c r="BT86" i="1"/>
  <c r="BU86" i="1"/>
  <c r="BV86" i="1"/>
  <c r="BW86" i="1"/>
  <c r="BX86" i="1"/>
  <c r="BY86" i="1"/>
  <c r="BZ86" i="1"/>
  <c r="CA86" i="1"/>
  <c r="CB86" i="1"/>
  <c r="CC86" i="1"/>
  <c r="CD86" i="1"/>
  <c r="H87" i="1"/>
  <c r="I87" i="1"/>
  <c r="J87" i="1"/>
  <c r="K87" i="1"/>
  <c r="L87" i="1"/>
  <c r="M87" i="1"/>
  <c r="N87" i="1"/>
  <c r="O87" i="1"/>
  <c r="P87" i="1"/>
  <c r="Q87" i="1"/>
  <c r="R87" i="1"/>
  <c r="S87" i="1"/>
  <c r="T87" i="1"/>
  <c r="U87" i="1"/>
  <c r="V87" i="1"/>
  <c r="W87" i="1"/>
  <c r="X87" i="1"/>
  <c r="Y87" i="1"/>
  <c r="Z87" i="1"/>
  <c r="AA87" i="1"/>
  <c r="AB87" i="1"/>
  <c r="AC87" i="1"/>
  <c r="AD87" i="1"/>
  <c r="AE87" i="1"/>
  <c r="AF87" i="1"/>
  <c r="AG87" i="1"/>
  <c r="AH87" i="1"/>
  <c r="AI87" i="1"/>
  <c r="AJ87" i="1"/>
  <c r="AK87" i="1"/>
  <c r="AL87" i="1"/>
  <c r="AM87" i="1"/>
  <c r="AN87" i="1"/>
  <c r="AO87" i="1"/>
  <c r="AP87" i="1"/>
  <c r="AQ87" i="1"/>
  <c r="AR87" i="1"/>
  <c r="AS87" i="1"/>
  <c r="AT87" i="1"/>
  <c r="AU87" i="1"/>
  <c r="AV87" i="1"/>
  <c r="AW87" i="1"/>
  <c r="AX87" i="1"/>
  <c r="AY87" i="1"/>
  <c r="AZ87" i="1"/>
  <c r="BA87" i="1"/>
  <c r="BB87" i="1"/>
  <c r="BC87" i="1"/>
  <c r="BD87" i="1"/>
  <c r="BE87" i="1"/>
  <c r="BF87" i="1"/>
  <c r="BG87" i="1"/>
  <c r="BH87" i="1"/>
  <c r="BI87" i="1"/>
  <c r="BJ87" i="1"/>
  <c r="BK87" i="1"/>
  <c r="BL87" i="1"/>
  <c r="BM87" i="1"/>
  <c r="BN87" i="1"/>
  <c r="BO87" i="1"/>
  <c r="BP87" i="1"/>
  <c r="BQ87" i="1"/>
  <c r="BR87" i="1"/>
  <c r="BS87" i="1"/>
  <c r="BT87" i="1"/>
  <c r="BU87" i="1"/>
  <c r="BV87" i="1"/>
  <c r="BW87" i="1"/>
  <c r="BX87" i="1"/>
  <c r="BY87" i="1"/>
  <c r="BZ87" i="1"/>
  <c r="CA87" i="1"/>
  <c r="CB87" i="1"/>
  <c r="CC87" i="1"/>
  <c r="CD87" i="1"/>
  <c r="H88" i="1"/>
  <c r="I88" i="1"/>
  <c r="J88" i="1"/>
  <c r="K88" i="1"/>
  <c r="L88" i="1"/>
  <c r="M88" i="1"/>
  <c r="N88" i="1"/>
  <c r="O88" i="1"/>
  <c r="P88" i="1"/>
  <c r="Q88" i="1"/>
  <c r="R88" i="1"/>
  <c r="S88" i="1"/>
  <c r="T88" i="1"/>
  <c r="U88" i="1"/>
  <c r="V88" i="1"/>
  <c r="W88" i="1"/>
  <c r="X88" i="1"/>
  <c r="Y88" i="1"/>
  <c r="Z88" i="1"/>
  <c r="AA88" i="1"/>
  <c r="AB88" i="1"/>
  <c r="AC88" i="1"/>
  <c r="AD88" i="1"/>
  <c r="AE88" i="1"/>
  <c r="AF88" i="1"/>
  <c r="AG88" i="1"/>
  <c r="AH88" i="1"/>
  <c r="AI88" i="1"/>
  <c r="AJ88" i="1"/>
  <c r="AK88" i="1"/>
  <c r="AL88" i="1"/>
  <c r="AM88" i="1"/>
  <c r="AN88" i="1"/>
  <c r="AO88" i="1"/>
  <c r="AP88" i="1"/>
  <c r="AQ88" i="1"/>
  <c r="AR88" i="1"/>
  <c r="AS88" i="1"/>
  <c r="AT88" i="1"/>
  <c r="AU88" i="1"/>
  <c r="AV88" i="1"/>
  <c r="AW88" i="1"/>
  <c r="AX88" i="1"/>
  <c r="AY88" i="1"/>
  <c r="AZ88" i="1"/>
  <c r="BA88" i="1"/>
  <c r="BB88" i="1"/>
  <c r="BC88" i="1"/>
  <c r="BD88" i="1"/>
  <c r="BE88" i="1"/>
  <c r="BF88" i="1"/>
  <c r="BG88" i="1"/>
  <c r="BH88" i="1"/>
  <c r="BI88" i="1"/>
  <c r="BJ88" i="1"/>
  <c r="BK88" i="1"/>
  <c r="BL88" i="1"/>
  <c r="BM88" i="1"/>
  <c r="BN88" i="1"/>
  <c r="BO88" i="1"/>
  <c r="BP88" i="1"/>
  <c r="BQ88" i="1"/>
  <c r="BR88" i="1"/>
  <c r="BS88" i="1"/>
  <c r="BT88" i="1"/>
  <c r="BU88" i="1"/>
  <c r="BV88" i="1"/>
  <c r="BW88" i="1"/>
  <c r="BX88" i="1"/>
  <c r="BY88" i="1"/>
  <c r="BZ88" i="1"/>
  <c r="CA88" i="1"/>
  <c r="CB88" i="1"/>
  <c r="CC88" i="1"/>
  <c r="CD88" i="1"/>
  <c r="H90" i="1"/>
  <c r="I90" i="1"/>
  <c r="J90" i="1"/>
  <c r="K90" i="1"/>
  <c r="L90" i="1"/>
  <c r="M90" i="1"/>
  <c r="N90" i="1"/>
  <c r="O90" i="1"/>
  <c r="P90" i="1"/>
  <c r="Q90" i="1"/>
  <c r="R90" i="1"/>
  <c r="S90" i="1"/>
  <c r="T90" i="1"/>
  <c r="U90" i="1"/>
  <c r="V90" i="1"/>
  <c r="W90" i="1"/>
  <c r="X90" i="1"/>
  <c r="Y90" i="1"/>
  <c r="Z90" i="1"/>
  <c r="AA90" i="1"/>
  <c r="AB90" i="1"/>
  <c r="AC90" i="1"/>
  <c r="AD90" i="1"/>
  <c r="AE90" i="1"/>
  <c r="AF90" i="1"/>
  <c r="AG90" i="1"/>
  <c r="AH90" i="1"/>
  <c r="AI90" i="1"/>
  <c r="AJ90" i="1"/>
  <c r="AK90" i="1"/>
  <c r="AL90" i="1"/>
  <c r="AM90" i="1"/>
  <c r="AN90" i="1"/>
  <c r="AO90" i="1"/>
  <c r="AP90" i="1"/>
  <c r="AQ90" i="1"/>
  <c r="AR90" i="1"/>
  <c r="AS90" i="1"/>
  <c r="AT90" i="1"/>
  <c r="AU90" i="1"/>
  <c r="AV90" i="1"/>
  <c r="AW90" i="1"/>
  <c r="AX90" i="1"/>
  <c r="AY90" i="1"/>
  <c r="AZ90" i="1"/>
  <c r="BA90" i="1"/>
  <c r="BB90" i="1"/>
  <c r="BC90" i="1"/>
  <c r="BD90" i="1"/>
  <c r="BE90" i="1"/>
  <c r="BF90" i="1"/>
  <c r="BG90" i="1"/>
  <c r="BH90" i="1"/>
  <c r="BI90" i="1"/>
  <c r="BJ90" i="1"/>
  <c r="BK90" i="1"/>
  <c r="BL90" i="1"/>
  <c r="BM90" i="1"/>
  <c r="BN90" i="1"/>
  <c r="BO90" i="1"/>
  <c r="BP90" i="1"/>
  <c r="BQ90" i="1"/>
  <c r="BR90" i="1"/>
  <c r="BS90" i="1"/>
  <c r="BT90" i="1"/>
  <c r="BU90" i="1"/>
  <c r="BV90" i="1"/>
  <c r="BW90" i="1"/>
  <c r="BX90" i="1"/>
  <c r="BY90" i="1"/>
  <c r="BZ90" i="1"/>
  <c r="CA90" i="1"/>
  <c r="CB90" i="1"/>
  <c r="CC90" i="1"/>
  <c r="CD90" i="1"/>
  <c r="H91" i="1"/>
  <c r="I91" i="1"/>
  <c r="J91" i="1"/>
  <c r="K91" i="1"/>
  <c r="L91" i="1"/>
  <c r="M91" i="1"/>
  <c r="N91" i="1"/>
  <c r="O91" i="1"/>
  <c r="P91" i="1"/>
  <c r="Q91" i="1"/>
  <c r="R91" i="1"/>
  <c r="S91" i="1"/>
  <c r="T91" i="1"/>
  <c r="U91" i="1"/>
  <c r="V91" i="1"/>
  <c r="W91" i="1"/>
  <c r="X91" i="1"/>
  <c r="Y91" i="1"/>
  <c r="Z91" i="1"/>
  <c r="AA91" i="1"/>
  <c r="AB91" i="1"/>
  <c r="AC91" i="1"/>
  <c r="AD91" i="1"/>
  <c r="AE91" i="1"/>
  <c r="AF91" i="1"/>
  <c r="AG91" i="1"/>
  <c r="AH91" i="1"/>
  <c r="AI91" i="1"/>
  <c r="AJ91" i="1"/>
  <c r="AK91" i="1"/>
  <c r="AL91" i="1"/>
  <c r="AM91" i="1"/>
  <c r="AN91" i="1"/>
  <c r="AO91" i="1"/>
  <c r="AP91" i="1"/>
  <c r="AQ91" i="1"/>
  <c r="AR91" i="1"/>
  <c r="AS91" i="1"/>
  <c r="AT91" i="1"/>
  <c r="AU91" i="1"/>
  <c r="AV91" i="1"/>
  <c r="AW91" i="1"/>
  <c r="AX91" i="1"/>
  <c r="AY91" i="1"/>
  <c r="AZ91" i="1"/>
  <c r="BA91" i="1"/>
  <c r="BB91" i="1"/>
  <c r="BC91" i="1"/>
  <c r="BD91" i="1"/>
  <c r="BE91" i="1"/>
  <c r="BF91" i="1"/>
  <c r="BG91" i="1"/>
  <c r="BH91" i="1"/>
  <c r="BI91" i="1"/>
  <c r="BJ91" i="1"/>
  <c r="BK91" i="1"/>
  <c r="BL91" i="1"/>
  <c r="BM91" i="1"/>
  <c r="BN91" i="1"/>
  <c r="BO91" i="1"/>
  <c r="BP91" i="1"/>
  <c r="BQ91" i="1"/>
  <c r="BR91" i="1"/>
  <c r="BS91" i="1"/>
  <c r="BT91" i="1"/>
  <c r="BU91" i="1"/>
  <c r="BV91" i="1"/>
  <c r="BW91" i="1"/>
  <c r="BX91" i="1"/>
  <c r="BY91" i="1"/>
  <c r="BZ91" i="1"/>
  <c r="CA91" i="1"/>
  <c r="CB91" i="1"/>
  <c r="CC91" i="1"/>
  <c r="CD91" i="1"/>
  <c r="H92" i="1"/>
  <c r="I92" i="1"/>
  <c r="J92" i="1"/>
  <c r="K92" i="1"/>
  <c r="L92" i="1"/>
  <c r="M92" i="1"/>
  <c r="N92" i="1"/>
  <c r="O92" i="1"/>
  <c r="P92" i="1"/>
  <c r="Q92" i="1"/>
  <c r="R92" i="1"/>
  <c r="S92" i="1"/>
  <c r="T92" i="1"/>
  <c r="U92" i="1"/>
  <c r="V92" i="1"/>
  <c r="W92" i="1"/>
  <c r="X92" i="1"/>
  <c r="Y92" i="1"/>
  <c r="Z92" i="1"/>
  <c r="AA92" i="1"/>
  <c r="AB92" i="1"/>
  <c r="AC92" i="1"/>
  <c r="AD92" i="1"/>
  <c r="AE92" i="1"/>
  <c r="AF92" i="1"/>
  <c r="AG92" i="1"/>
  <c r="AH92" i="1"/>
  <c r="AI92" i="1"/>
  <c r="AJ92" i="1"/>
  <c r="AK92" i="1"/>
  <c r="AL92" i="1"/>
  <c r="AM92" i="1"/>
  <c r="AN92" i="1"/>
  <c r="AO92" i="1"/>
  <c r="AP92" i="1"/>
  <c r="AQ92" i="1"/>
  <c r="AR92" i="1"/>
  <c r="AS92" i="1"/>
  <c r="AT92" i="1"/>
  <c r="AU92" i="1"/>
  <c r="AV92" i="1"/>
  <c r="AW92" i="1"/>
  <c r="AX92" i="1"/>
  <c r="AY92" i="1"/>
  <c r="AZ92" i="1"/>
  <c r="BA92" i="1"/>
  <c r="BB92" i="1"/>
  <c r="BC92" i="1"/>
  <c r="BD92" i="1"/>
  <c r="BE92" i="1"/>
  <c r="BF92" i="1"/>
  <c r="BG92" i="1"/>
  <c r="BH92" i="1"/>
  <c r="BI92" i="1"/>
  <c r="BJ92" i="1"/>
  <c r="BK92" i="1"/>
  <c r="BL92" i="1"/>
  <c r="BM92" i="1"/>
  <c r="BN92" i="1"/>
  <c r="BO92" i="1"/>
  <c r="BP92" i="1"/>
  <c r="BQ92" i="1"/>
  <c r="BR92" i="1"/>
  <c r="BS92" i="1"/>
  <c r="BT92" i="1"/>
  <c r="BU92" i="1"/>
  <c r="BV92" i="1"/>
  <c r="BW92" i="1"/>
  <c r="BX92" i="1"/>
  <c r="BY92" i="1"/>
  <c r="BZ92" i="1"/>
  <c r="CA92" i="1"/>
  <c r="CB92" i="1"/>
  <c r="CC92" i="1"/>
  <c r="CD92" i="1"/>
  <c r="H93" i="1"/>
  <c r="I93" i="1"/>
  <c r="J93" i="1"/>
  <c r="K93" i="1"/>
  <c r="L93" i="1"/>
  <c r="M93" i="1"/>
  <c r="N93" i="1"/>
  <c r="O93" i="1"/>
  <c r="P93" i="1"/>
  <c r="Q93" i="1"/>
  <c r="R93" i="1"/>
  <c r="S93" i="1"/>
  <c r="T93" i="1"/>
  <c r="U93" i="1"/>
  <c r="V93" i="1"/>
  <c r="W93" i="1"/>
  <c r="X93" i="1"/>
  <c r="Y93" i="1"/>
  <c r="Z93" i="1"/>
  <c r="AA93" i="1"/>
  <c r="AB93" i="1"/>
  <c r="AC93" i="1"/>
  <c r="AD93" i="1"/>
  <c r="AE93" i="1"/>
  <c r="AF93" i="1"/>
  <c r="AG93" i="1"/>
  <c r="AH93" i="1"/>
  <c r="AI93" i="1"/>
  <c r="AJ93" i="1"/>
  <c r="AK93" i="1"/>
  <c r="AL93" i="1"/>
  <c r="AM93" i="1"/>
  <c r="AN93" i="1"/>
  <c r="AO93" i="1"/>
  <c r="AP93" i="1"/>
  <c r="AQ93" i="1"/>
  <c r="AR93" i="1"/>
  <c r="AS93" i="1"/>
  <c r="AT93" i="1"/>
  <c r="AU93" i="1"/>
  <c r="AV93" i="1"/>
  <c r="AW93" i="1"/>
  <c r="AX93" i="1"/>
  <c r="AY93" i="1"/>
  <c r="AZ93" i="1"/>
  <c r="BA93" i="1"/>
  <c r="BB93" i="1"/>
  <c r="BC93" i="1"/>
  <c r="BD93" i="1"/>
  <c r="BE93" i="1"/>
  <c r="BF93" i="1"/>
  <c r="BG93" i="1"/>
  <c r="BH93" i="1"/>
  <c r="BI93" i="1"/>
  <c r="BJ93" i="1"/>
  <c r="BK93" i="1"/>
  <c r="BL93" i="1"/>
  <c r="BM93" i="1"/>
  <c r="BN93" i="1"/>
  <c r="BO93" i="1"/>
  <c r="BP93" i="1"/>
  <c r="BQ93" i="1"/>
  <c r="BR93" i="1"/>
  <c r="BS93" i="1"/>
  <c r="BT93" i="1"/>
  <c r="BU93" i="1"/>
  <c r="BV93" i="1"/>
  <c r="BW93" i="1"/>
  <c r="BX93" i="1"/>
  <c r="BY93" i="1"/>
  <c r="BZ93" i="1"/>
  <c r="CA93" i="1"/>
  <c r="CB93" i="1"/>
  <c r="CC93" i="1"/>
  <c r="CD93" i="1"/>
  <c r="H94" i="1"/>
  <c r="I94" i="1"/>
  <c r="J94" i="1"/>
  <c r="K94" i="1"/>
  <c r="L94" i="1"/>
  <c r="M94" i="1"/>
  <c r="N94" i="1"/>
  <c r="O94" i="1"/>
  <c r="P94" i="1"/>
  <c r="Q94" i="1"/>
  <c r="R94" i="1"/>
  <c r="S94" i="1"/>
  <c r="T94" i="1"/>
  <c r="U94" i="1"/>
  <c r="V94" i="1"/>
  <c r="W94" i="1"/>
  <c r="X94" i="1"/>
  <c r="Y94" i="1"/>
  <c r="Z94" i="1"/>
  <c r="AA94" i="1"/>
  <c r="AB94" i="1"/>
  <c r="AC94" i="1"/>
  <c r="AD94" i="1"/>
  <c r="AE94" i="1"/>
  <c r="AF94" i="1"/>
  <c r="AG94" i="1"/>
  <c r="AH94" i="1"/>
  <c r="AI94" i="1"/>
  <c r="AJ94" i="1"/>
  <c r="AK94" i="1"/>
  <c r="AL94" i="1"/>
  <c r="AM94" i="1"/>
  <c r="AN94" i="1"/>
  <c r="AO94" i="1"/>
  <c r="AP94" i="1"/>
  <c r="AQ94" i="1"/>
  <c r="AR94" i="1"/>
  <c r="AS94" i="1"/>
  <c r="AT94" i="1"/>
  <c r="AU94" i="1"/>
  <c r="AV94" i="1"/>
  <c r="AW94" i="1"/>
  <c r="AX94" i="1"/>
  <c r="AY94" i="1"/>
  <c r="AZ94" i="1"/>
  <c r="BA94" i="1"/>
  <c r="BB94" i="1"/>
  <c r="BC94" i="1"/>
  <c r="BD94" i="1"/>
  <c r="BE94" i="1"/>
  <c r="BF94" i="1"/>
  <c r="BG94" i="1"/>
  <c r="BH94" i="1"/>
  <c r="BI94" i="1"/>
  <c r="BJ94" i="1"/>
  <c r="BK94" i="1"/>
  <c r="BL94" i="1"/>
  <c r="BM94" i="1"/>
  <c r="BN94" i="1"/>
  <c r="BO94" i="1"/>
  <c r="BP94" i="1"/>
  <c r="BQ94" i="1"/>
  <c r="BR94" i="1"/>
  <c r="BS94" i="1"/>
  <c r="BT94" i="1"/>
  <c r="BU94" i="1"/>
  <c r="BV94" i="1"/>
  <c r="BW94" i="1"/>
  <c r="BX94" i="1"/>
  <c r="BY94" i="1"/>
  <c r="BZ94" i="1"/>
  <c r="CA94" i="1"/>
  <c r="CB94" i="1"/>
  <c r="CC94" i="1"/>
  <c r="CD94" i="1"/>
  <c r="H95" i="1"/>
  <c r="I95" i="1"/>
  <c r="J95" i="1"/>
  <c r="K95" i="1"/>
  <c r="L95" i="1"/>
  <c r="M95" i="1"/>
  <c r="N95" i="1"/>
  <c r="O95" i="1"/>
  <c r="P95" i="1"/>
  <c r="Q95" i="1"/>
  <c r="R95" i="1"/>
  <c r="S95" i="1"/>
  <c r="T95" i="1"/>
  <c r="U95" i="1"/>
  <c r="V95" i="1"/>
  <c r="W95" i="1"/>
  <c r="X95" i="1"/>
  <c r="Y95" i="1"/>
  <c r="Z95" i="1"/>
  <c r="AA95" i="1"/>
  <c r="AB95" i="1"/>
  <c r="AC95" i="1"/>
  <c r="AD95" i="1"/>
  <c r="AE95" i="1"/>
  <c r="AF95" i="1"/>
  <c r="AG95" i="1"/>
  <c r="AH95" i="1"/>
  <c r="AI95" i="1"/>
  <c r="AJ95" i="1"/>
  <c r="AK95" i="1"/>
  <c r="AL95" i="1"/>
  <c r="AM95" i="1"/>
  <c r="AN95" i="1"/>
  <c r="AO95" i="1"/>
  <c r="AP95" i="1"/>
  <c r="AQ95" i="1"/>
  <c r="AR95" i="1"/>
  <c r="AS95" i="1"/>
  <c r="AT95" i="1"/>
  <c r="AU95" i="1"/>
  <c r="AV95" i="1"/>
  <c r="AW95" i="1"/>
  <c r="AX95" i="1"/>
  <c r="AY95" i="1"/>
  <c r="AZ95" i="1"/>
  <c r="BA95" i="1"/>
  <c r="BB95" i="1"/>
  <c r="BC95" i="1"/>
  <c r="BD95" i="1"/>
  <c r="BE95" i="1"/>
  <c r="BF95" i="1"/>
  <c r="BG95" i="1"/>
  <c r="BH95" i="1"/>
  <c r="BI95" i="1"/>
  <c r="BJ95" i="1"/>
  <c r="BK95" i="1"/>
  <c r="BL95" i="1"/>
  <c r="BM95" i="1"/>
  <c r="BN95" i="1"/>
  <c r="BO95" i="1"/>
  <c r="BP95" i="1"/>
  <c r="BQ95" i="1"/>
  <c r="BR95" i="1"/>
  <c r="BS95" i="1"/>
  <c r="BT95" i="1"/>
  <c r="BU95" i="1"/>
  <c r="BV95" i="1"/>
  <c r="BW95" i="1"/>
  <c r="BX95" i="1"/>
  <c r="BY95" i="1"/>
  <c r="BZ95" i="1"/>
  <c r="CA95" i="1"/>
  <c r="CB95" i="1"/>
  <c r="CC95" i="1"/>
  <c r="CD95" i="1"/>
  <c r="AF97" i="1"/>
  <c r="AG97" i="1"/>
  <c r="AH97" i="1"/>
  <c r="AI97" i="1"/>
  <c r="AJ97" i="1"/>
  <c r="AK97" i="1"/>
  <c r="AL97" i="1"/>
  <c r="AM97" i="1"/>
  <c r="AN97" i="1"/>
  <c r="AO97" i="1"/>
  <c r="AP97" i="1"/>
  <c r="AQ97" i="1"/>
  <c r="AR97" i="1"/>
  <c r="AS97" i="1"/>
  <c r="AT97" i="1"/>
  <c r="AU97" i="1"/>
  <c r="AV97" i="1"/>
  <c r="AW97" i="1"/>
  <c r="AX97" i="1"/>
  <c r="AY97" i="1"/>
  <c r="AZ97" i="1"/>
  <c r="BA97" i="1"/>
  <c r="BB97" i="1"/>
  <c r="BC97" i="1"/>
  <c r="BD97" i="1"/>
  <c r="BE97" i="1"/>
  <c r="BF97" i="1"/>
  <c r="BG97" i="1"/>
  <c r="BH97" i="1"/>
  <c r="BI97" i="1"/>
  <c r="BJ97" i="1"/>
  <c r="BK97" i="1"/>
  <c r="BL97" i="1"/>
  <c r="BM97" i="1"/>
  <c r="BN97" i="1"/>
  <c r="BO97" i="1"/>
  <c r="BP97" i="1"/>
  <c r="BQ97" i="1"/>
  <c r="BR97" i="1"/>
  <c r="BS97" i="1"/>
  <c r="BT97" i="1"/>
  <c r="BU97" i="1"/>
  <c r="BV97" i="1"/>
  <c r="BW97" i="1"/>
  <c r="BX97" i="1"/>
  <c r="BY97" i="1"/>
  <c r="BZ97" i="1"/>
  <c r="CA97" i="1"/>
  <c r="CB97" i="1"/>
  <c r="CC97" i="1"/>
  <c r="CD97" i="1"/>
  <c r="AF98" i="1"/>
  <c r="AG98" i="1"/>
  <c r="AH98" i="1"/>
  <c r="AI98" i="1"/>
  <c r="AJ98" i="1"/>
  <c r="AK98" i="1"/>
  <c r="AL98" i="1"/>
  <c r="AM98" i="1"/>
  <c r="AN98" i="1"/>
  <c r="AO98" i="1"/>
  <c r="AP98" i="1"/>
  <c r="AQ98" i="1"/>
  <c r="AR98" i="1"/>
  <c r="AS98" i="1"/>
  <c r="AT98" i="1"/>
  <c r="AU98" i="1"/>
  <c r="AV98" i="1"/>
  <c r="AW98" i="1"/>
  <c r="AX98" i="1"/>
  <c r="AY98" i="1"/>
  <c r="AZ98" i="1"/>
  <c r="BA98" i="1"/>
  <c r="BB98" i="1"/>
  <c r="BC98" i="1"/>
  <c r="BD98" i="1"/>
  <c r="BE98" i="1"/>
  <c r="BF98" i="1"/>
  <c r="BG98" i="1"/>
  <c r="BH98" i="1"/>
  <c r="BI98" i="1"/>
  <c r="BJ98" i="1"/>
  <c r="BK98" i="1"/>
  <c r="BL98" i="1"/>
  <c r="BM98" i="1"/>
  <c r="BN98" i="1"/>
  <c r="BO98" i="1"/>
  <c r="BP98" i="1"/>
  <c r="BQ98" i="1"/>
  <c r="BR98" i="1"/>
  <c r="BS98" i="1"/>
  <c r="BT98" i="1"/>
  <c r="BU98" i="1"/>
  <c r="BV98" i="1"/>
  <c r="BW98" i="1"/>
  <c r="BX98" i="1"/>
  <c r="BY98" i="1"/>
  <c r="BZ98" i="1"/>
  <c r="CA98" i="1"/>
  <c r="CB98" i="1"/>
  <c r="CC98" i="1"/>
  <c r="CD98" i="1"/>
  <c r="AF99" i="1"/>
  <c r="AG99" i="1"/>
  <c r="AH99" i="1"/>
  <c r="AI99" i="1"/>
  <c r="AJ99" i="1"/>
  <c r="AK99" i="1"/>
  <c r="AL99" i="1"/>
  <c r="AM99" i="1"/>
  <c r="AN99" i="1"/>
  <c r="AO99" i="1"/>
  <c r="AP99" i="1"/>
  <c r="AQ99" i="1"/>
  <c r="AR99" i="1"/>
  <c r="AS99" i="1"/>
  <c r="AT99" i="1"/>
  <c r="AU99" i="1"/>
  <c r="AV99" i="1"/>
  <c r="AW99" i="1"/>
  <c r="AX99" i="1"/>
  <c r="AY99" i="1"/>
  <c r="AZ99" i="1"/>
  <c r="BA99" i="1"/>
  <c r="BB99" i="1"/>
  <c r="BC99" i="1"/>
  <c r="BD99" i="1"/>
  <c r="BE99" i="1"/>
  <c r="BF99" i="1"/>
  <c r="BG99" i="1"/>
  <c r="BH99" i="1"/>
  <c r="BI99" i="1"/>
  <c r="BJ99" i="1"/>
  <c r="BK99" i="1"/>
  <c r="BL99" i="1"/>
  <c r="BM99" i="1"/>
  <c r="BN99" i="1"/>
  <c r="BO99" i="1"/>
  <c r="BP99" i="1"/>
  <c r="BQ99" i="1"/>
  <c r="BR99" i="1"/>
  <c r="BS99" i="1"/>
  <c r="BT99" i="1"/>
  <c r="BU99" i="1"/>
  <c r="BV99" i="1"/>
  <c r="BW99" i="1"/>
  <c r="BX99" i="1"/>
  <c r="BY99" i="1"/>
  <c r="BZ99" i="1"/>
  <c r="CA99" i="1"/>
  <c r="CB99" i="1"/>
  <c r="CC99" i="1"/>
  <c r="CD99" i="1"/>
  <c r="H102" i="1"/>
  <c r="I102" i="1"/>
  <c r="J102" i="1"/>
  <c r="K102" i="1"/>
  <c r="L102" i="1"/>
  <c r="M102" i="1"/>
  <c r="N102" i="1"/>
  <c r="O102" i="1"/>
  <c r="P102" i="1"/>
  <c r="Q102" i="1"/>
  <c r="R102" i="1"/>
  <c r="S102" i="1"/>
  <c r="T102" i="1"/>
  <c r="U102" i="1"/>
  <c r="V102" i="1"/>
  <c r="W102" i="1"/>
  <c r="X102" i="1"/>
  <c r="Y102" i="1"/>
  <c r="Z102" i="1"/>
  <c r="AA102" i="1"/>
  <c r="AB102" i="1"/>
  <c r="AC102" i="1"/>
  <c r="AD102" i="1"/>
  <c r="AE102" i="1"/>
  <c r="AF102" i="1"/>
  <c r="AG102" i="1"/>
  <c r="AH102" i="1"/>
  <c r="AI102" i="1"/>
  <c r="AJ102" i="1"/>
  <c r="AK102" i="1"/>
  <c r="AL102" i="1"/>
  <c r="AM102" i="1"/>
  <c r="AN102" i="1"/>
  <c r="AO102" i="1"/>
  <c r="AP102" i="1"/>
  <c r="AQ102" i="1"/>
  <c r="AR102" i="1"/>
  <c r="AS102" i="1"/>
  <c r="AT102" i="1"/>
  <c r="AU102" i="1"/>
  <c r="AV102" i="1"/>
  <c r="AW102" i="1"/>
  <c r="AX102" i="1"/>
  <c r="AY102" i="1"/>
  <c r="AZ102" i="1"/>
  <c r="BA102" i="1"/>
  <c r="BB102" i="1"/>
  <c r="BC102" i="1"/>
  <c r="BD102" i="1"/>
  <c r="BE102" i="1"/>
  <c r="BF102" i="1"/>
  <c r="BG102" i="1"/>
  <c r="BH102" i="1"/>
  <c r="BI102" i="1"/>
  <c r="BJ102" i="1"/>
  <c r="BK102" i="1"/>
  <c r="BL102" i="1"/>
  <c r="BM102" i="1"/>
  <c r="BN102" i="1"/>
  <c r="BO102" i="1"/>
  <c r="BP102" i="1"/>
  <c r="BQ102" i="1"/>
  <c r="BR102" i="1"/>
  <c r="BS102" i="1"/>
  <c r="BT102" i="1"/>
  <c r="BU102" i="1"/>
  <c r="BV102" i="1"/>
  <c r="BW102" i="1"/>
  <c r="BX102" i="1"/>
  <c r="BY102" i="1"/>
  <c r="BZ102" i="1"/>
  <c r="CA102" i="1"/>
  <c r="CB102" i="1"/>
  <c r="CC102" i="1"/>
  <c r="CD102" i="1"/>
  <c r="H103" i="1"/>
  <c r="I103" i="1"/>
  <c r="J103" i="1"/>
  <c r="K103" i="1"/>
  <c r="L103" i="1"/>
  <c r="M103" i="1"/>
  <c r="N103" i="1"/>
  <c r="O103" i="1"/>
  <c r="P103" i="1"/>
  <c r="Q103" i="1"/>
  <c r="R103" i="1"/>
  <c r="S103" i="1"/>
  <c r="T103" i="1"/>
  <c r="U103" i="1"/>
  <c r="V103" i="1"/>
  <c r="W103" i="1"/>
  <c r="X103" i="1"/>
  <c r="Y103" i="1"/>
  <c r="Z103" i="1"/>
  <c r="AA103" i="1"/>
  <c r="AB103" i="1"/>
  <c r="AC103" i="1"/>
  <c r="AD103" i="1"/>
  <c r="AE103" i="1"/>
  <c r="AF103" i="1"/>
  <c r="AG103" i="1"/>
  <c r="AH103" i="1"/>
  <c r="AI103" i="1"/>
  <c r="AJ103" i="1"/>
  <c r="AK103" i="1"/>
  <c r="AL103" i="1"/>
  <c r="AM103" i="1"/>
  <c r="AN103" i="1"/>
  <c r="AO103" i="1"/>
  <c r="AP103" i="1"/>
  <c r="AQ103" i="1"/>
  <c r="AR103" i="1"/>
  <c r="AS103" i="1"/>
  <c r="AT103" i="1"/>
  <c r="AU103" i="1"/>
  <c r="AV103" i="1"/>
  <c r="AW103" i="1"/>
  <c r="AX103" i="1"/>
  <c r="AY103" i="1"/>
  <c r="AZ103" i="1"/>
  <c r="BA103" i="1"/>
  <c r="BB103" i="1"/>
  <c r="BC103" i="1"/>
  <c r="BD103" i="1"/>
  <c r="BE103" i="1"/>
  <c r="BF103" i="1"/>
  <c r="BG103" i="1"/>
  <c r="BH103" i="1"/>
  <c r="BI103" i="1"/>
  <c r="BJ103" i="1"/>
  <c r="BK103" i="1"/>
  <c r="BL103" i="1"/>
  <c r="BM103" i="1"/>
  <c r="BN103" i="1"/>
  <c r="BO103" i="1"/>
  <c r="BP103" i="1"/>
  <c r="BQ103" i="1"/>
  <c r="BR103" i="1"/>
  <c r="BS103" i="1"/>
  <c r="BT103" i="1"/>
  <c r="BU103" i="1"/>
  <c r="BV103" i="1"/>
  <c r="BW103" i="1"/>
  <c r="BX103" i="1"/>
  <c r="BY103" i="1"/>
  <c r="BZ103" i="1"/>
  <c r="CA103" i="1"/>
  <c r="CB103" i="1"/>
  <c r="CC103" i="1"/>
  <c r="CD103" i="1"/>
  <c r="H104" i="1"/>
  <c r="I104" i="1"/>
  <c r="J104" i="1"/>
  <c r="K104" i="1"/>
  <c r="L104" i="1"/>
  <c r="M104" i="1"/>
  <c r="N104" i="1"/>
  <c r="O104" i="1"/>
  <c r="P104" i="1"/>
  <c r="Q104" i="1"/>
  <c r="R104" i="1"/>
  <c r="S104" i="1"/>
  <c r="T104" i="1"/>
  <c r="U104" i="1"/>
  <c r="V104" i="1"/>
  <c r="W104" i="1"/>
  <c r="X104" i="1"/>
  <c r="Y104" i="1"/>
  <c r="Z104" i="1"/>
  <c r="AA104" i="1"/>
  <c r="AB104" i="1"/>
  <c r="AC104" i="1"/>
  <c r="AD104" i="1"/>
  <c r="AE104" i="1"/>
  <c r="AF104" i="1"/>
  <c r="AG104" i="1"/>
  <c r="AH104" i="1"/>
  <c r="AI104" i="1"/>
  <c r="AJ104" i="1"/>
  <c r="AK104" i="1"/>
  <c r="AL104" i="1"/>
  <c r="AM104" i="1"/>
  <c r="AN104" i="1"/>
  <c r="AO104" i="1"/>
  <c r="AP104" i="1"/>
  <c r="AQ104" i="1"/>
  <c r="AR104" i="1"/>
  <c r="AS104" i="1"/>
  <c r="AT104" i="1"/>
  <c r="AU104" i="1"/>
  <c r="AV104" i="1"/>
  <c r="AW104" i="1"/>
  <c r="AX104" i="1"/>
  <c r="AY104" i="1"/>
  <c r="AZ104" i="1"/>
  <c r="BA104" i="1"/>
  <c r="BB104" i="1"/>
  <c r="BC104" i="1"/>
  <c r="BD104" i="1"/>
  <c r="BE104" i="1"/>
  <c r="BF104" i="1"/>
  <c r="BG104" i="1"/>
  <c r="BH104" i="1"/>
  <c r="BI104" i="1"/>
  <c r="BJ104" i="1"/>
  <c r="BK104" i="1"/>
  <c r="BL104" i="1"/>
  <c r="BM104" i="1"/>
  <c r="BN104" i="1"/>
  <c r="BO104" i="1"/>
  <c r="BP104" i="1"/>
  <c r="BQ104" i="1"/>
  <c r="BR104" i="1"/>
  <c r="BS104" i="1"/>
  <c r="BT104" i="1"/>
  <c r="BU104" i="1"/>
  <c r="BV104" i="1"/>
  <c r="BW104" i="1"/>
  <c r="BX104" i="1"/>
  <c r="BY104" i="1"/>
  <c r="BZ104" i="1"/>
  <c r="CA104" i="1"/>
  <c r="CB104" i="1"/>
  <c r="CC104" i="1"/>
  <c r="CD104" i="1"/>
  <c r="H106" i="1"/>
  <c r="I106" i="1"/>
  <c r="J106" i="1"/>
  <c r="K106" i="1"/>
  <c r="L106" i="1"/>
  <c r="M106" i="1"/>
  <c r="N106" i="1"/>
  <c r="O106" i="1"/>
  <c r="P106" i="1"/>
  <c r="Q106" i="1"/>
  <c r="R106" i="1"/>
  <c r="S106" i="1"/>
  <c r="T106" i="1"/>
  <c r="U106" i="1"/>
  <c r="V106" i="1"/>
  <c r="W106" i="1"/>
  <c r="X106" i="1"/>
  <c r="Y106" i="1"/>
  <c r="Z106" i="1"/>
  <c r="AA106" i="1"/>
  <c r="AB106" i="1"/>
  <c r="AC106" i="1"/>
  <c r="AD106" i="1"/>
  <c r="AE106" i="1"/>
  <c r="AF106" i="1"/>
  <c r="AG106" i="1"/>
  <c r="AH106" i="1"/>
  <c r="AI106" i="1"/>
  <c r="AJ106" i="1"/>
  <c r="AK106" i="1"/>
  <c r="AL106" i="1"/>
  <c r="AM106" i="1"/>
  <c r="AN106" i="1"/>
  <c r="AO106" i="1"/>
  <c r="AP106" i="1"/>
  <c r="AQ106" i="1"/>
  <c r="AR106" i="1"/>
  <c r="AS106" i="1"/>
  <c r="AT106" i="1"/>
  <c r="AU106" i="1"/>
  <c r="AV106" i="1"/>
  <c r="AW106" i="1"/>
  <c r="AX106" i="1"/>
  <c r="AY106" i="1"/>
  <c r="AZ106" i="1"/>
  <c r="BA106" i="1"/>
  <c r="BB106" i="1"/>
  <c r="BC106" i="1"/>
  <c r="BD106" i="1"/>
  <c r="BE106" i="1"/>
  <c r="BF106" i="1"/>
  <c r="BG106" i="1"/>
  <c r="BH106" i="1"/>
  <c r="BI106" i="1"/>
  <c r="BJ106" i="1"/>
  <c r="BK106" i="1"/>
  <c r="BL106" i="1"/>
  <c r="BM106" i="1"/>
  <c r="BN106" i="1"/>
  <c r="BO106" i="1"/>
  <c r="BP106" i="1"/>
  <c r="BQ106" i="1"/>
  <c r="BR106" i="1"/>
  <c r="BS106" i="1"/>
  <c r="BT106" i="1"/>
  <c r="BU106" i="1"/>
  <c r="BV106" i="1"/>
  <c r="BW106" i="1"/>
  <c r="BX106" i="1"/>
  <c r="BY106" i="1"/>
  <c r="BZ106" i="1"/>
  <c r="CA106" i="1"/>
  <c r="CB106" i="1"/>
  <c r="CC106" i="1"/>
  <c r="CD106" i="1"/>
  <c r="H107" i="1"/>
  <c r="I107" i="1"/>
  <c r="J107" i="1"/>
  <c r="K107" i="1"/>
  <c r="L107" i="1"/>
  <c r="M107" i="1"/>
  <c r="N107" i="1"/>
  <c r="O107" i="1"/>
  <c r="P107" i="1"/>
  <c r="Q107" i="1"/>
  <c r="R107" i="1"/>
  <c r="S107" i="1"/>
  <c r="T107" i="1"/>
  <c r="U107" i="1"/>
  <c r="V107" i="1"/>
  <c r="W107" i="1"/>
  <c r="X107" i="1"/>
  <c r="Y107" i="1"/>
  <c r="Z107" i="1"/>
  <c r="AA107" i="1"/>
  <c r="AB107" i="1"/>
  <c r="AC107" i="1"/>
  <c r="AD107" i="1"/>
  <c r="AE107" i="1"/>
  <c r="AF107" i="1"/>
  <c r="AG107" i="1"/>
  <c r="AH107" i="1"/>
  <c r="AI107" i="1"/>
  <c r="AJ107" i="1"/>
  <c r="AK107" i="1"/>
  <c r="AL107" i="1"/>
  <c r="AM107" i="1"/>
  <c r="AN107" i="1"/>
  <c r="AO107" i="1"/>
  <c r="AP107" i="1"/>
  <c r="AQ107" i="1"/>
  <c r="AR107" i="1"/>
  <c r="AS107" i="1"/>
  <c r="AT107" i="1"/>
  <c r="AU107" i="1"/>
  <c r="AV107" i="1"/>
  <c r="AW107" i="1"/>
  <c r="AX107" i="1"/>
  <c r="AY107" i="1"/>
  <c r="AZ107" i="1"/>
  <c r="BA107" i="1"/>
  <c r="BB107" i="1"/>
  <c r="BC107" i="1"/>
  <c r="BD107" i="1"/>
  <c r="BE107" i="1"/>
  <c r="BF107" i="1"/>
  <c r="BG107" i="1"/>
  <c r="BH107" i="1"/>
  <c r="BI107" i="1"/>
  <c r="BJ107" i="1"/>
  <c r="BK107" i="1"/>
  <c r="BL107" i="1"/>
  <c r="BM107" i="1"/>
  <c r="BN107" i="1"/>
  <c r="BO107" i="1"/>
  <c r="BP107" i="1"/>
  <c r="BQ107" i="1"/>
  <c r="BR107" i="1"/>
  <c r="BS107" i="1"/>
  <c r="BT107" i="1"/>
  <c r="BU107" i="1"/>
  <c r="BV107" i="1"/>
  <c r="BW107" i="1"/>
  <c r="BX107" i="1"/>
  <c r="BY107" i="1"/>
  <c r="BZ107" i="1"/>
  <c r="CA107" i="1"/>
  <c r="CB107" i="1"/>
  <c r="CC107" i="1"/>
  <c r="CD107" i="1"/>
  <c r="H108" i="1"/>
  <c r="I108" i="1"/>
  <c r="J108" i="1"/>
  <c r="K108" i="1"/>
  <c r="L108" i="1"/>
  <c r="M108" i="1"/>
  <c r="N108" i="1"/>
  <c r="O108" i="1"/>
  <c r="P108" i="1"/>
  <c r="Q108" i="1"/>
  <c r="R108" i="1"/>
  <c r="S108" i="1"/>
  <c r="T108" i="1"/>
  <c r="U108" i="1"/>
  <c r="V108" i="1"/>
  <c r="W108" i="1"/>
  <c r="X108" i="1"/>
  <c r="Y108" i="1"/>
  <c r="Z108" i="1"/>
  <c r="AA108" i="1"/>
  <c r="AB108" i="1"/>
  <c r="AC108" i="1"/>
  <c r="AD108" i="1"/>
  <c r="AE108" i="1"/>
  <c r="AF108" i="1"/>
  <c r="AG108" i="1"/>
  <c r="AH108" i="1"/>
  <c r="AI108" i="1"/>
  <c r="AJ108" i="1"/>
  <c r="AK108" i="1"/>
  <c r="AL108" i="1"/>
  <c r="AM108" i="1"/>
  <c r="AN108" i="1"/>
  <c r="AO108" i="1"/>
  <c r="AP108" i="1"/>
  <c r="AQ108" i="1"/>
  <c r="AR108" i="1"/>
  <c r="AS108" i="1"/>
  <c r="AT108" i="1"/>
  <c r="AU108" i="1"/>
  <c r="AV108" i="1"/>
  <c r="AW108" i="1"/>
  <c r="AX108" i="1"/>
  <c r="AY108" i="1"/>
  <c r="AZ108" i="1"/>
  <c r="BA108" i="1"/>
  <c r="BB108" i="1"/>
  <c r="BC108" i="1"/>
  <c r="BD108" i="1"/>
  <c r="BE108" i="1"/>
  <c r="BF108" i="1"/>
  <c r="BG108" i="1"/>
  <c r="BH108" i="1"/>
  <c r="BI108" i="1"/>
  <c r="BJ108" i="1"/>
  <c r="BK108" i="1"/>
  <c r="BL108" i="1"/>
  <c r="BM108" i="1"/>
  <c r="BN108" i="1"/>
  <c r="BO108" i="1"/>
  <c r="BP108" i="1"/>
  <c r="BQ108" i="1"/>
  <c r="BR108" i="1"/>
  <c r="BS108" i="1"/>
  <c r="BT108" i="1"/>
  <c r="BU108" i="1"/>
  <c r="BV108" i="1"/>
  <c r="BW108" i="1"/>
  <c r="BX108" i="1"/>
  <c r="BY108" i="1"/>
  <c r="BZ108" i="1"/>
  <c r="CA108" i="1"/>
  <c r="CB108" i="1"/>
  <c r="CC108" i="1"/>
  <c r="CD108" i="1"/>
  <c r="H109" i="1"/>
  <c r="I109" i="1"/>
  <c r="J109" i="1"/>
  <c r="K109" i="1"/>
  <c r="L109" i="1"/>
  <c r="M109" i="1"/>
  <c r="N109" i="1"/>
  <c r="O109" i="1"/>
  <c r="P109" i="1"/>
  <c r="Q109" i="1"/>
  <c r="R109" i="1"/>
  <c r="S109" i="1"/>
  <c r="T109" i="1"/>
  <c r="U109" i="1"/>
  <c r="V109" i="1"/>
  <c r="W109" i="1"/>
  <c r="X109" i="1"/>
  <c r="Y109" i="1"/>
  <c r="Z109" i="1"/>
  <c r="AA109" i="1"/>
  <c r="AB109" i="1"/>
  <c r="AC109" i="1"/>
  <c r="AD109" i="1"/>
  <c r="AE109" i="1"/>
  <c r="AF109" i="1"/>
  <c r="AG109" i="1"/>
  <c r="AH109" i="1"/>
  <c r="AI109" i="1"/>
  <c r="AJ109" i="1"/>
  <c r="AK109" i="1"/>
  <c r="AL109" i="1"/>
  <c r="AM109" i="1"/>
  <c r="AN109" i="1"/>
  <c r="AO109" i="1"/>
  <c r="AP109" i="1"/>
  <c r="AQ109" i="1"/>
  <c r="AR109" i="1"/>
  <c r="AS109" i="1"/>
  <c r="AT109" i="1"/>
  <c r="AU109" i="1"/>
  <c r="AV109" i="1"/>
  <c r="AW109" i="1"/>
  <c r="AX109" i="1"/>
  <c r="AY109" i="1"/>
  <c r="AZ109" i="1"/>
  <c r="BA109" i="1"/>
  <c r="BB109" i="1"/>
  <c r="BC109" i="1"/>
  <c r="BD109" i="1"/>
  <c r="BE109" i="1"/>
  <c r="BF109" i="1"/>
  <c r="BG109" i="1"/>
  <c r="BH109" i="1"/>
  <c r="BI109" i="1"/>
  <c r="BJ109" i="1"/>
  <c r="BK109" i="1"/>
  <c r="BL109" i="1"/>
  <c r="BM109" i="1"/>
  <c r="BN109" i="1"/>
  <c r="BO109" i="1"/>
  <c r="BP109" i="1"/>
  <c r="BQ109" i="1"/>
  <c r="BR109" i="1"/>
  <c r="BS109" i="1"/>
  <c r="BT109" i="1"/>
  <c r="BU109" i="1"/>
  <c r="BV109" i="1"/>
  <c r="BW109" i="1"/>
  <c r="BX109" i="1"/>
  <c r="BY109" i="1"/>
  <c r="BZ109" i="1"/>
  <c r="CA109" i="1"/>
  <c r="CB109" i="1"/>
  <c r="CC109" i="1"/>
  <c r="CD109" i="1"/>
  <c r="H110" i="1"/>
  <c r="I110" i="1"/>
  <c r="J110" i="1"/>
  <c r="K110" i="1"/>
  <c r="L110" i="1"/>
  <c r="M110" i="1"/>
  <c r="N110" i="1"/>
  <c r="O110" i="1"/>
  <c r="P110" i="1"/>
  <c r="Q110" i="1"/>
  <c r="R110" i="1"/>
  <c r="S110" i="1"/>
  <c r="T110" i="1"/>
  <c r="U110" i="1"/>
  <c r="V110" i="1"/>
  <c r="W110" i="1"/>
  <c r="X110" i="1"/>
  <c r="Y110" i="1"/>
  <c r="Z110" i="1"/>
  <c r="AA110" i="1"/>
  <c r="AB110" i="1"/>
  <c r="AC110" i="1"/>
  <c r="AD110" i="1"/>
  <c r="AE110" i="1"/>
  <c r="AF110" i="1"/>
  <c r="AG110" i="1"/>
  <c r="AH110" i="1"/>
  <c r="AI110" i="1"/>
  <c r="AJ110" i="1"/>
  <c r="AK110" i="1"/>
  <c r="AL110" i="1"/>
  <c r="AM110" i="1"/>
  <c r="AN110" i="1"/>
  <c r="AO110" i="1"/>
  <c r="AP110" i="1"/>
  <c r="AQ110" i="1"/>
  <c r="AR110" i="1"/>
  <c r="AS110" i="1"/>
  <c r="AT110" i="1"/>
  <c r="AU110" i="1"/>
  <c r="AV110" i="1"/>
  <c r="AW110" i="1"/>
  <c r="AX110" i="1"/>
  <c r="AY110" i="1"/>
  <c r="AZ110" i="1"/>
  <c r="BA110" i="1"/>
  <c r="BB110" i="1"/>
  <c r="BC110" i="1"/>
  <c r="BD110" i="1"/>
  <c r="BE110" i="1"/>
  <c r="BF110" i="1"/>
  <c r="BG110" i="1"/>
  <c r="BH110" i="1"/>
  <c r="BI110" i="1"/>
  <c r="BJ110" i="1"/>
  <c r="BK110" i="1"/>
  <c r="BL110" i="1"/>
  <c r="BM110" i="1"/>
  <c r="BN110" i="1"/>
  <c r="BO110" i="1"/>
  <c r="BP110" i="1"/>
  <c r="BQ110" i="1"/>
  <c r="BR110" i="1"/>
  <c r="BS110" i="1"/>
  <c r="BT110" i="1"/>
  <c r="BU110" i="1"/>
  <c r="BV110" i="1"/>
  <c r="BW110" i="1"/>
  <c r="BX110" i="1"/>
  <c r="BY110" i="1"/>
  <c r="BZ110" i="1"/>
  <c r="CA110" i="1"/>
  <c r="CB110" i="1"/>
  <c r="CC110" i="1"/>
  <c r="CD110" i="1"/>
  <c r="H111" i="1"/>
  <c r="I111" i="1"/>
  <c r="J111" i="1"/>
  <c r="K111" i="1"/>
  <c r="L111" i="1"/>
  <c r="M111" i="1"/>
  <c r="N111" i="1"/>
  <c r="O111" i="1"/>
  <c r="P111" i="1"/>
  <c r="Q111" i="1"/>
  <c r="R111" i="1"/>
  <c r="S111" i="1"/>
  <c r="T111" i="1"/>
  <c r="U111" i="1"/>
  <c r="V111" i="1"/>
  <c r="W111" i="1"/>
  <c r="X111" i="1"/>
  <c r="Y111" i="1"/>
  <c r="Z111" i="1"/>
  <c r="AA111" i="1"/>
  <c r="AB111" i="1"/>
  <c r="AC111" i="1"/>
  <c r="AD111" i="1"/>
  <c r="AE111" i="1"/>
  <c r="AF111" i="1"/>
  <c r="AG111" i="1"/>
  <c r="AH111" i="1"/>
  <c r="AI111" i="1"/>
  <c r="AJ111" i="1"/>
  <c r="AK111" i="1"/>
  <c r="AL111" i="1"/>
  <c r="AM111" i="1"/>
  <c r="AN111" i="1"/>
  <c r="AO111" i="1"/>
  <c r="AP111" i="1"/>
  <c r="AQ111" i="1"/>
  <c r="AR111" i="1"/>
  <c r="AS111" i="1"/>
  <c r="AT111" i="1"/>
  <c r="AU111" i="1"/>
  <c r="AV111" i="1"/>
  <c r="AW111" i="1"/>
  <c r="AX111" i="1"/>
  <c r="AY111" i="1"/>
  <c r="AZ111" i="1"/>
  <c r="BA111" i="1"/>
  <c r="BB111" i="1"/>
  <c r="BC111" i="1"/>
  <c r="BD111" i="1"/>
  <c r="BE111" i="1"/>
  <c r="BF111" i="1"/>
  <c r="BG111" i="1"/>
  <c r="BH111" i="1"/>
  <c r="BI111" i="1"/>
  <c r="BJ111" i="1"/>
  <c r="BK111" i="1"/>
  <c r="BL111" i="1"/>
  <c r="BM111" i="1"/>
  <c r="BN111" i="1"/>
  <c r="BO111" i="1"/>
  <c r="BP111" i="1"/>
  <c r="BQ111" i="1"/>
  <c r="BR111" i="1"/>
  <c r="BS111" i="1"/>
  <c r="BT111" i="1"/>
  <c r="BU111" i="1"/>
  <c r="BV111" i="1"/>
  <c r="BW111" i="1"/>
  <c r="BX111" i="1"/>
  <c r="BY111" i="1"/>
  <c r="BZ111" i="1"/>
  <c r="CA111" i="1"/>
  <c r="CB111" i="1"/>
  <c r="CC111" i="1"/>
  <c r="CD111" i="1"/>
  <c r="H112" i="1"/>
  <c r="I112" i="1"/>
  <c r="J112" i="1"/>
  <c r="K112" i="1"/>
  <c r="L112" i="1"/>
  <c r="M112" i="1"/>
  <c r="N112" i="1"/>
  <c r="O112" i="1"/>
  <c r="P112" i="1"/>
  <c r="Q112" i="1"/>
  <c r="R112" i="1"/>
  <c r="S112" i="1"/>
  <c r="T112" i="1"/>
  <c r="U112" i="1"/>
  <c r="V112" i="1"/>
  <c r="W112" i="1"/>
  <c r="X112" i="1"/>
  <c r="Y112" i="1"/>
  <c r="Z112" i="1"/>
  <c r="AA112" i="1"/>
  <c r="AB112" i="1"/>
  <c r="AC112" i="1"/>
  <c r="AD112" i="1"/>
  <c r="AE112" i="1"/>
  <c r="AF112" i="1"/>
  <c r="AG112" i="1"/>
  <c r="AH112" i="1"/>
  <c r="AI112" i="1"/>
  <c r="AJ112" i="1"/>
  <c r="AK112" i="1"/>
  <c r="AL112" i="1"/>
  <c r="AM112" i="1"/>
  <c r="AN112" i="1"/>
  <c r="AO112" i="1"/>
  <c r="AP112" i="1"/>
  <c r="AQ112" i="1"/>
  <c r="AR112" i="1"/>
  <c r="AS112" i="1"/>
  <c r="AT112" i="1"/>
  <c r="AU112" i="1"/>
  <c r="AV112" i="1"/>
  <c r="AW112" i="1"/>
  <c r="AX112" i="1"/>
  <c r="AY112" i="1"/>
  <c r="AZ112" i="1"/>
  <c r="BA112" i="1"/>
  <c r="BB112" i="1"/>
  <c r="BC112" i="1"/>
  <c r="BD112" i="1"/>
  <c r="BE112" i="1"/>
  <c r="BF112" i="1"/>
  <c r="BG112" i="1"/>
  <c r="BH112" i="1"/>
  <c r="BI112" i="1"/>
  <c r="BJ112" i="1"/>
  <c r="BK112" i="1"/>
  <c r="BL112" i="1"/>
  <c r="BM112" i="1"/>
  <c r="BN112" i="1"/>
  <c r="BO112" i="1"/>
  <c r="BP112" i="1"/>
  <c r="BQ112" i="1"/>
  <c r="BR112" i="1"/>
  <c r="BS112" i="1"/>
  <c r="BT112" i="1"/>
  <c r="BU112" i="1"/>
  <c r="BV112" i="1"/>
  <c r="BW112" i="1"/>
  <c r="BX112" i="1"/>
  <c r="BY112" i="1"/>
  <c r="BZ112" i="1"/>
  <c r="CA112" i="1"/>
  <c r="CB112" i="1"/>
  <c r="CC112" i="1"/>
  <c r="CD112" i="1"/>
  <c r="H114" i="1"/>
  <c r="I114" i="1"/>
  <c r="J114" i="1"/>
  <c r="K114" i="1"/>
  <c r="L114" i="1"/>
  <c r="M114" i="1"/>
  <c r="N114" i="1"/>
  <c r="O114" i="1"/>
  <c r="P114" i="1"/>
  <c r="Q114" i="1"/>
  <c r="R114" i="1"/>
  <c r="S114" i="1"/>
  <c r="T114" i="1"/>
  <c r="U114" i="1"/>
  <c r="V114" i="1"/>
  <c r="W114" i="1"/>
  <c r="X114" i="1"/>
  <c r="Y114" i="1"/>
  <c r="Z114" i="1"/>
  <c r="AA114" i="1"/>
  <c r="AB114" i="1"/>
  <c r="AC114" i="1"/>
  <c r="AD114" i="1"/>
  <c r="AE114" i="1"/>
  <c r="AF114" i="1"/>
  <c r="AG114" i="1"/>
  <c r="AH114" i="1"/>
  <c r="AI114" i="1"/>
  <c r="AJ114" i="1"/>
  <c r="AK114" i="1"/>
  <c r="AL114" i="1"/>
  <c r="AM114" i="1"/>
  <c r="AN114" i="1"/>
  <c r="AO114" i="1"/>
  <c r="AP114" i="1"/>
  <c r="AQ114" i="1"/>
  <c r="AR114" i="1"/>
  <c r="AS114" i="1"/>
  <c r="AT114" i="1"/>
  <c r="AU114" i="1"/>
  <c r="AV114" i="1"/>
  <c r="AW114" i="1"/>
  <c r="AX114" i="1"/>
  <c r="AY114" i="1"/>
  <c r="AZ114" i="1"/>
  <c r="BA114" i="1"/>
  <c r="BB114" i="1"/>
  <c r="BC114" i="1"/>
  <c r="BD114" i="1"/>
  <c r="BE114" i="1"/>
  <c r="BF114" i="1"/>
  <c r="BG114" i="1"/>
  <c r="BH114" i="1"/>
  <c r="BI114" i="1"/>
  <c r="BJ114" i="1"/>
  <c r="BK114" i="1"/>
  <c r="BL114" i="1"/>
  <c r="BM114" i="1"/>
  <c r="BN114" i="1"/>
  <c r="BO114" i="1"/>
  <c r="BP114" i="1"/>
  <c r="BQ114" i="1"/>
  <c r="BR114" i="1"/>
  <c r="BS114" i="1"/>
  <c r="BT114" i="1"/>
  <c r="BU114" i="1"/>
  <c r="BV114" i="1"/>
  <c r="BW114" i="1"/>
  <c r="BX114" i="1"/>
  <c r="BY114" i="1"/>
  <c r="BZ114" i="1"/>
  <c r="CA114" i="1"/>
  <c r="CB114" i="1"/>
  <c r="CC114" i="1"/>
  <c r="CD114" i="1"/>
  <c r="H115" i="1"/>
  <c r="I115" i="1"/>
  <c r="J115" i="1"/>
  <c r="K115" i="1"/>
  <c r="L115" i="1"/>
  <c r="M115" i="1"/>
  <c r="N115" i="1"/>
  <c r="O115" i="1"/>
  <c r="P115" i="1"/>
  <c r="Q115" i="1"/>
  <c r="R115" i="1"/>
  <c r="S115" i="1"/>
  <c r="T115" i="1"/>
  <c r="U115" i="1"/>
  <c r="V115" i="1"/>
  <c r="W115" i="1"/>
  <c r="X115" i="1"/>
  <c r="Y115" i="1"/>
  <c r="Z115" i="1"/>
  <c r="AA115" i="1"/>
  <c r="AB115" i="1"/>
  <c r="AC115" i="1"/>
  <c r="AD115" i="1"/>
  <c r="AE115" i="1"/>
  <c r="AF115" i="1"/>
  <c r="AG115" i="1"/>
  <c r="AH115" i="1"/>
  <c r="AI115" i="1"/>
  <c r="AJ115" i="1"/>
  <c r="AK115" i="1"/>
  <c r="AL115" i="1"/>
  <c r="AM115" i="1"/>
  <c r="AN115" i="1"/>
  <c r="AO115" i="1"/>
  <c r="AP115" i="1"/>
  <c r="AQ115" i="1"/>
  <c r="AR115" i="1"/>
  <c r="AS115" i="1"/>
  <c r="AT115" i="1"/>
  <c r="AU115" i="1"/>
  <c r="AV115" i="1"/>
  <c r="AW115" i="1"/>
  <c r="AX115" i="1"/>
  <c r="AY115" i="1"/>
  <c r="AZ115" i="1"/>
  <c r="BA115" i="1"/>
  <c r="BB115" i="1"/>
  <c r="BC115" i="1"/>
  <c r="BD115" i="1"/>
  <c r="BE115" i="1"/>
  <c r="BF115" i="1"/>
  <c r="BG115" i="1"/>
  <c r="BH115" i="1"/>
  <c r="BI115" i="1"/>
  <c r="BJ115" i="1"/>
  <c r="BK115" i="1"/>
  <c r="BL115" i="1"/>
  <c r="BM115" i="1"/>
  <c r="BN115" i="1"/>
  <c r="BO115" i="1"/>
  <c r="BP115" i="1"/>
  <c r="BQ115" i="1"/>
  <c r="BR115" i="1"/>
  <c r="BS115" i="1"/>
  <c r="BT115" i="1"/>
  <c r="BU115" i="1"/>
  <c r="BV115" i="1"/>
  <c r="BW115" i="1"/>
  <c r="BX115" i="1"/>
  <c r="BY115" i="1"/>
  <c r="BZ115" i="1"/>
  <c r="CA115" i="1"/>
  <c r="CB115" i="1"/>
  <c r="CC115" i="1"/>
  <c r="CD115" i="1"/>
  <c r="H116" i="1"/>
  <c r="I116" i="1"/>
  <c r="J116" i="1"/>
  <c r="K116" i="1"/>
  <c r="L116" i="1"/>
  <c r="M116" i="1"/>
  <c r="N116" i="1"/>
  <c r="O116" i="1"/>
  <c r="P116" i="1"/>
  <c r="Q116" i="1"/>
  <c r="R116" i="1"/>
  <c r="S116" i="1"/>
  <c r="T116" i="1"/>
  <c r="U116" i="1"/>
  <c r="V116" i="1"/>
  <c r="W116" i="1"/>
  <c r="X116" i="1"/>
  <c r="Y116" i="1"/>
  <c r="Z116" i="1"/>
  <c r="AA116" i="1"/>
  <c r="AB116" i="1"/>
  <c r="AC116" i="1"/>
  <c r="AD116" i="1"/>
  <c r="AE116" i="1"/>
  <c r="AF116" i="1"/>
  <c r="AG116" i="1"/>
  <c r="AH116" i="1"/>
  <c r="AI116" i="1"/>
  <c r="AJ116" i="1"/>
  <c r="AK116" i="1"/>
  <c r="AL116" i="1"/>
  <c r="AM116" i="1"/>
  <c r="AN116" i="1"/>
  <c r="AO116" i="1"/>
  <c r="AP116" i="1"/>
  <c r="AQ116" i="1"/>
  <c r="AR116" i="1"/>
  <c r="AS116" i="1"/>
  <c r="AT116" i="1"/>
  <c r="AU116" i="1"/>
  <c r="AV116" i="1"/>
  <c r="AW116" i="1"/>
  <c r="AX116" i="1"/>
  <c r="AY116" i="1"/>
  <c r="AZ116" i="1"/>
  <c r="BA116" i="1"/>
  <c r="BB116" i="1"/>
  <c r="BC116" i="1"/>
  <c r="BD116" i="1"/>
  <c r="BE116" i="1"/>
  <c r="BF116" i="1"/>
  <c r="BG116" i="1"/>
  <c r="BH116" i="1"/>
  <c r="BI116" i="1"/>
  <c r="BJ116" i="1"/>
  <c r="BK116" i="1"/>
  <c r="BL116" i="1"/>
  <c r="BM116" i="1"/>
  <c r="BN116" i="1"/>
  <c r="BO116" i="1"/>
  <c r="BP116" i="1"/>
  <c r="BQ116" i="1"/>
  <c r="BR116" i="1"/>
  <c r="BS116" i="1"/>
  <c r="BT116" i="1"/>
  <c r="BU116" i="1"/>
  <c r="BV116" i="1"/>
  <c r="BW116" i="1"/>
  <c r="BX116" i="1"/>
  <c r="BY116" i="1"/>
  <c r="BZ116" i="1"/>
  <c r="CA116" i="1"/>
  <c r="CB116" i="1"/>
  <c r="CC116" i="1"/>
  <c r="CD116" i="1"/>
  <c r="H117" i="1"/>
  <c r="I117" i="1"/>
  <c r="J117" i="1"/>
  <c r="K117" i="1"/>
  <c r="L117" i="1"/>
  <c r="M117" i="1"/>
  <c r="N117" i="1"/>
  <c r="O117" i="1"/>
  <c r="P117" i="1"/>
  <c r="Q117" i="1"/>
  <c r="R117" i="1"/>
  <c r="S117" i="1"/>
  <c r="T117" i="1"/>
  <c r="U117" i="1"/>
  <c r="V117" i="1"/>
  <c r="W117" i="1"/>
  <c r="X117" i="1"/>
  <c r="Y117" i="1"/>
  <c r="Z117" i="1"/>
  <c r="AA117" i="1"/>
  <c r="AB117" i="1"/>
  <c r="AC117" i="1"/>
  <c r="AD117" i="1"/>
  <c r="AE117" i="1"/>
  <c r="AF117" i="1"/>
  <c r="AG117" i="1"/>
  <c r="AH117" i="1"/>
  <c r="AI117" i="1"/>
  <c r="AJ117" i="1"/>
  <c r="AK117" i="1"/>
  <c r="AL117" i="1"/>
  <c r="AM117" i="1"/>
  <c r="AN117" i="1"/>
  <c r="AO117" i="1"/>
  <c r="AP117" i="1"/>
  <c r="AQ117" i="1"/>
  <c r="AR117" i="1"/>
  <c r="AS117" i="1"/>
  <c r="AT117" i="1"/>
  <c r="AU117" i="1"/>
  <c r="AV117" i="1"/>
  <c r="AW117" i="1"/>
  <c r="AX117" i="1"/>
  <c r="AY117" i="1"/>
  <c r="AZ117" i="1"/>
  <c r="BA117" i="1"/>
  <c r="BB117" i="1"/>
  <c r="BC117" i="1"/>
  <c r="BD117" i="1"/>
  <c r="BE117" i="1"/>
  <c r="BF117" i="1"/>
  <c r="BG117" i="1"/>
  <c r="BH117" i="1"/>
  <c r="BI117" i="1"/>
  <c r="BJ117" i="1"/>
  <c r="BK117" i="1"/>
  <c r="BL117" i="1"/>
  <c r="BM117" i="1"/>
  <c r="BN117" i="1"/>
  <c r="BO117" i="1"/>
  <c r="BP117" i="1"/>
  <c r="BQ117" i="1"/>
  <c r="BR117" i="1"/>
  <c r="BS117" i="1"/>
  <c r="BT117" i="1"/>
  <c r="BU117" i="1"/>
  <c r="BV117" i="1"/>
  <c r="BW117" i="1"/>
  <c r="BX117" i="1"/>
  <c r="BY117" i="1"/>
  <c r="BZ117" i="1"/>
  <c r="CA117" i="1"/>
  <c r="CB117" i="1"/>
  <c r="CC117" i="1"/>
  <c r="CD117" i="1"/>
  <c r="H119" i="1"/>
  <c r="I119" i="1"/>
  <c r="J119" i="1"/>
  <c r="K119" i="1"/>
  <c r="L119" i="1"/>
  <c r="M119" i="1"/>
  <c r="N119" i="1"/>
  <c r="O119" i="1"/>
  <c r="P119" i="1"/>
  <c r="Q119" i="1"/>
  <c r="R119" i="1"/>
  <c r="S119" i="1"/>
  <c r="T119" i="1"/>
  <c r="U119" i="1"/>
  <c r="V119" i="1"/>
  <c r="W119" i="1"/>
  <c r="X119" i="1"/>
  <c r="Y119" i="1"/>
  <c r="Z119" i="1"/>
  <c r="AA119" i="1"/>
  <c r="AB119" i="1"/>
  <c r="AC119" i="1"/>
  <c r="AD119" i="1"/>
  <c r="AE119" i="1"/>
  <c r="AF119" i="1"/>
  <c r="AG119" i="1"/>
  <c r="AH119" i="1"/>
  <c r="AI119" i="1"/>
  <c r="AJ119" i="1"/>
  <c r="AK119" i="1"/>
  <c r="AL119" i="1"/>
  <c r="AM119" i="1"/>
  <c r="AN119" i="1"/>
  <c r="AO119" i="1"/>
  <c r="AP119" i="1"/>
  <c r="AQ119" i="1"/>
  <c r="AR119" i="1"/>
  <c r="AS119" i="1"/>
  <c r="AT119" i="1"/>
  <c r="AU119" i="1"/>
  <c r="AV119" i="1"/>
  <c r="AW119" i="1"/>
  <c r="AX119" i="1"/>
  <c r="AY119" i="1"/>
  <c r="AZ119" i="1"/>
  <c r="BA119" i="1"/>
  <c r="BB119" i="1"/>
  <c r="BC119" i="1"/>
  <c r="BD119" i="1"/>
  <c r="BE119" i="1"/>
  <c r="BF119" i="1"/>
  <c r="BG119" i="1"/>
  <c r="BH119" i="1"/>
  <c r="BI119" i="1"/>
  <c r="BJ119" i="1"/>
  <c r="BK119" i="1"/>
  <c r="BL119" i="1"/>
  <c r="BM119" i="1"/>
  <c r="BN119" i="1"/>
  <c r="BO119" i="1"/>
  <c r="BP119" i="1"/>
  <c r="BQ119" i="1"/>
  <c r="BR119" i="1"/>
  <c r="BS119" i="1"/>
  <c r="BT119" i="1"/>
  <c r="BU119" i="1"/>
  <c r="BV119" i="1"/>
  <c r="BW119" i="1"/>
  <c r="BX119" i="1"/>
  <c r="BY119" i="1"/>
  <c r="BZ119" i="1"/>
  <c r="CA119" i="1"/>
  <c r="CB119" i="1"/>
  <c r="CC119" i="1"/>
  <c r="CD119" i="1"/>
  <c r="H120" i="1"/>
  <c r="I120" i="1"/>
  <c r="J120" i="1"/>
  <c r="K120" i="1"/>
  <c r="L120" i="1"/>
  <c r="M120" i="1"/>
  <c r="N120" i="1"/>
  <c r="O120" i="1"/>
  <c r="P120" i="1"/>
  <c r="Q120" i="1"/>
  <c r="R120" i="1"/>
  <c r="S120" i="1"/>
  <c r="T120" i="1"/>
  <c r="U120" i="1"/>
  <c r="V120" i="1"/>
  <c r="W120" i="1"/>
  <c r="X120" i="1"/>
  <c r="Y120" i="1"/>
  <c r="Z120" i="1"/>
  <c r="AA120" i="1"/>
  <c r="AB120" i="1"/>
  <c r="AC120" i="1"/>
  <c r="AD120" i="1"/>
  <c r="AE120" i="1"/>
  <c r="AF120" i="1"/>
  <c r="AG120" i="1"/>
  <c r="AH120" i="1"/>
  <c r="AI120" i="1"/>
  <c r="AJ120" i="1"/>
  <c r="AK120" i="1"/>
  <c r="AL120" i="1"/>
  <c r="AM120" i="1"/>
  <c r="AN120" i="1"/>
  <c r="AO120" i="1"/>
  <c r="AP120" i="1"/>
  <c r="AQ120" i="1"/>
  <c r="AR120" i="1"/>
  <c r="AS120" i="1"/>
  <c r="AT120" i="1"/>
  <c r="AU120" i="1"/>
  <c r="AV120" i="1"/>
  <c r="AW120" i="1"/>
  <c r="AX120" i="1"/>
  <c r="AY120" i="1"/>
  <c r="AZ120" i="1"/>
  <c r="BA120" i="1"/>
  <c r="BB120" i="1"/>
  <c r="BC120" i="1"/>
  <c r="BD120" i="1"/>
  <c r="BE120" i="1"/>
  <c r="BF120" i="1"/>
  <c r="BG120" i="1"/>
  <c r="BH120" i="1"/>
  <c r="BI120" i="1"/>
  <c r="BJ120" i="1"/>
  <c r="BK120" i="1"/>
  <c r="BL120" i="1"/>
  <c r="BM120" i="1"/>
  <c r="BN120" i="1"/>
  <c r="BO120" i="1"/>
  <c r="BP120" i="1"/>
  <c r="BQ120" i="1"/>
  <c r="BR120" i="1"/>
  <c r="BS120" i="1"/>
  <c r="BT120" i="1"/>
  <c r="BU120" i="1"/>
  <c r="BV120" i="1"/>
  <c r="BW120" i="1"/>
  <c r="BX120" i="1"/>
  <c r="BY120" i="1"/>
  <c r="BZ120" i="1"/>
  <c r="CA120" i="1"/>
  <c r="CB120" i="1"/>
  <c r="CC120" i="1"/>
  <c r="CD120" i="1"/>
  <c r="H121" i="1"/>
  <c r="I121" i="1"/>
  <c r="J121" i="1"/>
  <c r="K121" i="1"/>
  <c r="L121" i="1"/>
  <c r="M121" i="1"/>
  <c r="N121" i="1"/>
  <c r="O121" i="1"/>
  <c r="P121" i="1"/>
  <c r="Q121" i="1"/>
  <c r="R121" i="1"/>
  <c r="S121" i="1"/>
  <c r="T121" i="1"/>
  <c r="U121" i="1"/>
  <c r="V121" i="1"/>
  <c r="W121" i="1"/>
  <c r="X121" i="1"/>
  <c r="Y121" i="1"/>
  <c r="Z121" i="1"/>
  <c r="AA121" i="1"/>
  <c r="AB121" i="1"/>
  <c r="AC121" i="1"/>
  <c r="AD121" i="1"/>
  <c r="AE121" i="1"/>
  <c r="AF121" i="1"/>
  <c r="AG121" i="1"/>
  <c r="AH121" i="1"/>
  <c r="AI121" i="1"/>
  <c r="AJ121" i="1"/>
  <c r="AK121" i="1"/>
  <c r="AL121" i="1"/>
  <c r="AM121" i="1"/>
  <c r="AN121" i="1"/>
  <c r="AO121" i="1"/>
  <c r="AP121" i="1"/>
  <c r="AQ121" i="1"/>
  <c r="AR121" i="1"/>
  <c r="AS121" i="1"/>
  <c r="AT121" i="1"/>
  <c r="AU121" i="1"/>
  <c r="AV121" i="1"/>
  <c r="AW121" i="1"/>
  <c r="AX121" i="1"/>
  <c r="AY121" i="1"/>
  <c r="AZ121" i="1"/>
  <c r="BA121" i="1"/>
  <c r="BB121" i="1"/>
  <c r="BC121" i="1"/>
  <c r="BD121" i="1"/>
  <c r="BE121" i="1"/>
  <c r="BF121" i="1"/>
  <c r="BG121" i="1"/>
  <c r="BH121" i="1"/>
  <c r="BI121" i="1"/>
  <c r="BJ121" i="1"/>
  <c r="BK121" i="1"/>
  <c r="BL121" i="1"/>
  <c r="BM121" i="1"/>
  <c r="BN121" i="1"/>
  <c r="BO121" i="1"/>
  <c r="BP121" i="1"/>
  <c r="BQ121" i="1"/>
  <c r="BR121" i="1"/>
  <c r="BS121" i="1"/>
  <c r="BT121" i="1"/>
  <c r="BU121" i="1"/>
  <c r="BV121" i="1"/>
  <c r="BW121" i="1"/>
  <c r="BX121" i="1"/>
  <c r="BY121" i="1"/>
  <c r="BZ121" i="1"/>
  <c r="CA121" i="1"/>
  <c r="CB121" i="1"/>
  <c r="CC121" i="1"/>
  <c r="CD121" i="1"/>
  <c r="H123" i="1"/>
  <c r="I123" i="1"/>
  <c r="J123" i="1"/>
  <c r="K123" i="1"/>
  <c r="L123" i="1"/>
  <c r="M123" i="1"/>
  <c r="N123" i="1"/>
  <c r="O123" i="1"/>
  <c r="P123" i="1"/>
  <c r="Q123" i="1"/>
  <c r="R123" i="1"/>
  <c r="S123" i="1"/>
  <c r="T123" i="1"/>
  <c r="U123" i="1"/>
  <c r="V123" i="1"/>
  <c r="W123" i="1"/>
  <c r="X123" i="1"/>
  <c r="Y123" i="1"/>
  <c r="Z123" i="1"/>
  <c r="AA123" i="1"/>
  <c r="AB123" i="1"/>
  <c r="AC123" i="1"/>
  <c r="AD123" i="1"/>
  <c r="AE123" i="1"/>
  <c r="AF123" i="1"/>
  <c r="AG123" i="1"/>
  <c r="AH123" i="1"/>
  <c r="AI123" i="1"/>
  <c r="AJ123" i="1"/>
  <c r="AK123" i="1"/>
  <c r="AL123" i="1"/>
  <c r="AM123" i="1"/>
  <c r="AN123" i="1"/>
  <c r="AO123" i="1"/>
  <c r="AP123" i="1"/>
  <c r="AQ123" i="1"/>
  <c r="AR123" i="1"/>
  <c r="AS123" i="1"/>
  <c r="AT123" i="1"/>
  <c r="AU123" i="1"/>
  <c r="AV123" i="1"/>
  <c r="AW123" i="1"/>
  <c r="AX123" i="1"/>
  <c r="AY123" i="1"/>
  <c r="AZ123" i="1"/>
  <c r="BA123" i="1"/>
  <c r="BB123" i="1"/>
  <c r="BC123" i="1"/>
  <c r="BD123" i="1"/>
  <c r="BE123" i="1"/>
  <c r="BF123" i="1"/>
  <c r="BG123" i="1"/>
  <c r="BH123" i="1"/>
  <c r="BI123" i="1"/>
  <c r="BJ123" i="1"/>
  <c r="BK123" i="1"/>
  <c r="BL123" i="1"/>
  <c r="BM123" i="1"/>
  <c r="BN123" i="1"/>
  <c r="BO123" i="1"/>
  <c r="BP123" i="1"/>
  <c r="BQ123" i="1"/>
  <c r="BR123" i="1"/>
  <c r="BS123" i="1"/>
  <c r="BT123" i="1"/>
  <c r="BU123" i="1"/>
  <c r="BV123" i="1"/>
  <c r="BW123" i="1"/>
  <c r="BX123" i="1"/>
  <c r="BY123" i="1"/>
  <c r="BZ123" i="1"/>
  <c r="CA123" i="1"/>
  <c r="CB123" i="1"/>
  <c r="CC123" i="1"/>
  <c r="CD123" i="1"/>
  <c r="H124" i="1"/>
  <c r="I124" i="1"/>
  <c r="J124" i="1"/>
  <c r="K124" i="1"/>
  <c r="L124" i="1"/>
  <c r="M124" i="1"/>
  <c r="N124" i="1"/>
  <c r="O124" i="1"/>
  <c r="P124" i="1"/>
  <c r="Q124" i="1"/>
  <c r="R124" i="1"/>
  <c r="S124" i="1"/>
  <c r="T124" i="1"/>
  <c r="U124" i="1"/>
  <c r="V124" i="1"/>
  <c r="W124" i="1"/>
  <c r="X124" i="1"/>
  <c r="Y124" i="1"/>
  <c r="Z124" i="1"/>
  <c r="AA124" i="1"/>
  <c r="AB124" i="1"/>
  <c r="AC124" i="1"/>
  <c r="AD124" i="1"/>
  <c r="AE124" i="1"/>
  <c r="AF124" i="1"/>
  <c r="AG124" i="1"/>
  <c r="AH124" i="1"/>
  <c r="AI124" i="1"/>
  <c r="AJ124" i="1"/>
  <c r="AK124" i="1"/>
  <c r="AL124" i="1"/>
  <c r="AM124" i="1"/>
  <c r="AN124" i="1"/>
  <c r="AO124" i="1"/>
  <c r="AP124" i="1"/>
  <c r="AQ124" i="1"/>
  <c r="AR124" i="1"/>
  <c r="AS124" i="1"/>
  <c r="AT124" i="1"/>
  <c r="AU124" i="1"/>
  <c r="AV124" i="1"/>
  <c r="AW124" i="1"/>
  <c r="AX124" i="1"/>
  <c r="AY124" i="1"/>
  <c r="AZ124" i="1"/>
  <c r="BA124" i="1"/>
  <c r="BB124" i="1"/>
  <c r="BC124" i="1"/>
  <c r="BD124" i="1"/>
  <c r="BE124" i="1"/>
  <c r="BF124" i="1"/>
  <c r="BG124" i="1"/>
  <c r="BH124" i="1"/>
  <c r="BI124" i="1"/>
  <c r="BJ124" i="1"/>
  <c r="BK124" i="1"/>
  <c r="BL124" i="1"/>
  <c r="BM124" i="1"/>
  <c r="BN124" i="1"/>
  <c r="BO124" i="1"/>
  <c r="BP124" i="1"/>
  <c r="BQ124" i="1"/>
  <c r="BR124" i="1"/>
  <c r="BS124" i="1"/>
  <c r="BT124" i="1"/>
  <c r="BU124" i="1"/>
  <c r="BV124" i="1"/>
  <c r="BW124" i="1"/>
  <c r="BX124" i="1"/>
  <c r="BY124" i="1"/>
  <c r="BZ124" i="1"/>
  <c r="CA124" i="1"/>
  <c r="CB124" i="1"/>
  <c r="CC124" i="1"/>
  <c r="CD124" i="1"/>
  <c r="H125" i="1"/>
  <c r="I125" i="1"/>
  <c r="J125" i="1"/>
  <c r="K125" i="1"/>
  <c r="L125" i="1"/>
  <c r="M125" i="1"/>
  <c r="N125" i="1"/>
  <c r="O125" i="1"/>
  <c r="P125" i="1"/>
  <c r="Q125" i="1"/>
  <c r="R125" i="1"/>
  <c r="S125" i="1"/>
  <c r="T125" i="1"/>
  <c r="U125" i="1"/>
  <c r="V125" i="1"/>
  <c r="W125" i="1"/>
  <c r="X125" i="1"/>
  <c r="Y125" i="1"/>
  <c r="Z125" i="1"/>
  <c r="AA125" i="1"/>
  <c r="AB125" i="1"/>
  <c r="AC125" i="1"/>
  <c r="AD125" i="1"/>
  <c r="AE125" i="1"/>
  <c r="AF125" i="1"/>
  <c r="AG125" i="1"/>
  <c r="AH125" i="1"/>
  <c r="AI125" i="1"/>
  <c r="AJ125" i="1"/>
  <c r="AK125" i="1"/>
  <c r="AL125" i="1"/>
  <c r="AM125" i="1"/>
  <c r="AN125" i="1"/>
  <c r="AO125" i="1"/>
  <c r="AP125" i="1"/>
  <c r="AQ125" i="1"/>
  <c r="AR125" i="1"/>
  <c r="AS125" i="1"/>
  <c r="AT125" i="1"/>
  <c r="AU125" i="1"/>
  <c r="AV125" i="1"/>
  <c r="AW125" i="1"/>
  <c r="AX125" i="1"/>
  <c r="AY125" i="1"/>
  <c r="AZ125" i="1"/>
  <c r="BA125" i="1"/>
  <c r="BB125" i="1"/>
  <c r="BC125" i="1"/>
  <c r="BD125" i="1"/>
  <c r="BE125" i="1"/>
  <c r="BF125" i="1"/>
  <c r="BG125" i="1"/>
  <c r="BH125" i="1"/>
  <c r="BI125" i="1"/>
  <c r="BJ125" i="1"/>
  <c r="BK125" i="1"/>
  <c r="BL125" i="1"/>
  <c r="BM125" i="1"/>
  <c r="BN125" i="1"/>
  <c r="BO125" i="1"/>
  <c r="BP125" i="1"/>
  <c r="BQ125" i="1"/>
  <c r="BR125" i="1"/>
  <c r="BS125" i="1"/>
  <c r="BT125" i="1"/>
  <c r="BU125" i="1"/>
  <c r="BV125" i="1"/>
  <c r="BW125" i="1"/>
  <c r="BX125" i="1"/>
  <c r="BY125" i="1"/>
  <c r="BZ125" i="1"/>
  <c r="CA125" i="1"/>
  <c r="CB125" i="1"/>
  <c r="CC125" i="1"/>
  <c r="CD125" i="1"/>
  <c r="H126" i="1"/>
  <c r="I126" i="1"/>
  <c r="J126" i="1"/>
  <c r="K126" i="1"/>
  <c r="L126" i="1"/>
  <c r="M126" i="1"/>
  <c r="N126" i="1"/>
  <c r="O126" i="1"/>
  <c r="P126" i="1"/>
  <c r="Q126" i="1"/>
  <c r="R126" i="1"/>
  <c r="S126" i="1"/>
  <c r="T126" i="1"/>
  <c r="U126" i="1"/>
  <c r="V126" i="1"/>
  <c r="W126" i="1"/>
  <c r="X126" i="1"/>
  <c r="Y126" i="1"/>
  <c r="Z126" i="1"/>
  <c r="AA126" i="1"/>
  <c r="AB126" i="1"/>
  <c r="AC126" i="1"/>
  <c r="AD126" i="1"/>
  <c r="AE126" i="1"/>
  <c r="AF126" i="1"/>
  <c r="AG126" i="1"/>
  <c r="AH126" i="1"/>
  <c r="AI126" i="1"/>
  <c r="AJ126" i="1"/>
  <c r="AK126" i="1"/>
  <c r="AL126" i="1"/>
  <c r="AM126" i="1"/>
  <c r="AN126" i="1"/>
  <c r="AO126" i="1"/>
  <c r="AP126" i="1"/>
  <c r="AQ126" i="1"/>
  <c r="AR126" i="1"/>
  <c r="AS126" i="1"/>
  <c r="AT126" i="1"/>
  <c r="AU126" i="1"/>
  <c r="AV126" i="1"/>
  <c r="AW126" i="1"/>
  <c r="AX126" i="1"/>
  <c r="AY126" i="1"/>
  <c r="AZ126" i="1"/>
  <c r="BA126" i="1"/>
  <c r="BB126" i="1"/>
  <c r="BC126" i="1"/>
  <c r="BD126" i="1"/>
  <c r="BE126" i="1"/>
  <c r="BF126" i="1"/>
  <c r="BG126" i="1"/>
  <c r="BH126" i="1"/>
  <c r="BI126" i="1"/>
  <c r="BJ126" i="1"/>
  <c r="BK126" i="1"/>
  <c r="BL126" i="1"/>
  <c r="BM126" i="1"/>
  <c r="BN126" i="1"/>
  <c r="BO126" i="1"/>
  <c r="BP126" i="1"/>
  <c r="BQ126" i="1"/>
  <c r="BR126" i="1"/>
  <c r="BS126" i="1"/>
  <c r="BT126" i="1"/>
  <c r="BU126" i="1"/>
  <c r="BV126" i="1"/>
  <c r="BW126" i="1"/>
  <c r="BX126" i="1"/>
  <c r="BY126" i="1"/>
  <c r="BZ126" i="1"/>
  <c r="CA126" i="1"/>
  <c r="CB126" i="1"/>
  <c r="CC126" i="1"/>
  <c r="CD126" i="1"/>
  <c r="H128" i="1"/>
  <c r="I128" i="1"/>
  <c r="J128" i="1"/>
  <c r="K128" i="1"/>
  <c r="L128" i="1"/>
  <c r="M128" i="1"/>
  <c r="N128" i="1"/>
  <c r="O128" i="1"/>
  <c r="P128" i="1"/>
  <c r="Q128" i="1"/>
  <c r="R128" i="1"/>
  <c r="S128" i="1"/>
  <c r="T128" i="1"/>
  <c r="U128" i="1"/>
  <c r="V128" i="1"/>
  <c r="W128" i="1"/>
  <c r="X128" i="1"/>
  <c r="Y128" i="1"/>
  <c r="Z128" i="1"/>
  <c r="AA128" i="1"/>
  <c r="AB128" i="1"/>
  <c r="AC128" i="1"/>
  <c r="AD128" i="1"/>
  <c r="AE128" i="1"/>
  <c r="AF128" i="1"/>
  <c r="AG128" i="1"/>
  <c r="AH128" i="1"/>
  <c r="AI128" i="1"/>
  <c r="AJ128" i="1"/>
  <c r="AK128" i="1"/>
  <c r="AL128" i="1"/>
  <c r="AM128" i="1"/>
  <c r="AN128" i="1"/>
  <c r="AO128" i="1"/>
  <c r="AP128" i="1"/>
  <c r="AQ128" i="1"/>
  <c r="AR128" i="1"/>
  <c r="AS128" i="1"/>
  <c r="AT128" i="1"/>
  <c r="AU128" i="1"/>
  <c r="AV128" i="1"/>
  <c r="AW128" i="1"/>
  <c r="AX128" i="1"/>
  <c r="AY128" i="1"/>
  <c r="AZ128" i="1"/>
  <c r="BA128" i="1"/>
  <c r="BB128" i="1"/>
  <c r="BC128" i="1"/>
  <c r="BD128" i="1"/>
  <c r="BE128" i="1"/>
  <c r="BF128" i="1"/>
  <c r="BG128" i="1"/>
  <c r="BH128" i="1"/>
  <c r="BI128" i="1"/>
  <c r="BJ128" i="1"/>
  <c r="BK128" i="1"/>
  <c r="BL128" i="1"/>
  <c r="BM128" i="1"/>
  <c r="BN128" i="1"/>
  <c r="BO128" i="1"/>
  <c r="BP128" i="1"/>
  <c r="BQ128" i="1"/>
  <c r="BR128" i="1"/>
  <c r="BS128" i="1"/>
  <c r="BT128" i="1"/>
  <c r="BU128" i="1"/>
  <c r="BV128" i="1"/>
  <c r="BW128" i="1"/>
  <c r="BX128" i="1"/>
  <c r="BY128" i="1"/>
  <c r="BZ128" i="1"/>
  <c r="CA128" i="1"/>
  <c r="CB128" i="1"/>
  <c r="CC128" i="1"/>
  <c r="CD128" i="1"/>
  <c r="H129" i="1"/>
  <c r="I129" i="1"/>
  <c r="J129" i="1"/>
  <c r="K129" i="1"/>
  <c r="L129" i="1"/>
  <c r="M129" i="1"/>
  <c r="N129" i="1"/>
  <c r="O129" i="1"/>
  <c r="P129" i="1"/>
  <c r="Q129" i="1"/>
  <c r="R129" i="1"/>
  <c r="S129" i="1"/>
  <c r="T129" i="1"/>
  <c r="U129" i="1"/>
  <c r="V129" i="1"/>
  <c r="W129" i="1"/>
  <c r="X129" i="1"/>
  <c r="Y129" i="1"/>
  <c r="Z129" i="1"/>
  <c r="AA129" i="1"/>
  <c r="AB129" i="1"/>
  <c r="AC129" i="1"/>
  <c r="AD129" i="1"/>
  <c r="AE129" i="1"/>
  <c r="AF129" i="1"/>
  <c r="AG129" i="1"/>
  <c r="AH129" i="1"/>
  <c r="AI129" i="1"/>
  <c r="AJ129" i="1"/>
  <c r="AK129" i="1"/>
  <c r="AL129" i="1"/>
  <c r="AM129" i="1"/>
  <c r="AN129" i="1"/>
  <c r="AO129" i="1"/>
  <c r="AP129" i="1"/>
  <c r="AQ129" i="1"/>
  <c r="AR129" i="1"/>
  <c r="AS129" i="1"/>
  <c r="AT129" i="1"/>
  <c r="AU129" i="1"/>
  <c r="AV129" i="1"/>
  <c r="AW129" i="1"/>
  <c r="AX129" i="1"/>
  <c r="AY129" i="1"/>
  <c r="AZ129" i="1"/>
  <c r="BA129" i="1"/>
  <c r="BB129" i="1"/>
  <c r="BC129" i="1"/>
  <c r="BD129" i="1"/>
  <c r="BE129" i="1"/>
  <c r="BF129" i="1"/>
  <c r="BG129" i="1"/>
  <c r="BH129" i="1"/>
  <c r="BI129" i="1"/>
  <c r="BJ129" i="1"/>
  <c r="BK129" i="1"/>
  <c r="BL129" i="1"/>
  <c r="BM129" i="1"/>
  <c r="BN129" i="1"/>
  <c r="BO129" i="1"/>
  <c r="BP129" i="1"/>
  <c r="BQ129" i="1"/>
  <c r="BR129" i="1"/>
  <c r="BS129" i="1"/>
  <c r="BT129" i="1"/>
  <c r="BU129" i="1"/>
  <c r="BV129" i="1"/>
  <c r="BW129" i="1"/>
  <c r="BX129" i="1"/>
  <c r="BY129" i="1"/>
  <c r="BZ129" i="1"/>
  <c r="CA129" i="1"/>
  <c r="CB129" i="1"/>
  <c r="CC129" i="1"/>
  <c r="CD129" i="1"/>
  <c r="H130" i="1"/>
  <c r="I130" i="1"/>
  <c r="J130" i="1"/>
  <c r="K130" i="1"/>
  <c r="L130" i="1"/>
  <c r="M130" i="1"/>
  <c r="N130" i="1"/>
  <c r="O130" i="1"/>
  <c r="P130" i="1"/>
  <c r="Q130" i="1"/>
  <c r="R130" i="1"/>
  <c r="S130" i="1"/>
  <c r="T130" i="1"/>
  <c r="U130" i="1"/>
  <c r="V130" i="1"/>
  <c r="W130" i="1"/>
  <c r="X130" i="1"/>
  <c r="Y130" i="1"/>
  <c r="Z130" i="1"/>
  <c r="AA130" i="1"/>
  <c r="AB130" i="1"/>
  <c r="AC130" i="1"/>
  <c r="AD130" i="1"/>
  <c r="AE130" i="1"/>
  <c r="AF130" i="1"/>
  <c r="AG130" i="1"/>
  <c r="AH130" i="1"/>
  <c r="AI130" i="1"/>
  <c r="AJ130" i="1"/>
  <c r="AK130" i="1"/>
  <c r="AL130" i="1"/>
  <c r="AM130" i="1"/>
  <c r="AN130" i="1"/>
  <c r="AO130" i="1"/>
  <c r="AP130" i="1"/>
  <c r="AQ130" i="1"/>
  <c r="AR130" i="1"/>
  <c r="AS130" i="1"/>
  <c r="AT130" i="1"/>
  <c r="AU130" i="1"/>
  <c r="AV130" i="1"/>
  <c r="AW130" i="1"/>
  <c r="AX130" i="1"/>
  <c r="AY130" i="1"/>
  <c r="AZ130" i="1"/>
  <c r="BA130" i="1"/>
  <c r="BB130" i="1"/>
  <c r="BC130" i="1"/>
  <c r="BD130" i="1"/>
  <c r="BE130" i="1"/>
  <c r="BF130" i="1"/>
  <c r="BG130" i="1"/>
  <c r="BH130" i="1"/>
  <c r="BI130" i="1"/>
  <c r="BJ130" i="1"/>
  <c r="BK130" i="1"/>
  <c r="BL130" i="1"/>
  <c r="BM130" i="1"/>
  <c r="BN130" i="1"/>
  <c r="BO130" i="1"/>
  <c r="BP130" i="1"/>
  <c r="BQ130" i="1"/>
  <c r="BR130" i="1"/>
  <c r="BS130" i="1"/>
  <c r="BT130" i="1"/>
  <c r="BU130" i="1"/>
  <c r="BV130" i="1"/>
  <c r="BW130" i="1"/>
  <c r="BX130" i="1"/>
  <c r="BY130" i="1"/>
  <c r="BZ130" i="1"/>
  <c r="CA130" i="1"/>
  <c r="CB130" i="1"/>
  <c r="CC130" i="1"/>
  <c r="CD130" i="1"/>
  <c r="H132" i="1"/>
  <c r="I132" i="1"/>
  <c r="J132" i="1"/>
  <c r="K132" i="1"/>
  <c r="L132" i="1"/>
  <c r="M132" i="1"/>
  <c r="N132" i="1"/>
  <c r="O132" i="1"/>
  <c r="P132" i="1"/>
  <c r="Q132" i="1"/>
  <c r="R132" i="1"/>
  <c r="S132" i="1"/>
  <c r="T132" i="1"/>
  <c r="U132" i="1"/>
  <c r="V132" i="1"/>
  <c r="W132" i="1"/>
  <c r="X132" i="1"/>
  <c r="Y132" i="1"/>
  <c r="Z132" i="1"/>
  <c r="AA132" i="1"/>
  <c r="AB132" i="1"/>
  <c r="AC132" i="1"/>
  <c r="AD132" i="1"/>
  <c r="AE132" i="1"/>
  <c r="AF132" i="1"/>
  <c r="AG132" i="1"/>
  <c r="AH132" i="1"/>
  <c r="AI132" i="1"/>
  <c r="AJ132" i="1"/>
  <c r="AK132" i="1"/>
  <c r="AL132" i="1"/>
  <c r="AM132" i="1"/>
  <c r="AN132" i="1"/>
  <c r="AO132" i="1"/>
  <c r="AP132" i="1"/>
  <c r="AQ132" i="1"/>
  <c r="AR132" i="1"/>
  <c r="AS132" i="1"/>
  <c r="AT132" i="1"/>
  <c r="AU132" i="1"/>
  <c r="AV132" i="1"/>
  <c r="AW132" i="1"/>
  <c r="AX132" i="1"/>
  <c r="AY132" i="1"/>
  <c r="AZ132" i="1"/>
  <c r="BA132" i="1"/>
  <c r="BB132" i="1"/>
  <c r="BC132" i="1"/>
  <c r="BD132" i="1"/>
  <c r="BE132" i="1"/>
  <c r="BF132" i="1"/>
  <c r="BG132" i="1"/>
  <c r="BH132" i="1"/>
  <c r="BI132" i="1"/>
  <c r="BJ132" i="1"/>
  <c r="BK132" i="1"/>
  <c r="BL132" i="1"/>
  <c r="BM132" i="1"/>
  <c r="BN132" i="1"/>
  <c r="BO132" i="1"/>
  <c r="BP132" i="1"/>
  <c r="BQ132" i="1"/>
  <c r="BR132" i="1"/>
  <c r="BS132" i="1"/>
  <c r="BT132" i="1"/>
  <c r="BU132" i="1"/>
  <c r="BV132" i="1"/>
  <c r="BW132" i="1"/>
  <c r="BX132" i="1"/>
  <c r="BY132" i="1"/>
  <c r="BZ132" i="1"/>
  <c r="CA132" i="1"/>
  <c r="CB132" i="1"/>
  <c r="CC132" i="1"/>
  <c r="CD132" i="1"/>
  <c r="H133" i="1"/>
  <c r="I133" i="1"/>
  <c r="J133" i="1"/>
  <c r="K133" i="1"/>
  <c r="L133" i="1"/>
  <c r="M133" i="1"/>
  <c r="N133" i="1"/>
  <c r="O133" i="1"/>
  <c r="P133" i="1"/>
  <c r="Q133" i="1"/>
  <c r="R133" i="1"/>
  <c r="S133" i="1"/>
  <c r="T133" i="1"/>
  <c r="U133" i="1"/>
  <c r="V133" i="1"/>
  <c r="W133" i="1"/>
  <c r="X133" i="1"/>
  <c r="Y133" i="1"/>
  <c r="Z133" i="1"/>
  <c r="AA133" i="1"/>
  <c r="AB133" i="1"/>
  <c r="AC133" i="1"/>
  <c r="AD133" i="1"/>
  <c r="AE133" i="1"/>
  <c r="AF133" i="1"/>
  <c r="AG133" i="1"/>
  <c r="AH133" i="1"/>
  <c r="AI133" i="1"/>
  <c r="AJ133" i="1"/>
  <c r="AK133" i="1"/>
  <c r="AL133" i="1"/>
  <c r="AM133" i="1"/>
  <c r="AN133" i="1"/>
  <c r="AO133" i="1"/>
  <c r="AP133" i="1"/>
  <c r="AQ133" i="1"/>
  <c r="AR133" i="1"/>
  <c r="AS133" i="1"/>
  <c r="AT133" i="1"/>
  <c r="AU133" i="1"/>
  <c r="AV133" i="1"/>
  <c r="AW133" i="1"/>
  <c r="AX133" i="1"/>
  <c r="AY133" i="1"/>
  <c r="AZ133" i="1"/>
  <c r="BA133" i="1"/>
  <c r="BB133" i="1"/>
  <c r="BC133" i="1"/>
  <c r="BD133" i="1"/>
  <c r="BE133" i="1"/>
  <c r="BF133" i="1"/>
  <c r="BG133" i="1"/>
  <c r="BH133" i="1"/>
  <c r="BI133" i="1"/>
  <c r="BJ133" i="1"/>
  <c r="BK133" i="1"/>
  <c r="BL133" i="1"/>
  <c r="BM133" i="1"/>
  <c r="BN133" i="1"/>
  <c r="BO133" i="1"/>
  <c r="BP133" i="1"/>
  <c r="BQ133" i="1"/>
  <c r="BR133" i="1"/>
  <c r="BS133" i="1"/>
  <c r="BT133" i="1"/>
  <c r="BU133" i="1"/>
  <c r="BV133" i="1"/>
  <c r="BW133" i="1"/>
  <c r="BX133" i="1"/>
  <c r="BY133" i="1"/>
  <c r="BZ133" i="1"/>
  <c r="CA133" i="1"/>
  <c r="CB133" i="1"/>
  <c r="CC133" i="1"/>
  <c r="CD133" i="1"/>
  <c r="H134" i="1"/>
  <c r="I134" i="1"/>
  <c r="J134" i="1"/>
  <c r="K134" i="1"/>
  <c r="L134" i="1"/>
  <c r="M134" i="1"/>
  <c r="N134" i="1"/>
  <c r="O134" i="1"/>
  <c r="P134" i="1"/>
  <c r="Q134" i="1"/>
  <c r="R134" i="1"/>
  <c r="S134" i="1"/>
  <c r="T134" i="1"/>
  <c r="U134" i="1"/>
  <c r="V134" i="1"/>
  <c r="W134" i="1"/>
  <c r="X134" i="1"/>
  <c r="Y134" i="1"/>
  <c r="Z134" i="1"/>
  <c r="AA134" i="1"/>
  <c r="AB134" i="1"/>
  <c r="AC134" i="1"/>
  <c r="AD134" i="1"/>
  <c r="AE134" i="1"/>
  <c r="AF134" i="1"/>
  <c r="AG134" i="1"/>
  <c r="AH134" i="1"/>
  <c r="AI134" i="1"/>
  <c r="AJ134" i="1"/>
  <c r="AK134" i="1"/>
  <c r="AL134" i="1"/>
  <c r="AM134" i="1"/>
  <c r="AN134" i="1"/>
  <c r="AO134" i="1"/>
  <c r="AP134" i="1"/>
  <c r="AQ134" i="1"/>
  <c r="AR134" i="1"/>
  <c r="AS134" i="1"/>
  <c r="AT134" i="1"/>
  <c r="AU134" i="1"/>
  <c r="AV134" i="1"/>
  <c r="AW134" i="1"/>
  <c r="AX134" i="1"/>
  <c r="AY134" i="1"/>
  <c r="AZ134" i="1"/>
  <c r="BA134" i="1"/>
  <c r="BB134" i="1"/>
  <c r="BC134" i="1"/>
  <c r="BD134" i="1"/>
  <c r="BE134" i="1"/>
  <c r="BF134" i="1"/>
  <c r="BG134" i="1"/>
  <c r="BH134" i="1"/>
  <c r="BI134" i="1"/>
  <c r="BJ134" i="1"/>
  <c r="BK134" i="1"/>
  <c r="BL134" i="1"/>
  <c r="BM134" i="1"/>
  <c r="BN134" i="1"/>
  <c r="BO134" i="1"/>
  <c r="BP134" i="1"/>
  <c r="BQ134" i="1"/>
  <c r="BR134" i="1"/>
  <c r="BS134" i="1"/>
  <c r="BT134" i="1"/>
  <c r="BU134" i="1"/>
  <c r="BV134" i="1"/>
  <c r="BW134" i="1"/>
  <c r="BX134" i="1"/>
  <c r="BY134" i="1"/>
  <c r="BZ134" i="1"/>
  <c r="CA134" i="1"/>
  <c r="CB134" i="1"/>
  <c r="CC134" i="1"/>
  <c r="CD134" i="1"/>
  <c r="H136" i="1"/>
  <c r="I136" i="1"/>
  <c r="J136" i="1"/>
  <c r="K136" i="1"/>
  <c r="L136" i="1"/>
  <c r="M136" i="1"/>
  <c r="N136" i="1"/>
  <c r="O136" i="1"/>
  <c r="P136" i="1"/>
  <c r="Q136" i="1"/>
  <c r="R136" i="1"/>
  <c r="S136" i="1"/>
  <c r="T136" i="1"/>
  <c r="U136" i="1"/>
  <c r="V136" i="1"/>
  <c r="W136" i="1"/>
  <c r="X136" i="1"/>
  <c r="Y136" i="1"/>
  <c r="Z136" i="1"/>
  <c r="AA136" i="1"/>
  <c r="AB136" i="1"/>
  <c r="AC136" i="1"/>
  <c r="AD136" i="1"/>
  <c r="AE136" i="1"/>
  <c r="AF136" i="1"/>
  <c r="AG136" i="1"/>
  <c r="AH136" i="1"/>
  <c r="AI136" i="1"/>
  <c r="AJ136" i="1"/>
  <c r="AK136" i="1"/>
  <c r="AL136" i="1"/>
  <c r="AM136" i="1"/>
  <c r="AN136" i="1"/>
  <c r="AO136" i="1"/>
  <c r="AP136" i="1"/>
  <c r="AQ136" i="1"/>
  <c r="AR136" i="1"/>
  <c r="AS136" i="1"/>
  <c r="AT136" i="1"/>
  <c r="AU136" i="1"/>
  <c r="AV136" i="1"/>
  <c r="AW136" i="1"/>
  <c r="AX136" i="1"/>
  <c r="AY136" i="1"/>
  <c r="AZ136" i="1"/>
  <c r="BA136" i="1"/>
  <c r="BB136" i="1"/>
  <c r="BC136" i="1"/>
  <c r="BD136" i="1"/>
  <c r="BE136" i="1"/>
  <c r="BF136" i="1"/>
  <c r="BG136" i="1"/>
  <c r="BH136" i="1"/>
  <c r="BI136" i="1"/>
  <c r="BJ136" i="1"/>
  <c r="BK136" i="1"/>
  <c r="BL136" i="1"/>
  <c r="BM136" i="1"/>
  <c r="BN136" i="1"/>
  <c r="BO136" i="1"/>
  <c r="BP136" i="1"/>
  <c r="BQ136" i="1"/>
  <c r="BR136" i="1"/>
  <c r="BS136" i="1"/>
  <c r="BT136" i="1"/>
  <c r="BU136" i="1"/>
  <c r="BV136" i="1"/>
  <c r="BW136" i="1"/>
  <c r="BX136" i="1"/>
  <c r="BY136" i="1"/>
  <c r="BZ136" i="1"/>
  <c r="CA136" i="1"/>
  <c r="CB136" i="1"/>
  <c r="CC136" i="1"/>
  <c r="CD136" i="1"/>
  <c r="H137" i="1"/>
  <c r="I137" i="1"/>
  <c r="J137" i="1"/>
  <c r="K137" i="1"/>
  <c r="L137" i="1"/>
  <c r="M137" i="1"/>
  <c r="N137" i="1"/>
  <c r="O137" i="1"/>
  <c r="P137" i="1"/>
  <c r="Q137" i="1"/>
  <c r="R137" i="1"/>
  <c r="S137" i="1"/>
  <c r="T137" i="1"/>
  <c r="U137" i="1"/>
  <c r="V137" i="1"/>
  <c r="W137" i="1"/>
  <c r="X137" i="1"/>
  <c r="Y137" i="1"/>
  <c r="Z137" i="1"/>
  <c r="AA137" i="1"/>
  <c r="AB137" i="1"/>
  <c r="AC137" i="1"/>
  <c r="AD137" i="1"/>
  <c r="AE137" i="1"/>
  <c r="AF137" i="1"/>
  <c r="AG137" i="1"/>
  <c r="AH137" i="1"/>
  <c r="AI137" i="1"/>
  <c r="AJ137" i="1"/>
  <c r="AK137" i="1"/>
  <c r="AL137" i="1"/>
  <c r="AM137" i="1"/>
  <c r="AN137" i="1"/>
  <c r="AO137" i="1"/>
  <c r="AP137" i="1"/>
  <c r="AQ137" i="1"/>
  <c r="AR137" i="1"/>
  <c r="AS137" i="1"/>
  <c r="AT137" i="1"/>
  <c r="AU137" i="1"/>
  <c r="AV137" i="1"/>
  <c r="AW137" i="1"/>
  <c r="AX137" i="1"/>
  <c r="AY137" i="1"/>
  <c r="AZ137" i="1"/>
  <c r="BA137" i="1"/>
  <c r="BB137" i="1"/>
  <c r="BC137" i="1"/>
  <c r="BD137" i="1"/>
  <c r="BE137" i="1"/>
  <c r="BF137" i="1"/>
  <c r="BG137" i="1"/>
  <c r="BH137" i="1"/>
  <c r="BI137" i="1"/>
  <c r="BJ137" i="1"/>
  <c r="BK137" i="1"/>
  <c r="BL137" i="1"/>
  <c r="BM137" i="1"/>
  <c r="BN137" i="1"/>
  <c r="BO137" i="1"/>
  <c r="BP137" i="1"/>
  <c r="BQ137" i="1"/>
  <c r="BR137" i="1"/>
  <c r="BS137" i="1"/>
  <c r="BT137" i="1"/>
  <c r="BU137" i="1"/>
  <c r="BV137" i="1"/>
  <c r="BW137" i="1"/>
  <c r="BX137" i="1"/>
  <c r="BY137" i="1"/>
  <c r="BZ137" i="1"/>
  <c r="CA137" i="1"/>
  <c r="CB137" i="1"/>
  <c r="CC137" i="1"/>
  <c r="CD137" i="1"/>
  <c r="H138" i="1"/>
  <c r="I138" i="1"/>
  <c r="J138" i="1"/>
  <c r="K138" i="1"/>
  <c r="L138" i="1"/>
  <c r="M138" i="1"/>
  <c r="N138" i="1"/>
  <c r="O138" i="1"/>
  <c r="P138" i="1"/>
  <c r="Q138" i="1"/>
  <c r="R138" i="1"/>
  <c r="S138" i="1"/>
  <c r="T138" i="1"/>
  <c r="U138" i="1"/>
  <c r="V138" i="1"/>
  <c r="W138" i="1"/>
  <c r="X138" i="1"/>
  <c r="Y138" i="1"/>
  <c r="Z138" i="1"/>
  <c r="AA138" i="1"/>
  <c r="AB138" i="1"/>
  <c r="AC138" i="1"/>
  <c r="AD138" i="1"/>
  <c r="AE138" i="1"/>
  <c r="AF138" i="1"/>
  <c r="AG138" i="1"/>
  <c r="AH138" i="1"/>
  <c r="AI138" i="1"/>
  <c r="AJ138" i="1"/>
  <c r="AK138" i="1"/>
  <c r="AL138" i="1"/>
  <c r="AM138" i="1"/>
  <c r="AN138" i="1"/>
  <c r="AO138" i="1"/>
  <c r="AP138" i="1"/>
  <c r="AQ138" i="1"/>
  <c r="AR138" i="1"/>
  <c r="AS138" i="1"/>
  <c r="AT138" i="1"/>
  <c r="AU138" i="1"/>
  <c r="AV138" i="1"/>
  <c r="AW138" i="1"/>
  <c r="AX138" i="1"/>
  <c r="AY138" i="1"/>
  <c r="AZ138" i="1"/>
  <c r="BA138" i="1"/>
  <c r="BB138" i="1"/>
  <c r="BC138" i="1"/>
  <c r="BD138" i="1"/>
  <c r="BE138" i="1"/>
  <c r="BF138" i="1"/>
  <c r="BG138" i="1"/>
  <c r="BH138" i="1"/>
  <c r="BI138" i="1"/>
  <c r="BJ138" i="1"/>
  <c r="BK138" i="1"/>
  <c r="BL138" i="1"/>
  <c r="BM138" i="1"/>
  <c r="BN138" i="1"/>
  <c r="BO138" i="1"/>
  <c r="BP138" i="1"/>
  <c r="BQ138" i="1"/>
  <c r="BR138" i="1"/>
  <c r="BS138" i="1"/>
  <c r="BT138" i="1"/>
  <c r="BU138" i="1"/>
  <c r="BV138" i="1"/>
  <c r="BW138" i="1"/>
  <c r="BX138" i="1"/>
  <c r="BY138" i="1"/>
  <c r="BZ138" i="1"/>
  <c r="CA138" i="1"/>
  <c r="CB138" i="1"/>
  <c r="CC138" i="1"/>
  <c r="CD138" i="1"/>
  <c r="H143" i="1"/>
  <c r="I143" i="1"/>
  <c r="J143" i="1"/>
  <c r="K143" i="1"/>
  <c r="L143" i="1"/>
  <c r="M143" i="1"/>
  <c r="N143" i="1"/>
  <c r="O143" i="1"/>
  <c r="P143" i="1"/>
  <c r="Q143" i="1"/>
  <c r="R143" i="1"/>
  <c r="S143" i="1"/>
  <c r="T143" i="1"/>
  <c r="U143" i="1"/>
  <c r="V143" i="1"/>
  <c r="W143" i="1"/>
  <c r="X143" i="1"/>
  <c r="Y143" i="1"/>
  <c r="Z143" i="1"/>
  <c r="AA143" i="1"/>
  <c r="AB143" i="1"/>
  <c r="AC143" i="1"/>
  <c r="AD143" i="1"/>
  <c r="AE143" i="1"/>
  <c r="AF143" i="1"/>
  <c r="AG143" i="1"/>
  <c r="AH143" i="1"/>
  <c r="AI143" i="1"/>
  <c r="AJ143" i="1"/>
  <c r="AK143" i="1"/>
  <c r="AL143" i="1"/>
  <c r="AM143" i="1"/>
  <c r="AN143" i="1"/>
  <c r="AO143" i="1"/>
  <c r="AP143" i="1"/>
  <c r="AQ143" i="1"/>
  <c r="AR143" i="1"/>
  <c r="AS143" i="1"/>
  <c r="AT143" i="1"/>
  <c r="AU143" i="1"/>
  <c r="AV143" i="1"/>
  <c r="AW143" i="1"/>
  <c r="AX143" i="1"/>
  <c r="AY143" i="1"/>
  <c r="AZ143" i="1"/>
  <c r="BA143" i="1"/>
  <c r="BB143" i="1"/>
  <c r="BC143" i="1"/>
  <c r="BD143" i="1"/>
  <c r="BE143" i="1"/>
  <c r="BF143" i="1"/>
  <c r="BG143" i="1"/>
  <c r="BH143" i="1"/>
  <c r="BI143" i="1"/>
  <c r="BJ143" i="1"/>
  <c r="BK143" i="1"/>
  <c r="BL143" i="1"/>
  <c r="BM143" i="1"/>
  <c r="BN143" i="1"/>
  <c r="BO143" i="1"/>
  <c r="BP143" i="1"/>
  <c r="BQ143" i="1"/>
  <c r="BR143" i="1"/>
  <c r="BS143" i="1"/>
  <c r="BT143" i="1"/>
  <c r="BU143" i="1"/>
  <c r="BV143" i="1"/>
  <c r="BW143" i="1"/>
  <c r="BX143" i="1"/>
  <c r="BY143" i="1"/>
  <c r="BZ143" i="1"/>
  <c r="CA143" i="1"/>
  <c r="CB143" i="1"/>
  <c r="CC143" i="1"/>
  <c r="CD143" i="1"/>
  <c r="H144" i="1"/>
  <c r="I144" i="1"/>
  <c r="J144" i="1"/>
  <c r="K144" i="1"/>
  <c r="L144" i="1"/>
  <c r="M144" i="1"/>
  <c r="N144" i="1"/>
  <c r="O144" i="1"/>
  <c r="P144" i="1"/>
  <c r="Q144" i="1"/>
  <c r="R144" i="1"/>
  <c r="S144" i="1"/>
  <c r="T144" i="1"/>
  <c r="U144" i="1"/>
  <c r="V144" i="1"/>
  <c r="W144" i="1"/>
  <c r="X144" i="1"/>
  <c r="Y144" i="1"/>
  <c r="Z144" i="1"/>
  <c r="AA144" i="1"/>
  <c r="AB144" i="1"/>
  <c r="AC144" i="1"/>
  <c r="AD144" i="1"/>
  <c r="AE144" i="1"/>
  <c r="AF144" i="1"/>
  <c r="AG144" i="1"/>
  <c r="AH144" i="1"/>
  <c r="AI144" i="1"/>
  <c r="AJ144" i="1"/>
  <c r="AK144" i="1"/>
  <c r="AL144" i="1"/>
  <c r="AM144" i="1"/>
  <c r="AN144" i="1"/>
  <c r="AO144" i="1"/>
  <c r="AP144" i="1"/>
  <c r="AQ144" i="1"/>
  <c r="AR144" i="1"/>
  <c r="AS144" i="1"/>
  <c r="AT144" i="1"/>
  <c r="AU144" i="1"/>
  <c r="AV144" i="1"/>
  <c r="AW144" i="1"/>
  <c r="AX144" i="1"/>
  <c r="AY144" i="1"/>
  <c r="AZ144" i="1"/>
  <c r="BA144" i="1"/>
  <c r="BB144" i="1"/>
  <c r="BC144" i="1"/>
  <c r="BD144" i="1"/>
  <c r="BE144" i="1"/>
  <c r="BF144" i="1"/>
  <c r="BG144" i="1"/>
  <c r="BH144" i="1"/>
  <c r="BI144" i="1"/>
  <c r="BJ144" i="1"/>
  <c r="BK144" i="1"/>
  <c r="BL144" i="1"/>
  <c r="BM144" i="1"/>
  <c r="BN144" i="1"/>
  <c r="BO144" i="1"/>
  <c r="BP144" i="1"/>
  <c r="BQ144" i="1"/>
  <c r="BR144" i="1"/>
  <c r="BS144" i="1"/>
  <c r="BT144" i="1"/>
  <c r="BU144" i="1"/>
  <c r="BV144" i="1"/>
  <c r="BW144" i="1"/>
  <c r="BX144" i="1"/>
  <c r="BY144" i="1"/>
  <c r="BZ144" i="1"/>
  <c r="CA144" i="1"/>
  <c r="CB144" i="1"/>
  <c r="CC144" i="1"/>
  <c r="CD144" i="1"/>
  <c r="H145" i="1"/>
  <c r="I145" i="1"/>
  <c r="J145" i="1"/>
  <c r="K145" i="1"/>
  <c r="L145" i="1"/>
  <c r="M145" i="1"/>
  <c r="N145" i="1"/>
  <c r="O145" i="1"/>
  <c r="P145" i="1"/>
  <c r="Q145" i="1"/>
  <c r="R145" i="1"/>
  <c r="S145" i="1"/>
  <c r="T145" i="1"/>
  <c r="U145" i="1"/>
  <c r="V145" i="1"/>
  <c r="W145" i="1"/>
  <c r="X145" i="1"/>
  <c r="Y145" i="1"/>
  <c r="Z145" i="1"/>
  <c r="AA145" i="1"/>
  <c r="AB145" i="1"/>
  <c r="AC145" i="1"/>
  <c r="AD145" i="1"/>
  <c r="AE145" i="1"/>
  <c r="AF145" i="1"/>
  <c r="AG145" i="1"/>
  <c r="AH145" i="1"/>
  <c r="AI145" i="1"/>
  <c r="AJ145" i="1"/>
  <c r="AK145" i="1"/>
  <c r="AL145" i="1"/>
  <c r="AM145" i="1"/>
  <c r="AN145" i="1"/>
  <c r="AO145" i="1"/>
  <c r="AP145" i="1"/>
  <c r="AQ145" i="1"/>
  <c r="AR145" i="1"/>
  <c r="AS145" i="1"/>
  <c r="AT145" i="1"/>
  <c r="AU145" i="1"/>
  <c r="AV145" i="1"/>
  <c r="AW145" i="1"/>
  <c r="AX145" i="1"/>
  <c r="AY145" i="1"/>
  <c r="AZ145" i="1"/>
  <c r="BA145" i="1"/>
  <c r="BB145" i="1"/>
  <c r="BC145" i="1"/>
  <c r="BD145" i="1"/>
  <c r="BE145" i="1"/>
  <c r="BF145" i="1"/>
  <c r="BG145" i="1"/>
  <c r="BH145" i="1"/>
  <c r="BI145" i="1"/>
  <c r="BJ145" i="1"/>
  <c r="BK145" i="1"/>
  <c r="BL145" i="1"/>
  <c r="BM145" i="1"/>
  <c r="BN145" i="1"/>
  <c r="BO145" i="1"/>
  <c r="BP145" i="1"/>
  <c r="BQ145" i="1"/>
  <c r="BR145" i="1"/>
  <c r="BS145" i="1"/>
  <c r="BT145" i="1"/>
  <c r="BU145" i="1"/>
  <c r="BV145" i="1"/>
  <c r="BW145" i="1"/>
  <c r="BX145" i="1"/>
  <c r="BY145" i="1"/>
  <c r="BZ145" i="1"/>
  <c r="CA145" i="1"/>
  <c r="CB145" i="1"/>
  <c r="CC145" i="1"/>
  <c r="CD145" i="1"/>
  <c r="H146" i="1"/>
  <c r="I146" i="1"/>
  <c r="J146" i="1"/>
  <c r="K146" i="1"/>
  <c r="L146" i="1"/>
  <c r="M146" i="1"/>
  <c r="N146" i="1"/>
  <c r="O146" i="1"/>
  <c r="P146" i="1"/>
  <c r="Q146" i="1"/>
  <c r="R146" i="1"/>
  <c r="S146" i="1"/>
  <c r="T146" i="1"/>
  <c r="U146" i="1"/>
  <c r="V146" i="1"/>
  <c r="W146" i="1"/>
  <c r="X146" i="1"/>
  <c r="Y146" i="1"/>
  <c r="Z146" i="1"/>
  <c r="AA146" i="1"/>
  <c r="AB146" i="1"/>
  <c r="AC146" i="1"/>
  <c r="AD146" i="1"/>
  <c r="AE146" i="1"/>
  <c r="AF146" i="1"/>
  <c r="AG146" i="1"/>
  <c r="AH146" i="1"/>
  <c r="AI146" i="1"/>
  <c r="AJ146" i="1"/>
  <c r="AK146" i="1"/>
  <c r="AL146" i="1"/>
  <c r="AM146" i="1"/>
  <c r="AN146" i="1"/>
  <c r="AO146" i="1"/>
  <c r="AP146" i="1"/>
  <c r="AQ146" i="1"/>
  <c r="AR146" i="1"/>
  <c r="AS146" i="1"/>
  <c r="AT146" i="1"/>
  <c r="AU146" i="1"/>
  <c r="AV146" i="1"/>
  <c r="AW146" i="1"/>
  <c r="AX146" i="1"/>
  <c r="AY146" i="1"/>
  <c r="AZ146" i="1"/>
  <c r="BA146" i="1"/>
  <c r="BB146" i="1"/>
  <c r="BC146" i="1"/>
  <c r="BD146" i="1"/>
  <c r="BE146" i="1"/>
  <c r="BF146" i="1"/>
  <c r="BG146" i="1"/>
  <c r="BH146" i="1"/>
  <c r="BI146" i="1"/>
  <c r="BJ146" i="1"/>
  <c r="BK146" i="1"/>
  <c r="BL146" i="1"/>
  <c r="BM146" i="1"/>
  <c r="BN146" i="1"/>
  <c r="BO146" i="1"/>
  <c r="BP146" i="1"/>
  <c r="BQ146" i="1"/>
  <c r="BR146" i="1"/>
  <c r="BS146" i="1"/>
  <c r="BT146" i="1"/>
  <c r="BU146" i="1"/>
  <c r="BV146" i="1"/>
  <c r="BW146" i="1"/>
  <c r="BX146" i="1"/>
  <c r="BY146" i="1"/>
  <c r="BZ146" i="1"/>
  <c r="CA146" i="1"/>
  <c r="CB146" i="1"/>
  <c r="CC146" i="1"/>
  <c r="CD146" i="1"/>
  <c r="H147" i="1"/>
  <c r="I147" i="1"/>
  <c r="J147" i="1"/>
  <c r="K147" i="1"/>
  <c r="L147" i="1"/>
  <c r="M147" i="1"/>
  <c r="N147" i="1"/>
  <c r="O147" i="1"/>
  <c r="P147" i="1"/>
  <c r="Q147" i="1"/>
  <c r="R147" i="1"/>
  <c r="S147" i="1"/>
  <c r="T147" i="1"/>
  <c r="U147" i="1"/>
  <c r="V147" i="1"/>
  <c r="W147" i="1"/>
  <c r="X147" i="1"/>
  <c r="Y147" i="1"/>
  <c r="Z147" i="1"/>
  <c r="AA147" i="1"/>
  <c r="AB147" i="1"/>
  <c r="AC147" i="1"/>
  <c r="AD147" i="1"/>
  <c r="AE147" i="1"/>
  <c r="AF147" i="1"/>
  <c r="AG147" i="1"/>
  <c r="AH147" i="1"/>
  <c r="AI147" i="1"/>
  <c r="AJ147" i="1"/>
  <c r="AK147" i="1"/>
  <c r="AL147" i="1"/>
  <c r="AM147" i="1"/>
  <c r="AN147" i="1"/>
  <c r="AO147" i="1"/>
  <c r="AP147" i="1"/>
  <c r="AQ147" i="1"/>
  <c r="AR147" i="1"/>
  <c r="AS147" i="1"/>
  <c r="AT147" i="1"/>
  <c r="AU147" i="1"/>
  <c r="AV147" i="1"/>
  <c r="AW147" i="1"/>
  <c r="AX147" i="1"/>
  <c r="AY147" i="1"/>
  <c r="AZ147" i="1"/>
  <c r="BA147" i="1"/>
  <c r="BB147" i="1"/>
  <c r="BC147" i="1"/>
  <c r="BD147" i="1"/>
  <c r="BE147" i="1"/>
  <c r="BF147" i="1"/>
  <c r="BG147" i="1"/>
  <c r="BH147" i="1"/>
  <c r="BI147" i="1"/>
  <c r="BJ147" i="1"/>
  <c r="BK147" i="1"/>
  <c r="BL147" i="1"/>
  <c r="BM147" i="1"/>
  <c r="BN147" i="1"/>
  <c r="BO147" i="1"/>
  <c r="BP147" i="1"/>
  <c r="BQ147" i="1"/>
  <c r="BR147" i="1"/>
  <c r="BS147" i="1"/>
  <c r="BT147" i="1"/>
  <c r="BU147" i="1"/>
  <c r="BV147" i="1"/>
  <c r="BW147" i="1"/>
  <c r="BX147" i="1"/>
  <c r="BY147" i="1"/>
  <c r="BZ147" i="1"/>
  <c r="CA147" i="1"/>
  <c r="CB147" i="1"/>
  <c r="CC147" i="1"/>
  <c r="CD147" i="1"/>
  <c r="H148" i="1"/>
  <c r="I148" i="1"/>
  <c r="J148" i="1"/>
  <c r="K148" i="1"/>
  <c r="L148" i="1"/>
  <c r="M148" i="1"/>
  <c r="N148" i="1"/>
  <c r="O148" i="1"/>
  <c r="P148" i="1"/>
  <c r="Q148" i="1"/>
  <c r="R148" i="1"/>
  <c r="S148" i="1"/>
  <c r="T148" i="1"/>
  <c r="U148" i="1"/>
  <c r="V148" i="1"/>
  <c r="W148" i="1"/>
  <c r="X148" i="1"/>
  <c r="Y148" i="1"/>
  <c r="Z148" i="1"/>
  <c r="AA148" i="1"/>
  <c r="AB148" i="1"/>
  <c r="AC148" i="1"/>
  <c r="AD148" i="1"/>
  <c r="AE148" i="1"/>
  <c r="AF148" i="1"/>
  <c r="AG148" i="1"/>
  <c r="AH148" i="1"/>
  <c r="AI148" i="1"/>
  <c r="AJ148" i="1"/>
  <c r="AK148" i="1"/>
  <c r="AL148" i="1"/>
  <c r="AM148" i="1"/>
  <c r="AN148" i="1"/>
  <c r="AO148" i="1"/>
  <c r="AP148" i="1"/>
  <c r="AQ148" i="1"/>
  <c r="AR148" i="1"/>
  <c r="AS148" i="1"/>
  <c r="AT148" i="1"/>
  <c r="AU148" i="1"/>
  <c r="AV148" i="1"/>
  <c r="AW148" i="1"/>
  <c r="AX148" i="1"/>
  <c r="AY148" i="1"/>
  <c r="AZ148" i="1"/>
  <c r="BA148" i="1"/>
  <c r="BB148" i="1"/>
  <c r="BC148" i="1"/>
  <c r="BD148" i="1"/>
  <c r="BE148" i="1"/>
  <c r="BF148" i="1"/>
  <c r="BG148" i="1"/>
  <c r="BH148" i="1"/>
  <c r="BI148" i="1"/>
  <c r="BJ148" i="1"/>
  <c r="BK148" i="1"/>
  <c r="BL148" i="1"/>
  <c r="BM148" i="1"/>
  <c r="BN148" i="1"/>
  <c r="BO148" i="1"/>
  <c r="BP148" i="1"/>
  <c r="BQ148" i="1"/>
  <c r="BR148" i="1"/>
  <c r="BS148" i="1"/>
  <c r="BT148" i="1"/>
  <c r="BU148" i="1"/>
  <c r="BV148" i="1"/>
  <c r="BW148" i="1"/>
  <c r="BX148" i="1"/>
  <c r="BY148" i="1"/>
  <c r="BZ148" i="1"/>
  <c r="CA148" i="1"/>
  <c r="CB148" i="1"/>
  <c r="CC148" i="1"/>
  <c r="CD148" i="1"/>
  <c r="H149" i="1"/>
  <c r="I149" i="1"/>
  <c r="J149" i="1"/>
  <c r="K149" i="1"/>
  <c r="L149" i="1"/>
  <c r="M149" i="1"/>
  <c r="N149" i="1"/>
  <c r="O149" i="1"/>
  <c r="P149" i="1"/>
  <c r="Q149" i="1"/>
  <c r="R149" i="1"/>
  <c r="S149" i="1"/>
  <c r="T149" i="1"/>
  <c r="U149" i="1"/>
  <c r="V149" i="1"/>
  <c r="W149" i="1"/>
  <c r="X149" i="1"/>
  <c r="Y149" i="1"/>
  <c r="Z149" i="1"/>
  <c r="AA149" i="1"/>
  <c r="AB149" i="1"/>
  <c r="AC149" i="1"/>
  <c r="AD149" i="1"/>
  <c r="AE149" i="1"/>
  <c r="AF149" i="1"/>
  <c r="AG149" i="1"/>
  <c r="AH149" i="1"/>
  <c r="AI149" i="1"/>
  <c r="AJ149" i="1"/>
  <c r="AK149" i="1"/>
  <c r="AL149" i="1"/>
  <c r="AM149" i="1"/>
  <c r="AN149" i="1"/>
  <c r="AO149" i="1"/>
  <c r="AP149" i="1"/>
  <c r="AQ149" i="1"/>
  <c r="AR149" i="1"/>
  <c r="AS149" i="1"/>
  <c r="AT149" i="1"/>
  <c r="AU149" i="1"/>
  <c r="AV149" i="1"/>
  <c r="AW149" i="1"/>
  <c r="AX149" i="1"/>
  <c r="AY149" i="1"/>
  <c r="AZ149" i="1"/>
  <c r="BA149" i="1"/>
  <c r="BB149" i="1"/>
  <c r="BC149" i="1"/>
  <c r="BD149" i="1"/>
  <c r="BE149" i="1"/>
  <c r="BF149" i="1"/>
  <c r="BG149" i="1"/>
  <c r="BH149" i="1"/>
  <c r="BI149" i="1"/>
  <c r="BJ149" i="1"/>
  <c r="BK149" i="1"/>
  <c r="BL149" i="1"/>
  <c r="BM149" i="1"/>
  <c r="BN149" i="1"/>
  <c r="BO149" i="1"/>
  <c r="BP149" i="1"/>
  <c r="BQ149" i="1"/>
  <c r="BR149" i="1"/>
  <c r="BS149" i="1"/>
  <c r="BT149" i="1"/>
  <c r="BU149" i="1"/>
  <c r="BV149" i="1"/>
  <c r="BW149" i="1"/>
  <c r="BX149" i="1"/>
  <c r="BY149" i="1"/>
  <c r="BZ149" i="1"/>
  <c r="CA149" i="1"/>
  <c r="CB149" i="1"/>
  <c r="CC149" i="1"/>
  <c r="CD149" i="1"/>
  <c r="H150" i="1"/>
  <c r="I150" i="1"/>
  <c r="J150" i="1"/>
  <c r="K150" i="1"/>
  <c r="L150" i="1"/>
  <c r="M150" i="1"/>
  <c r="N150" i="1"/>
  <c r="O150" i="1"/>
  <c r="P150" i="1"/>
  <c r="Q150" i="1"/>
  <c r="R150" i="1"/>
  <c r="S150" i="1"/>
  <c r="T150" i="1"/>
  <c r="U150" i="1"/>
  <c r="V150" i="1"/>
  <c r="W150" i="1"/>
  <c r="X150" i="1"/>
  <c r="Y150" i="1"/>
  <c r="Z150" i="1"/>
  <c r="AA150" i="1"/>
  <c r="AB150" i="1"/>
  <c r="AC150" i="1"/>
  <c r="AD150" i="1"/>
  <c r="AE150" i="1"/>
  <c r="AF150" i="1"/>
  <c r="AG150" i="1"/>
  <c r="AH150" i="1"/>
  <c r="AI150" i="1"/>
  <c r="AJ150" i="1"/>
  <c r="AK150" i="1"/>
  <c r="AL150" i="1"/>
  <c r="AM150" i="1"/>
  <c r="AN150" i="1"/>
  <c r="AO150" i="1"/>
  <c r="AP150" i="1"/>
  <c r="AQ150" i="1"/>
  <c r="AR150" i="1"/>
  <c r="AS150" i="1"/>
  <c r="AT150" i="1"/>
  <c r="AU150" i="1"/>
  <c r="AV150" i="1"/>
  <c r="AW150" i="1"/>
  <c r="AX150" i="1"/>
  <c r="AY150" i="1"/>
  <c r="AZ150" i="1"/>
  <c r="BA150" i="1"/>
  <c r="BB150" i="1"/>
  <c r="BC150" i="1"/>
  <c r="BD150" i="1"/>
  <c r="BE150" i="1"/>
  <c r="BF150" i="1"/>
  <c r="BG150" i="1"/>
  <c r="BH150" i="1"/>
  <c r="BI150" i="1"/>
  <c r="BJ150" i="1"/>
  <c r="BK150" i="1"/>
  <c r="BL150" i="1"/>
  <c r="BM150" i="1"/>
  <c r="BN150" i="1"/>
  <c r="BO150" i="1"/>
  <c r="BP150" i="1"/>
  <c r="BQ150" i="1"/>
  <c r="BR150" i="1"/>
  <c r="BS150" i="1"/>
  <c r="BT150" i="1"/>
  <c r="BU150" i="1"/>
  <c r="BV150" i="1"/>
  <c r="BW150" i="1"/>
  <c r="BX150" i="1"/>
  <c r="BY150" i="1"/>
  <c r="BZ150" i="1"/>
  <c r="CA150" i="1"/>
  <c r="CB150" i="1"/>
  <c r="CC150" i="1"/>
  <c r="CD150" i="1"/>
  <c r="H151" i="1"/>
  <c r="I151" i="1"/>
  <c r="J151" i="1"/>
  <c r="K151" i="1"/>
  <c r="L151" i="1"/>
  <c r="M151" i="1"/>
  <c r="N151" i="1"/>
  <c r="O151" i="1"/>
  <c r="P151" i="1"/>
  <c r="Q151" i="1"/>
  <c r="R151" i="1"/>
  <c r="S151" i="1"/>
  <c r="T151" i="1"/>
  <c r="U151" i="1"/>
  <c r="V151" i="1"/>
  <c r="W151" i="1"/>
  <c r="X151" i="1"/>
  <c r="Y151" i="1"/>
  <c r="Z151" i="1"/>
  <c r="AA151" i="1"/>
  <c r="AB151" i="1"/>
  <c r="AC151" i="1"/>
  <c r="AD151" i="1"/>
  <c r="AE151" i="1"/>
  <c r="AF151" i="1"/>
  <c r="AG151" i="1"/>
  <c r="AH151" i="1"/>
  <c r="AI151" i="1"/>
  <c r="AJ151" i="1"/>
  <c r="AK151" i="1"/>
  <c r="AL151" i="1"/>
  <c r="AM151" i="1"/>
  <c r="AN151" i="1"/>
  <c r="AO151" i="1"/>
  <c r="AP151" i="1"/>
  <c r="AQ151" i="1"/>
  <c r="AR151" i="1"/>
  <c r="AS151" i="1"/>
  <c r="AT151" i="1"/>
  <c r="AU151" i="1"/>
  <c r="AV151" i="1"/>
  <c r="AW151" i="1"/>
  <c r="AX151" i="1"/>
  <c r="AY151" i="1"/>
  <c r="AZ151" i="1"/>
  <c r="BA151" i="1"/>
  <c r="BB151" i="1"/>
  <c r="BC151" i="1"/>
  <c r="BD151" i="1"/>
  <c r="BE151" i="1"/>
  <c r="BF151" i="1"/>
  <c r="BG151" i="1"/>
  <c r="BH151" i="1"/>
  <c r="BI151" i="1"/>
  <c r="BJ151" i="1"/>
  <c r="BK151" i="1"/>
  <c r="BL151" i="1"/>
  <c r="BM151" i="1"/>
  <c r="BN151" i="1"/>
  <c r="BO151" i="1"/>
  <c r="BP151" i="1"/>
  <c r="BQ151" i="1"/>
  <c r="BR151" i="1"/>
  <c r="BS151" i="1"/>
  <c r="BT151" i="1"/>
  <c r="BU151" i="1"/>
  <c r="BV151" i="1"/>
  <c r="BW151" i="1"/>
  <c r="BX151" i="1"/>
  <c r="BY151" i="1"/>
  <c r="BZ151" i="1"/>
  <c r="CA151" i="1"/>
  <c r="CB151" i="1"/>
  <c r="CC151" i="1"/>
  <c r="CD151" i="1"/>
  <c r="H153" i="1"/>
  <c r="I153" i="1"/>
  <c r="J153" i="1"/>
  <c r="K153" i="1"/>
  <c r="L153" i="1"/>
  <c r="M153" i="1"/>
  <c r="N153" i="1"/>
  <c r="O153" i="1"/>
  <c r="P153" i="1"/>
  <c r="Q153" i="1"/>
  <c r="R153" i="1"/>
  <c r="S153" i="1"/>
  <c r="T153" i="1"/>
  <c r="U153" i="1"/>
  <c r="V153" i="1"/>
  <c r="W153" i="1"/>
  <c r="X153" i="1"/>
  <c r="Y153" i="1"/>
  <c r="Z153" i="1"/>
  <c r="AA153" i="1"/>
  <c r="AB153" i="1"/>
  <c r="AC153" i="1"/>
  <c r="AD153" i="1"/>
  <c r="AE153" i="1"/>
  <c r="AF153" i="1"/>
  <c r="AG153" i="1"/>
  <c r="AH153" i="1"/>
  <c r="AI153" i="1"/>
  <c r="AJ153" i="1"/>
  <c r="AK153" i="1"/>
  <c r="AL153" i="1"/>
  <c r="AM153" i="1"/>
  <c r="AN153" i="1"/>
  <c r="AO153" i="1"/>
  <c r="AP153" i="1"/>
  <c r="AQ153" i="1"/>
  <c r="AR153" i="1"/>
  <c r="AS153" i="1"/>
  <c r="AT153" i="1"/>
  <c r="AU153" i="1"/>
  <c r="AV153" i="1"/>
  <c r="AW153" i="1"/>
  <c r="AX153" i="1"/>
  <c r="AY153" i="1"/>
  <c r="AZ153" i="1"/>
  <c r="BA153" i="1"/>
  <c r="BB153" i="1"/>
  <c r="BC153" i="1"/>
  <c r="BD153" i="1"/>
  <c r="BE153" i="1"/>
  <c r="BF153" i="1"/>
  <c r="BG153" i="1"/>
  <c r="BH153" i="1"/>
  <c r="BI153" i="1"/>
  <c r="BJ153" i="1"/>
  <c r="BK153" i="1"/>
  <c r="BL153" i="1"/>
  <c r="BM153" i="1"/>
  <c r="BN153" i="1"/>
  <c r="BO153" i="1"/>
  <c r="BP153" i="1"/>
  <c r="BQ153" i="1"/>
  <c r="BR153" i="1"/>
  <c r="BS153" i="1"/>
  <c r="BT153" i="1"/>
  <c r="BU153" i="1"/>
  <c r="BV153" i="1"/>
  <c r="BW153" i="1"/>
  <c r="BX153" i="1"/>
  <c r="BY153" i="1"/>
  <c r="BZ153" i="1"/>
  <c r="CA153" i="1"/>
  <c r="CB153" i="1"/>
  <c r="CC153" i="1"/>
  <c r="CD153" i="1"/>
  <c r="H154" i="1"/>
  <c r="I154" i="1"/>
  <c r="J154" i="1"/>
  <c r="K154" i="1"/>
  <c r="L154" i="1"/>
  <c r="M154" i="1"/>
  <c r="N154" i="1"/>
  <c r="O154" i="1"/>
  <c r="P154" i="1"/>
  <c r="Q154" i="1"/>
  <c r="R154" i="1"/>
  <c r="S154" i="1"/>
  <c r="T154" i="1"/>
  <c r="U154" i="1"/>
  <c r="V154" i="1"/>
  <c r="W154" i="1"/>
  <c r="X154" i="1"/>
  <c r="Y154" i="1"/>
  <c r="Z154" i="1"/>
  <c r="AA154" i="1"/>
  <c r="AB154" i="1"/>
  <c r="AC154" i="1"/>
  <c r="AD154" i="1"/>
  <c r="AE154" i="1"/>
  <c r="AF154" i="1"/>
  <c r="AG154" i="1"/>
  <c r="AH154" i="1"/>
  <c r="AI154" i="1"/>
  <c r="AJ154" i="1"/>
  <c r="AK154" i="1"/>
  <c r="AL154" i="1"/>
  <c r="AM154" i="1"/>
  <c r="AN154" i="1"/>
  <c r="AO154" i="1"/>
  <c r="AP154" i="1"/>
  <c r="AQ154" i="1"/>
  <c r="AR154" i="1"/>
  <c r="AS154" i="1"/>
  <c r="AT154" i="1"/>
  <c r="AU154" i="1"/>
  <c r="AV154" i="1"/>
  <c r="AW154" i="1"/>
  <c r="AX154" i="1"/>
  <c r="AY154" i="1"/>
  <c r="AZ154" i="1"/>
  <c r="BA154" i="1"/>
  <c r="BB154" i="1"/>
  <c r="BC154" i="1"/>
  <c r="BD154" i="1"/>
  <c r="BE154" i="1"/>
  <c r="BF154" i="1"/>
  <c r="BG154" i="1"/>
  <c r="BH154" i="1"/>
  <c r="BI154" i="1"/>
  <c r="BJ154" i="1"/>
  <c r="BK154" i="1"/>
  <c r="BL154" i="1"/>
  <c r="BM154" i="1"/>
  <c r="BN154" i="1"/>
  <c r="BO154" i="1"/>
  <c r="BP154" i="1"/>
  <c r="BQ154" i="1"/>
  <c r="BR154" i="1"/>
  <c r="BS154" i="1"/>
  <c r="BT154" i="1"/>
  <c r="BU154" i="1"/>
  <c r="BV154" i="1"/>
  <c r="BW154" i="1"/>
  <c r="BX154" i="1"/>
  <c r="BY154" i="1"/>
  <c r="BZ154" i="1"/>
  <c r="CA154" i="1"/>
  <c r="CB154" i="1"/>
  <c r="CC154" i="1"/>
  <c r="CD154" i="1"/>
  <c r="H158" i="1"/>
  <c r="I158" i="1"/>
  <c r="J158" i="1"/>
  <c r="K158" i="1"/>
  <c r="K156" i="1" s="1"/>
  <c r="L158" i="1"/>
  <c r="L156" i="1" s="1"/>
  <c r="M158" i="1"/>
  <c r="N158" i="1"/>
  <c r="N156" i="1" s="1"/>
  <c r="O158" i="1"/>
  <c r="P158" i="1"/>
  <c r="Q158" i="1"/>
  <c r="R158" i="1"/>
  <c r="S158" i="1"/>
  <c r="T158" i="1"/>
  <c r="U158" i="1"/>
  <c r="V158" i="1"/>
  <c r="W158" i="1"/>
  <c r="X158" i="1"/>
  <c r="Y158" i="1"/>
  <c r="Z158" i="1"/>
  <c r="AA158" i="1"/>
  <c r="AB158" i="1"/>
  <c r="AC158" i="1"/>
  <c r="AD158" i="1"/>
  <c r="AE158" i="1"/>
  <c r="AG158" i="1"/>
  <c r="AH158" i="1"/>
  <c r="AI158" i="1"/>
  <c r="AJ158" i="1"/>
  <c r="AK158" i="1"/>
  <c r="AL158" i="1"/>
  <c r="AM158" i="1"/>
  <c r="AN158" i="1"/>
  <c r="AO158" i="1"/>
  <c r="AP158" i="1"/>
  <c r="AQ158" i="1"/>
  <c r="AR158" i="1"/>
  <c r="AS158" i="1"/>
  <c r="AT158" i="1"/>
  <c r="AU158" i="1"/>
  <c r="AV158" i="1"/>
  <c r="AW158" i="1"/>
  <c r="AX158" i="1"/>
  <c r="AY158" i="1"/>
  <c r="AZ158" i="1"/>
  <c r="BA158" i="1"/>
  <c r="BB158" i="1"/>
  <c r="BC158" i="1"/>
  <c r="BD158" i="1"/>
  <c r="BE158" i="1"/>
  <c r="BF158" i="1"/>
  <c r="BG158" i="1"/>
  <c r="BH158" i="1"/>
  <c r="BI158" i="1"/>
  <c r="BJ158" i="1"/>
  <c r="BK158" i="1"/>
  <c r="BL158" i="1"/>
  <c r="BM158" i="1"/>
  <c r="BN158" i="1"/>
  <c r="BO158" i="1"/>
  <c r="BP158" i="1"/>
  <c r="BQ158" i="1"/>
  <c r="BR158" i="1"/>
  <c r="BS158" i="1"/>
  <c r="BT158" i="1"/>
  <c r="BU158" i="1"/>
  <c r="BV158" i="1"/>
  <c r="BW158" i="1"/>
  <c r="BX158" i="1"/>
  <c r="BY158" i="1"/>
  <c r="BZ158" i="1"/>
  <c r="CA158" i="1"/>
  <c r="CB158" i="1"/>
  <c r="CC158" i="1"/>
  <c r="CD158" i="1"/>
  <c r="AF159" i="1"/>
  <c r="AG159" i="1"/>
  <c r="AH159" i="1"/>
  <c r="AI159" i="1"/>
  <c r="AJ159" i="1"/>
  <c r="AK159" i="1"/>
  <c r="AL159" i="1"/>
  <c r="AM159" i="1"/>
  <c r="AN159" i="1"/>
  <c r="AO159" i="1"/>
  <c r="AP159" i="1"/>
  <c r="AQ159" i="1"/>
  <c r="AR159" i="1"/>
  <c r="AS159" i="1"/>
  <c r="AT159" i="1"/>
  <c r="AU159" i="1"/>
  <c r="AV159" i="1"/>
  <c r="AW159" i="1"/>
  <c r="AX159" i="1"/>
  <c r="AY159" i="1"/>
  <c r="AZ159" i="1"/>
  <c r="BA159" i="1"/>
  <c r="BB159" i="1"/>
  <c r="BC159" i="1"/>
  <c r="BD159" i="1"/>
  <c r="BE159" i="1"/>
  <c r="BF159" i="1"/>
  <c r="BG159" i="1"/>
  <c r="BH159" i="1"/>
  <c r="BI159" i="1"/>
  <c r="BJ159" i="1"/>
  <c r="BK159" i="1"/>
  <c r="BL159" i="1"/>
  <c r="BM159" i="1"/>
  <c r="BN159" i="1"/>
  <c r="BO159" i="1"/>
  <c r="BP159" i="1"/>
  <c r="BQ159" i="1"/>
  <c r="BR159" i="1"/>
  <c r="BS159" i="1"/>
  <c r="BT159" i="1"/>
  <c r="BU159" i="1"/>
  <c r="BV159" i="1"/>
  <c r="BW159" i="1"/>
  <c r="BX159" i="1"/>
  <c r="BY159" i="1"/>
  <c r="BZ159" i="1"/>
  <c r="CA159" i="1"/>
  <c r="CB159" i="1"/>
  <c r="CC159" i="1"/>
  <c r="CD159" i="1"/>
  <c r="AF160" i="1"/>
  <c r="AG160" i="1"/>
  <c r="AH160" i="1"/>
  <c r="AI160" i="1"/>
  <c r="AJ160" i="1"/>
  <c r="AK160" i="1"/>
  <c r="AL160" i="1"/>
  <c r="AM160" i="1"/>
  <c r="AN160" i="1"/>
  <c r="AO160" i="1"/>
  <c r="AP160" i="1"/>
  <c r="AQ160" i="1"/>
  <c r="AR160" i="1"/>
  <c r="AS160" i="1"/>
  <c r="AT160" i="1"/>
  <c r="AU160" i="1"/>
  <c r="AV160" i="1"/>
  <c r="AW160" i="1"/>
  <c r="AX160" i="1"/>
  <c r="AY160" i="1"/>
  <c r="AZ160" i="1"/>
  <c r="BA160" i="1"/>
  <c r="BB160" i="1"/>
  <c r="BC160" i="1"/>
  <c r="BD160" i="1"/>
  <c r="BE160" i="1"/>
  <c r="BF160" i="1"/>
  <c r="BG160" i="1"/>
  <c r="BH160" i="1"/>
  <c r="BI160" i="1"/>
  <c r="BJ160" i="1"/>
  <c r="BK160" i="1"/>
  <c r="BL160" i="1"/>
  <c r="BM160" i="1"/>
  <c r="BN160" i="1"/>
  <c r="BO160" i="1"/>
  <c r="BP160" i="1"/>
  <c r="BQ160" i="1"/>
  <c r="BR160" i="1"/>
  <c r="BS160" i="1"/>
  <c r="BT160" i="1"/>
  <c r="BU160" i="1"/>
  <c r="BV160" i="1"/>
  <c r="BW160" i="1"/>
  <c r="BX160" i="1"/>
  <c r="BY160" i="1"/>
  <c r="BZ160" i="1"/>
  <c r="CA160" i="1"/>
  <c r="CB160" i="1"/>
  <c r="CC160" i="1"/>
  <c r="CD160" i="1"/>
  <c r="H163" i="1"/>
  <c r="I163" i="1"/>
  <c r="J163" i="1"/>
  <c r="K163" i="1"/>
  <c r="L163" i="1"/>
  <c r="M163" i="1"/>
  <c r="N163" i="1"/>
  <c r="O163" i="1"/>
  <c r="P163" i="1"/>
  <c r="Q163" i="1"/>
  <c r="R163" i="1"/>
  <c r="S163" i="1"/>
  <c r="T163" i="1"/>
  <c r="U163" i="1"/>
  <c r="V163" i="1"/>
  <c r="W163" i="1"/>
  <c r="X163" i="1"/>
  <c r="Y163" i="1"/>
  <c r="Z163" i="1"/>
  <c r="AA163" i="1"/>
  <c r="AB163" i="1"/>
  <c r="AC163" i="1"/>
  <c r="AD163" i="1"/>
  <c r="AE163" i="1"/>
  <c r="AF163" i="1"/>
  <c r="AG163" i="1"/>
  <c r="AH163" i="1"/>
  <c r="AI163" i="1"/>
  <c r="AJ163" i="1"/>
  <c r="AK163" i="1"/>
  <c r="AL163" i="1"/>
  <c r="AM163" i="1"/>
  <c r="AN163" i="1"/>
  <c r="AO163" i="1"/>
  <c r="AP163" i="1"/>
  <c r="AQ163" i="1"/>
  <c r="AR163" i="1"/>
  <c r="AS163" i="1"/>
  <c r="AT163" i="1"/>
  <c r="AU163" i="1"/>
  <c r="AV163" i="1"/>
  <c r="AW163" i="1"/>
  <c r="AX163" i="1"/>
  <c r="AY163" i="1"/>
  <c r="AZ163" i="1"/>
  <c r="BA163" i="1"/>
  <c r="BB163" i="1"/>
  <c r="BC163" i="1"/>
  <c r="BD163" i="1"/>
  <c r="BE163" i="1"/>
  <c r="BF163" i="1"/>
  <c r="BG163" i="1"/>
  <c r="BH163" i="1"/>
  <c r="BI163" i="1"/>
  <c r="BJ163" i="1"/>
  <c r="BK163" i="1"/>
  <c r="BL163" i="1"/>
  <c r="BM163" i="1"/>
  <c r="BN163" i="1"/>
  <c r="BO163" i="1"/>
  <c r="BP163" i="1"/>
  <c r="BQ163" i="1"/>
  <c r="BR163" i="1"/>
  <c r="BS163" i="1"/>
  <c r="BT163" i="1"/>
  <c r="BU163" i="1"/>
  <c r="BV163" i="1"/>
  <c r="BW163" i="1"/>
  <c r="BX163" i="1"/>
  <c r="BY163" i="1"/>
  <c r="BZ163" i="1"/>
  <c r="CA163" i="1"/>
  <c r="CB163" i="1"/>
  <c r="CC163" i="1"/>
  <c r="CD163" i="1"/>
  <c r="H165" i="1"/>
  <c r="I165" i="1"/>
  <c r="J165" i="1"/>
  <c r="K165" i="1"/>
  <c r="L165" i="1"/>
  <c r="M165" i="1"/>
  <c r="N165" i="1"/>
  <c r="O165" i="1"/>
  <c r="P165" i="1"/>
  <c r="Q165" i="1"/>
  <c r="R165" i="1"/>
  <c r="S165" i="1"/>
  <c r="T165" i="1"/>
  <c r="U165" i="1"/>
  <c r="V165" i="1"/>
  <c r="W165" i="1"/>
  <c r="X165" i="1"/>
  <c r="Y165" i="1"/>
  <c r="Z165" i="1"/>
  <c r="AA165" i="1"/>
  <c r="AB165" i="1"/>
  <c r="AC165" i="1"/>
  <c r="AD165" i="1"/>
  <c r="AE165" i="1"/>
  <c r="AG165" i="1"/>
  <c r="AH165" i="1"/>
  <c r="AI165" i="1"/>
  <c r="AJ165" i="1"/>
  <c r="AK165" i="1"/>
  <c r="AL165" i="1"/>
  <c r="AM165" i="1"/>
  <c r="AN165" i="1"/>
  <c r="AO165" i="1"/>
  <c r="AP165" i="1"/>
  <c r="AQ165" i="1"/>
  <c r="AR165" i="1"/>
  <c r="AS165" i="1"/>
  <c r="AT165" i="1"/>
  <c r="AU165" i="1"/>
  <c r="AV165" i="1"/>
  <c r="AW165" i="1"/>
  <c r="AX165" i="1"/>
  <c r="AY165" i="1"/>
  <c r="AZ165" i="1"/>
  <c r="BA165" i="1"/>
  <c r="BB165" i="1"/>
  <c r="BC165" i="1"/>
  <c r="BD165" i="1"/>
  <c r="BE165" i="1"/>
  <c r="BF165" i="1"/>
  <c r="BG165" i="1"/>
  <c r="BH165" i="1"/>
  <c r="BI165" i="1"/>
  <c r="BJ165" i="1"/>
  <c r="BK165" i="1"/>
  <c r="BL165" i="1"/>
  <c r="BM165" i="1"/>
  <c r="BN165" i="1"/>
  <c r="BO165" i="1"/>
  <c r="BP165" i="1"/>
  <c r="BQ165" i="1"/>
  <c r="BR165" i="1"/>
  <c r="BS165" i="1"/>
  <c r="BT165" i="1"/>
  <c r="BU165" i="1"/>
  <c r="BV165" i="1"/>
  <c r="BW165" i="1"/>
  <c r="BX165" i="1"/>
  <c r="BY165" i="1"/>
  <c r="BZ165" i="1"/>
  <c r="CA165" i="1"/>
  <c r="CB165" i="1"/>
  <c r="CC165" i="1"/>
  <c r="CD165" i="1"/>
  <c r="AF166" i="1"/>
  <c r="AG166" i="1"/>
  <c r="AH166" i="1"/>
  <c r="AI166" i="1"/>
  <c r="AJ166" i="1"/>
  <c r="AK166" i="1"/>
  <c r="AL166" i="1"/>
  <c r="AM166" i="1"/>
  <c r="AN166" i="1"/>
  <c r="AO166" i="1"/>
  <c r="AP166" i="1"/>
  <c r="AQ166" i="1"/>
  <c r="AR166" i="1"/>
  <c r="AS166" i="1"/>
  <c r="AT166" i="1"/>
  <c r="AU166" i="1"/>
  <c r="AV166" i="1"/>
  <c r="AW166" i="1"/>
  <c r="AX166" i="1"/>
  <c r="AY166" i="1"/>
  <c r="AZ166" i="1"/>
  <c r="BA166" i="1"/>
  <c r="BB166" i="1"/>
  <c r="BC166" i="1"/>
  <c r="BD166" i="1"/>
  <c r="BE166" i="1"/>
  <c r="BF166" i="1"/>
  <c r="BG166" i="1"/>
  <c r="BH166" i="1"/>
  <c r="BI166" i="1"/>
  <c r="BJ166" i="1"/>
  <c r="BK166" i="1"/>
  <c r="BL166" i="1"/>
  <c r="BM166" i="1"/>
  <c r="BN166" i="1"/>
  <c r="BO166" i="1"/>
  <c r="BP166" i="1"/>
  <c r="BQ166" i="1"/>
  <c r="BR166" i="1"/>
  <c r="BS166" i="1"/>
  <c r="BT166" i="1"/>
  <c r="BU166" i="1"/>
  <c r="BV166" i="1"/>
  <c r="BW166" i="1"/>
  <c r="BX166" i="1"/>
  <c r="BY166" i="1"/>
  <c r="BZ166" i="1"/>
  <c r="CA166" i="1"/>
  <c r="CB166" i="1"/>
  <c r="CC166" i="1"/>
  <c r="CD166" i="1"/>
  <c r="AF167" i="1"/>
  <c r="AG167" i="1"/>
  <c r="AH167" i="1"/>
  <c r="AI167" i="1"/>
  <c r="AJ167" i="1"/>
  <c r="AK167" i="1"/>
  <c r="AL167" i="1"/>
  <c r="AM167" i="1"/>
  <c r="AN167" i="1"/>
  <c r="AO167" i="1"/>
  <c r="AP167" i="1"/>
  <c r="AQ167" i="1"/>
  <c r="AR167" i="1"/>
  <c r="AS167" i="1"/>
  <c r="AT167" i="1"/>
  <c r="AU167" i="1"/>
  <c r="AV167" i="1"/>
  <c r="AW167" i="1"/>
  <c r="AX167" i="1"/>
  <c r="AY167" i="1"/>
  <c r="AZ167" i="1"/>
  <c r="BA167" i="1"/>
  <c r="BB167" i="1"/>
  <c r="BC167" i="1"/>
  <c r="BD167" i="1"/>
  <c r="BE167" i="1"/>
  <c r="BF167" i="1"/>
  <c r="BG167" i="1"/>
  <c r="BH167" i="1"/>
  <c r="BI167" i="1"/>
  <c r="BJ167" i="1"/>
  <c r="BK167" i="1"/>
  <c r="BL167" i="1"/>
  <c r="BM167" i="1"/>
  <c r="BN167" i="1"/>
  <c r="BO167" i="1"/>
  <c r="BP167" i="1"/>
  <c r="BQ167" i="1"/>
  <c r="BR167" i="1"/>
  <c r="BS167" i="1"/>
  <c r="BT167" i="1"/>
  <c r="BU167" i="1"/>
  <c r="BV167" i="1"/>
  <c r="BW167" i="1"/>
  <c r="BX167" i="1"/>
  <c r="BY167" i="1"/>
  <c r="BZ167" i="1"/>
  <c r="CA167" i="1"/>
  <c r="CB167" i="1"/>
  <c r="CC167" i="1"/>
  <c r="CD167" i="1"/>
  <c r="AF168" i="1"/>
  <c r="AG168" i="1"/>
  <c r="AH168" i="1"/>
  <c r="AI168" i="1"/>
  <c r="AJ168" i="1"/>
  <c r="AK168" i="1"/>
  <c r="AL168" i="1"/>
  <c r="AM168" i="1"/>
  <c r="AN168" i="1"/>
  <c r="AO168" i="1"/>
  <c r="AP168" i="1"/>
  <c r="AQ168" i="1"/>
  <c r="AR168" i="1"/>
  <c r="AS168" i="1"/>
  <c r="AT168" i="1"/>
  <c r="AU168" i="1"/>
  <c r="AV168" i="1"/>
  <c r="AW168" i="1"/>
  <c r="AX168" i="1"/>
  <c r="AY168" i="1"/>
  <c r="AZ168" i="1"/>
  <c r="BA168" i="1"/>
  <c r="BB168" i="1"/>
  <c r="BC168" i="1"/>
  <c r="BD168" i="1"/>
  <c r="BE168" i="1"/>
  <c r="BF168" i="1"/>
  <c r="BG168" i="1"/>
  <c r="BH168" i="1"/>
  <c r="BI168" i="1"/>
  <c r="BJ168" i="1"/>
  <c r="BK168" i="1"/>
  <c r="BL168" i="1"/>
  <c r="BM168" i="1"/>
  <c r="BN168" i="1"/>
  <c r="BO168" i="1"/>
  <c r="BP168" i="1"/>
  <c r="BQ168" i="1"/>
  <c r="BR168" i="1"/>
  <c r="BS168" i="1"/>
  <c r="BT168" i="1"/>
  <c r="BU168" i="1"/>
  <c r="BV168" i="1"/>
  <c r="BW168" i="1"/>
  <c r="BX168" i="1"/>
  <c r="BY168" i="1"/>
  <c r="BZ168" i="1"/>
  <c r="CA168" i="1"/>
  <c r="CB168" i="1"/>
  <c r="CC168" i="1"/>
  <c r="CD168" i="1"/>
  <c r="AF169" i="1"/>
  <c r="AG169" i="1"/>
  <c r="AH169" i="1"/>
  <c r="AI169" i="1"/>
  <c r="AJ169" i="1"/>
  <c r="AK169" i="1"/>
  <c r="AL169" i="1"/>
  <c r="AM169" i="1"/>
  <c r="AN169" i="1"/>
  <c r="AO169" i="1"/>
  <c r="AP169" i="1"/>
  <c r="AQ169" i="1"/>
  <c r="AR169" i="1"/>
  <c r="AS169" i="1"/>
  <c r="AT169" i="1"/>
  <c r="AU169" i="1"/>
  <c r="AV169" i="1"/>
  <c r="AW169" i="1"/>
  <c r="AX169" i="1"/>
  <c r="AY169" i="1"/>
  <c r="AZ169" i="1"/>
  <c r="BA169" i="1"/>
  <c r="BB169" i="1"/>
  <c r="BC169" i="1"/>
  <c r="BD169" i="1"/>
  <c r="BE169" i="1"/>
  <c r="BF169" i="1"/>
  <c r="BG169" i="1"/>
  <c r="BH169" i="1"/>
  <c r="BI169" i="1"/>
  <c r="BJ169" i="1"/>
  <c r="BK169" i="1"/>
  <c r="BL169" i="1"/>
  <c r="BM169" i="1"/>
  <c r="BN169" i="1"/>
  <c r="BO169" i="1"/>
  <c r="BP169" i="1"/>
  <c r="BQ169" i="1"/>
  <c r="BR169" i="1"/>
  <c r="BS169" i="1"/>
  <c r="BT169" i="1"/>
  <c r="BU169" i="1"/>
  <c r="BV169" i="1"/>
  <c r="BW169" i="1"/>
  <c r="BX169" i="1"/>
  <c r="BY169" i="1"/>
  <c r="BZ169" i="1"/>
  <c r="CA169" i="1"/>
  <c r="CB169" i="1"/>
  <c r="CC169" i="1"/>
  <c r="CD169" i="1"/>
  <c r="H171" i="1"/>
  <c r="I171" i="1"/>
  <c r="J171" i="1"/>
  <c r="K171" i="1"/>
  <c r="L171" i="1"/>
  <c r="M171" i="1"/>
  <c r="N171" i="1"/>
  <c r="O171" i="1"/>
  <c r="P171" i="1"/>
  <c r="Q171" i="1"/>
  <c r="R171" i="1"/>
  <c r="S171" i="1"/>
  <c r="T171" i="1"/>
  <c r="U171" i="1"/>
  <c r="V171" i="1"/>
  <c r="W171" i="1"/>
  <c r="X171" i="1"/>
  <c r="Y171" i="1"/>
  <c r="Z171" i="1"/>
  <c r="AA171" i="1"/>
  <c r="AB171" i="1"/>
  <c r="AC171" i="1"/>
  <c r="AD171" i="1"/>
  <c r="AE171" i="1"/>
  <c r="AF171" i="1"/>
  <c r="AG171" i="1"/>
  <c r="AH171" i="1"/>
  <c r="AI171" i="1"/>
  <c r="AJ171" i="1"/>
  <c r="AK171" i="1"/>
  <c r="AL171" i="1"/>
  <c r="AM171" i="1"/>
  <c r="AN171" i="1"/>
  <c r="AO171" i="1"/>
  <c r="AP171" i="1"/>
  <c r="AQ171" i="1"/>
  <c r="AR171" i="1"/>
  <c r="AS171" i="1"/>
  <c r="AT171" i="1"/>
  <c r="AU171" i="1"/>
  <c r="AV171" i="1"/>
  <c r="AW171" i="1"/>
  <c r="AX171" i="1"/>
  <c r="AY171" i="1"/>
  <c r="AZ171" i="1"/>
  <c r="BA171" i="1"/>
  <c r="BB171" i="1"/>
  <c r="BC171" i="1"/>
  <c r="BD171" i="1"/>
  <c r="BE171" i="1"/>
  <c r="BF171" i="1"/>
  <c r="BG171" i="1"/>
  <c r="BH171" i="1"/>
  <c r="BI171" i="1"/>
  <c r="BJ171" i="1"/>
  <c r="BK171" i="1"/>
  <c r="BL171" i="1"/>
  <c r="BM171" i="1"/>
  <c r="BN171" i="1"/>
  <c r="BO171" i="1"/>
  <c r="BP171" i="1"/>
  <c r="BQ171" i="1"/>
  <c r="BR171" i="1"/>
  <c r="BS171" i="1"/>
  <c r="BT171" i="1"/>
  <c r="BU171" i="1"/>
  <c r="BV171" i="1"/>
  <c r="BW171" i="1"/>
  <c r="BX171" i="1"/>
  <c r="BY171" i="1"/>
  <c r="BZ171" i="1"/>
  <c r="CA171" i="1"/>
  <c r="CB171" i="1"/>
  <c r="CC171" i="1"/>
  <c r="CD171" i="1"/>
  <c r="H173" i="1"/>
  <c r="I173" i="1"/>
  <c r="J173" i="1"/>
  <c r="K173" i="1"/>
  <c r="L173" i="1"/>
  <c r="M173" i="1"/>
  <c r="N173" i="1"/>
  <c r="O173" i="1"/>
  <c r="P173" i="1"/>
  <c r="Q173" i="1"/>
  <c r="R173" i="1"/>
  <c r="S173" i="1"/>
  <c r="T173" i="1"/>
  <c r="U173" i="1"/>
  <c r="V173" i="1"/>
  <c r="W173" i="1"/>
  <c r="X173" i="1"/>
  <c r="Y173" i="1"/>
  <c r="Z173" i="1"/>
  <c r="AA173" i="1"/>
  <c r="AB173" i="1"/>
  <c r="AC173" i="1"/>
  <c r="AD173" i="1"/>
  <c r="AE173" i="1"/>
  <c r="AF173" i="1"/>
  <c r="AG173" i="1"/>
  <c r="AH173" i="1"/>
  <c r="AI173" i="1"/>
  <c r="AJ173" i="1"/>
  <c r="AK173" i="1"/>
  <c r="AL173" i="1"/>
  <c r="AM173" i="1"/>
  <c r="AN173" i="1"/>
  <c r="AO173" i="1"/>
  <c r="AP173" i="1"/>
  <c r="AQ173" i="1"/>
  <c r="AR173" i="1"/>
  <c r="AS173" i="1"/>
  <c r="AT173" i="1"/>
  <c r="AU173" i="1"/>
  <c r="AV173" i="1"/>
  <c r="AW173" i="1"/>
  <c r="AX173" i="1"/>
  <c r="AY173" i="1"/>
  <c r="AZ173" i="1"/>
  <c r="BA173" i="1"/>
  <c r="BB173" i="1"/>
  <c r="BC173" i="1"/>
  <c r="BD173" i="1"/>
  <c r="BE173" i="1"/>
  <c r="BF173" i="1"/>
  <c r="BG173" i="1"/>
  <c r="BH173" i="1"/>
  <c r="BI173" i="1"/>
  <c r="BJ173" i="1"/>
  <c r="BK173" i="1"/>
  <c r="BL173" i="1"/>
  <c r="BM173" i="1"/>
  <c r="BN173" i="1"/>
  <c r="BO173" i="1"/>
  <c r="BP173" i="1"/>
  <c r="BQ173" i="1"/>
  <c r="BR173" i="1"/>
  <c r="BS173" i="1"/>
  <c r="BT173" i="1"/>
  <c r="BU173" i="1"/>
  <c r="BV173" i="1"/>
  <c r="BW173" i="1"/>
  <c r="BX173" i="1"/>
  <c r="BY173" i="1"/>
  <c r="BZ173" i="1"/>
  <c r="CA173" i="1"/>
  <c r="CB173" i="1"/>
  <c r="CC173" i="1"/>
  <c r="CD173" i="1"/>
  <c r="AF174" i="1"/>
  <c r="AG174" i="1"/>
  <c r="AH174" i="1"/>
  <c r="AI174" i="1"/>
  <c r="AJ174" i="1"/>
  <c r="AK174" i="1"/>
  <c r="AL174" i="1"/>
  <c r="AM174" i="1"/>
  <c r="AN174" i="1"/>
  <c r="AO174" i="1"/>
  <c r="AP174" i="1"/>
  <c r="AQ174" i="1"/>
  <c r="AR174" i="1"/>
  <c r="AS174" i="1"/>
  <c r="AT174" i="1"/>
  <c r="AU174" i="1"/>
  <c r="AV174" i="1"/>
  <c r="AW174" i="1"/>
  <c r="AX174" i="1"/>
  <c r="AY174" i="1"/>
  <c r="AZ174" i="1"/>
  <c r="BA174" i="1"/>
  <c r="BB174" i="1"/>
  <c r="BC174" i="1"/>
  <c r="BD174" i="1"/>
  <c r="BE174" i="1"/>
  <c r="BF174" i="1"/>
  <c r="BG174" i="1"/>
  <c r="BH174" i="1"/>
  <c r="BI174" i="1"/>
  <c r="BJ174" i="1"/>
  <c r="BK174" i="1"/>
  <c r="BL174" i="1"/>
  <c r="BM174" i="1"/>
  <c r="BN174" i="1"/>
  <c r="BO174" i="1"/>
  <c r="BP174" i="1"/>
  <c r="BQ174" i="1"/>
  <c r="BR174" i="1"/>
  <c r="BS174" i="1"/>
  <c r="BT174" i="1"/>
  <c r="BU174" i="1"/>
  <c r="BV174" i="1"/>
  <c r="BW174" i="1"/>
  <c r="BX174" i="1"/>
  <c r="BY174" i="1"/>
  <c r="BZ174" i="1"/>
  <c r="CA174" i="1"/>
  <c r="CB174" i="1"/>
  <c r="CC174" i="1"/>
  <c r="CD174" i="1"/>
  <c r="AF175" i="1"/>
  <c r="AG175" i="1"/>
  <c r="AH175" i="1"/>
  <c r="AI175" i="1"/>
  <c r="AJ175" i="1"/>
  <c r="AK175" i="1"/>
  <c r="AL175" i="1"/>
  <c r="AM175" i="1"/>
  <c r="AN175" i="1"/>
  <c r="AO175" i="1"/>
  <c r="AP175" i="1"/>
  <c r="AQ175" i="1"/>
  <c r="AR175" i="1"/>
  <c r="AS175" i="1"/>
  <c r="AT175" i="1"/>
  <c r="AU175" i="1"/>
  <c r="AV175" i="1"/>
  <c r="AW175" i="1"/>
  <c r="AX175" i="1"/>
  <c r="AY175" i="1"/>
  <c r="AZ175" i="1"/>
  <c r="BA175" i="1"/>
  <c r="BB175" i="1"/>
  <c r="BC175" i="1"/>
  <c r="BD175" i="1"/>
  <c r="BE175" i="1"/>
  <c r="BF175" i="1"/>
  <c r="BG175" i="1"/>
  <c r="BH175" i="1"/>
  <c r="BI175" i="1"/>
  <c r="BJ175" i="1"/>
  <c r="BK175" i="1"/>
  <c r="BL175" i="1"/>
  <c r="BM175" i="1"/>
  <c r="BN175" i="1"/>
  <c r="BO175" i="1"/>
  <c r="BP175" i="1"/>
  <c r="BQ175" i="1"/>
  <c r="BR175" i="1"/>
  <c r="BS175" i="1"/>
  <c r="BT175" i="1"/>
  <c r="BU175" i="1"/>
  <c r="BV175" i="1"/>
  <c r="BW175" i="1"/>
  <c r="BX175" i="1"/>
  <c r="BY175" i="1"/>
  <c r="BZ175" i="1"/>
  <c r="CA175" i="1"/>
  <c r="CB175" i="1"/>
  <c r="CC175" i="1"/>
  <c r="CD175" i="1"/>
  <c r="AF176" i="1"/>
  <c r="AG176" i="1"/>
  <c r="AH176" i="1"/>
  <c r="AI176" i="1"/>
  <c r="AJ176" i="1"/>
  <c r="AK176" i="1"/>
  <c r="AL176" i="1"/>
  <c r="AM176" i="1"/>
  <c r="AN176" i="1"/>
  <c r="AO176" i="1"/>
  <c r="AP176" i="1"/>
  <c r="AQ176" i="1"/>
  <c r="AR176" i="1"/>
  <c r="AS176" i="1"/>
  <c r="AT176" i="1"/>
  <c r="AU176" i="1"/>
  <c r="AV176" i="1"/>
  <c r="AW176" i="1"/>
  <c r="AX176" i="1"/>
  <c r="AY176" i="1"/>
  <c r="AZ176" i="1"/>
  <c r="BA176" i="1"/>
  <c r="BB176" i="1"/>
  <c r="BC176" i="1"/>
  <c r="BD176" i="1"/>
  <c r="BE176" i="1"/>
  <c r="BF176" i="1"/>
  <c r="BG176" i="1"/>
  <c r="BH176" i="1"/>
  <c r="BI176" i="1"/>
  <c r="BJ176" i="1"/>
  <c r="BK176" i="1"/>
  <c r="BL176" i="1"/>
  <c r="BM176" i="1"/>
  <c r="BN176" i="1"/>
  <c r="BO176" i="1"/>
  <c r="BP176" i="1"/>
  <c r="BQ176" i="1"/>
  <c r="BR176" i="1"/>
  <c r="BS176" i="1"/>
  <c r="BT176" i="1"/>
  <c r="BU176" i="1"/>
  <c r="BV176" i="1"/>
  <c r="BW176" i="1"/>
  <c r="BX176" i="1"/>
  <c r="BY176" i="1"/>
  <c r="BZ176" i="1"/>
  <c r="CA176" i="1"/>
  <c r="CB176" i="1"/>
  <c r="CC176" i="1"/>
  <c r="CD176" i="1"/>
  <c r="AF177" i="1"/>
  <c r="AG177" i="1"/>
  <c r="AH177" i="1"/>
  <c r="AI177" i="1"/>
  <c r="AJ177" i="1"/>
  <c r="AK177" i="1"/>
  <c r="AL177" i="1"/>
  <c r="AM177" i="1"/>
  <c r="AN177" i="1"/>
  <c r="AO177" i="1"/>
  <c r="AP177" i="1"/>
  <c r="AQ177" i="1"/>
  <c r="AR177" i="1"/>
  <c r="AS177" i="1"/>
  <c r="AT177" i="1"/>
  <c r="AU177" i="1"/>
  <c r="AV177" i="1"/>
  <c r="AW177" i="1"/>
  <c r="AX177" i="1"/>
  <c r="AY177" i="1"/>
  <c r="AZ177" i="1"/>
  <c r="BA177" i="1"/>
  <c r="BB177" i="1"/>
  <c r="BC177" i="1"/>
  <c r="BD177" i="1"/>
  <c r="BE177" i="1"/>
  <c r="BF177" i="1"/>
  <c r="BG177" i="1"/>
  <c r="BH177" i="1"/>
  <c r="BI177" i="1"/>
  <c r="BJ177" i="1"/>
  <c r="BK177" i="1"/>
  <c r="BL177" i="1"/>
  <c r="BM177" i="1"/>
  <c r="BN177" i="1"/>
  <c r="BO177" i="1"/>
  <c r="BP177" i="1"/>
  <c r="BQ177" i="1"/>
  <c r="BR177" i="1"/>
  <c r="BS177" i="1"/>
  <c r="BT177" i="1"/>
  <c r="BU177" i="1"/>
  <c r="BV177" i="1"/>
  <c r="BW177" i="1"/>
  <c r="BX177" i="1"/>
  <c r="BY177" i="1"/>
  <c r="BZ177" i="1"/>
  <c r="CA177" i="1"/>
  <c r="CB177" i="1"/>
  <c r="CC177" i="1"/>
  <c r="CD177" i="1"/>
  <c r="AF180" i="1"/>
  <c r="AG180" i="1"/>
  <c r="AH180" i="1"/>
  <c r="AI180" i="1"/>
  <c r="AJ180" i="1"/>
  <c r="AK180" i="1"/>
  <c r="AL180" i="1"/>
  <c r="AM180" i="1"/>
  <c r="AN180" i="1"/>
  <c r="AO180" i="1"/>
  <c r="AP180" i="1"/>
  <c r="AQ180" i="1"/>
  <c r="AR180" i="1"/>
  <c r="AS180" i="1"/>
  <c r="AT180" i="1"/>
  <c r="AU180" i="1"/>
  <c r="AV180" i="1"/>
  <c r="AW180" i="1"/>
  <c r="AX180" i="1"/>
  <c r="AY180" i="1"/>
  <c r="AZ180" i="1"/>
  <c r="BA180" i="1"/>
  <c r="BB180" i="1"/>
  <c r="BC180" i="1"/>
  <c r="BD180" i="1"/>
  <c r="BE180" i="1"/>
  <c r="BF180" i="1"/>
  <c r="BG180" i="1"/>
  <c r="BH180" i="1"/>
  <c r="BI180" i="1"/>
  <c r="BJ180" i="1"/>
  <c r="BK180" i="1"/>
  <c r="BL180" i="1"/>
  <c r="BM180" i="1"/>
  <c r="BN180" i="1"/>
  <c r="BO180" i="1"/>
  <c r="BP180" i="1"/>
  <c r="BQ180" i="1"/>
  <c r="BR180" i="1"/>
  <c r="BS180" i="1"/>
  <c r="BT180" i="1"/>
  <c r="BU180" i="1"/>
  <c r="BV180" i="1"/>
  <c r="BW180" i="1"/>
  <c r="BX180" i="1"/>
  <c r="BY180" i="1"/>
  <c r="BZ180" i="1"/>
  <c r="CA180" i="1"/>
  <c r="CB180" i="1"/>
  <c r="CC180" i="1"/>
  <c r="CD180" i="1"/>
  <c r="AF181" i="1"/>
  <c r="AG181" i="1"/>
  <c r="AH181" i="1"/>
  <c r="AI181" i="1"/>
  <c r="AJ181" i="1"/>
  <c r="AK181" i="1"/>
  <c r="AL181" i="1"/>
  <c r="AM181" i="1"/>
  <c r="AN181" i="1"/>
  <c r="AO181" i="1"/>
  <c r="AP181" i="1"/>
  <c r="AQ181" i="1"/>
  <c r="AR181" i="1"/>
  <c r="AS181" i="1"/>
  <c r="AT181" i="1"/>
  <c r="AU181" i="1"/>
  <c r="AV181" i="1"/>
  <c r="AW181" i="1"/>
  <c r="AX181" i="1"/>
  <c r="AY181" i="1"/>
  <c r="AZ181" i="1"/>
  <c r="BA181" i="1"/>
  <c r="BB181" i="1"/>
  <c r="BC181" i="1"/>
  <c r="BD181" i="1"/>
  <c r="BE181" i="1"/>
  <c r="BF181" i="1"/>
  <c r="BG181" i="1"/>
  <c r="BH181" i="1"/>
  <c r="BI181" i="1"/>
  <c r="BJ181" i="1"/>
  <c r="BK181" i="1"/>
  <c r="BL181" i="1"/>
  <c r="BM181" i="1"/>
  <c r="BN181" i="1"/>
  <c r="BO181" i="1"/>
  <c r="BP181" i="1"/>
  <c r="BQ181" i="1"/>
  <c r="BR181" i="1"/>
  <c r="BS181" i="1"/>
  <c r="BT181" i="1"/>
  <c r="BU181" i="1"/>
  <c r="BV181" i="1"/>
  <c r="BW181" i="1"/>
  <c r="BX181" i="1"/>
  <c r="BY181" i="1"/>
  <c r="BZ181" i="1"/>
  <c r="CA181" i="1"/>
  <c r="CB181" i="1"/>
  <c r="CC181" i="1"/>
  <c r="CD181" i="1"/>
  <c r="AF183" i="1"/>
  <c r="AG183" i="1"/>
  <c r="AH183" i="1"/>
  <c r="AI183" i="1"/>
  <c r="AJ183" i="1"/>
  <c r="AK183" i="1"/>
  <c r="AL183" i="1"/>
  <c r="AM183" i="1"/>
  <c r="AN183" i="1"/>
  <c r="AO183" i="1"/>
  <c r="AP183" i="1"/>
  <c r="AQ183" i="1"/>
  <c r="AR183" i="1"/>
  <c r="AS183" i="1"/>
  <c r="AT183" i="1"/>
  <c r="AU183" i="1"/>
  <c r="AV183" i="1"/>
  <c r="AW183" i="1"/>
  <c r="AX183" i="1"/>
  <c r="AY183" i="1"/>
  <c r="AZ183" i="1"/>
  <c r="BA183" i="1"/>
  <c r="BB183" i="1"/>
  <c r="BC183" i="1"/>
  <c r="BD183" i="1"/>
  <c r="BE183" i="1"/>
  <c r="BF183" i="1"/>
  <c r="BG183" i="1"/>
  <c r="BH183" i="1"/>
  <c r="BI183" i="1"/>
  <c r="BJ183" i="1"/>
  <c r="BK183" i="1"/>
  <c r="BL183" i="1"/>
  <c r="BM183" i="1"/>
  <c r="BN183" i="1"/>
  <c r="BO183" i="1"/>
  <c r="BP183" i="1"/>
  <c r="BQ183" i="1"/>
  <c r="BR183" i="1"/>
  <c r="BS183" i="1"/>
  <c r="BT183" i="1"/>
  <c r="BU183" i="1"/>
  <c r="BV183" i="1"/>
  <c r="BW183" i="1"/>
  <c r="BX183" i="1"/>
  <c r="BY183" i="1"/>
  <c r="BZ183" i="1"/>
  <c r="CA183" i="1"/>
  <c r="CB183" i="1"/>
  <c r="CC183" i="1"/>
  <c r="CD183" i="1"/>
  <c r="AF184" i="1"/>
  <c r="AG184" i="1"/>
  <c r="AH184" i="1"/>
  <c r="AI184" i="1"/>
  <c r="AJ184" i="1"/>
  <c r="AK184" i="1"/>
  <c r="AL184" i="1"/>
  <c r="AM184" i="1"/>
  <c r="AN184" i="1"/>
  <c r="AO184" i="1"/>
  <c r="AP184" i="1"/>
  <c r="AQ184" i="1"/>
  <c r="AR184" i="1"/>
  <c r="AS184" i="1"/>
  <c r="AT184" i="1"/>
  <c r="AU184" i="1"/>
  <c r="AV184" i="1"/>
  <c r="AW184" i="1"/>
  <c r="AX184" i="1"/>
  <c r="AY184" i="1"/>
  <c r="AZ184" i="1"/>
  <c r="BA184" i="1"/>
  <c r="BB184" i="1"/>
  <c r="BC184" i="1"/>
  <c r="BD184" i="1"/>
  <c r="BE184" i="1"/>
  <c r="BF184" i="1"/>
  <c r="BG184" i="1"/>
  <c r="BH184" i="1"/>
  <c r="BI184" i="1"/>
  <c r="BJ184" i="1"/>
  <c r="BK184" i="1"/>
  <c r="BL184" i="1"/>
  <c r="BM184" i="1"/>
  <c r="BN184" i="1"/>
  <c r="BO184" i="1"/>
  <c r="BP184" i="1"/>
  <c r="BQ184" i="1"/>
  <c r="BR184" i="1"/>
  <c r="BS184" i="1"/>
  <c r="BT184" i="1"/>
  <c r="BU184" i="1"/>
  <c r="BV184" i="1"/>
  <c r="BW184" i="1"/>
  <c r="BX184" i="1"/>
  <c r="BY184" i="1"/>
  <c r="BZ184" i="1"/>
  <c r="CA184" i="1"/>
  <c r="CB184" i="1"/>
  <c r="CC184" i="1"/>
  <c r="CD184" i="1"/>
  <c r="AF186" i="1"/>
  <c r="AG186" i="1"/>
  <c r="AH186" i="1"/>
  <c r="AI186" i="1"/>
  <c r="AJ186" i="1"/>
  <c r="AK186" i="1"/>
  <c r="AL186" i="1"/>
  <c r="AM186" i="1"/>
  <c r="AN186" i="1"/>
  <c r="AO186" i="1"/>
  <c r="AP186" i="1"/>
  <c r="AQ186" i="1"/>
  <c r="AR186" i="1"/>
  <c r="AS186" i="1"/>
  <c r="AT186" i="1"/>
  <c r="AU186" i="1"/>
  <c r="AV186" i="1"/>
  <c r="AW186" i="1"/>
  <c r="AX186" i="1"/>
  <c r="AY186" i="1"/>
  <c r="AZ186" i="1"/>
  <c r="BA186" i="1"/>
  <c r="BB186" i="1"/>
  <c r="BC186" i="1"/>
  <c r="BD186" i="1"/>
  <c r="BE186" i="1"/>
  <c r="BF186" i="1"/>
  <c r="BG186" i="1"/>
  <c r="BH186" i="1"/>
  <c r="BI186" i="1"/>
  <c r="BJ186" i="1"/>
  <c r="BK186" i="1"/>
  <c r="BL186" i="1"/>
  <c r="BM186" i="1"/>
  <c r="BN186" i="1"/>
  <c r="BO186" i="1"/>
  <c r="BP186" i="1"/>
  <c r="BQ186" i="1"/>
  <c r="BR186" i="1"/>
  <c r="BS186" i="1"/>
  <c r="BT186" i="1"/>
  <c r="BU186" i="1"/>
  <c r="BV186" i="1"/>
  <c r="BW186" i="1"/>
  <c r="BX186" i="1"/>
  <c r="BY186" i="1"/>
  <c r="BZ186" i="1"/>
  <c r="CA186" i="1"/>
  <c r="CB186" i="1"/>
  <c r="CC186" i="1"/>
  <c r="CD186" i="1"/>
  <c r="H188" i="1"/>
  <c r="H185" i="1" s="1"/>
  <c r="I188" i="1"/>
  <c r="I185" i="1" s="1"/>
  <c r="J188" i="1"/>
  <c r="J185" i="1" s="1"/>
  <c r="K188" i="1"/>
  <c r="K185" i="1" s="1"/>
  <c r="L188" i="1"/>
  <c r="L185" i="1" s="1"/>
  <c r="M188" i="1"/>
  <c r="M185" i="1" s="1"/>
  <c r="N188" i="1"/>
  <c r="N185" i="1" s="1"/>
  <c r="O188" i="1"/>
  <c r="O185" i="1" s="1"/>
  <c r="P188" i="1"/>
  <c r="P185" i="1" s="1"/>
  <c r="Q188" i="1"/>
  <c r="Q185" i="1" s="1"/>
  <c r="R188" i="1"/>
  <c r="R185" i="1" s="1"/>
  <c r="S188" i="1"/>
  <c r="S185" i="1" s="1"/>
  <c r="T188" i="1"/>
  <c r="T185" i="1" s="1"/>
  <c r="U188" i="1"/>
  <c r="U185" i="1" s="1"/>
  <c r="V188" i="1"/>
  <c r="V185" i="1" s="1"/>
  <c r="W188" i="1"/>
  <c r="W185" i="1" s="1"/>
  <c r="X188" i="1"/>
  <c r="X185" i="1" s="1"/>
  <c r="Y188" i="1"/>
  <c r="Y185" i="1" s="1"/>
  <c r="Z188" i="1"/>
  <c r="Z185" i="1" s="1"/>
  <c r="AA188" i="1"/>
  <c r="AA185" i="1" s="1"/>
  <c r="AB188" i="1"/>
  <c r="AB185" i="1" s="1"/>
  <c r="AC188" i="1"/>
  <c r="AC185" i="1" s="1"/>
  <c r="AD188" i="1"/>
  <c r="AD185" i="1" s="1"/>
  <c r="AE188" i="1"/>
  <c r="AE185" i="1" s="1"/>
  <c r="AF188" i="1"/>
  <c r="AG188" i="1"/>
  <c r="AH188" i="1"/>
  <c r="AI188" i="1"/>
  <c r="AJ188" i="1"/>
  <c r="AK188" i="1"/>
  <c r="AL188" i="1"/>
  <c r="AM188" i="1"/>
  <c r="AN188" i="1"/>
  <c r="AO188" i="1"/>
  <c r="AP188" i="1"/>
  <c r="AQ188" i="1"/>
  <c r="AR188" i="1"/>
  <c r="AS188" i="1"/>
  <c r="AT188" i="1"/>
  <c r="AU188" i="1"/>
  <c r="AV188" i="1"/>
  <c r="AW188" i="1"/>
  <c r="AX188" i="1"/>
  <c r="AY188" i="1"/>
  <c r="AZ188" i="1"/>
  <c r="BA188" i="1"/>
  <c r="BB188" i="1"/>
  <c r="BC188" i="1"/>
  <c r="BD188" i="1"/>
  <c r="BE188" i="1"/>
  <c r="BF188" i="1"/>
  <c r="BG188" i="1"/>
  <c r="BH188" i="1"/>
  <c r="BI188" i="1"/>
  <c r="BJ188" i="1"/>
  <c r="BK188" i="1"/>
  <c r="BL188" i="1"/>
  <c r="BM188" i="1"/>
  <c r="BN188" i="1"/>
  <c r="BO188" i="1"/>
  <c r="BP188" i="1"/>
  <c r="BQ188" i="1"/>
  <c r="BR188" i="1"/>
  <c r="BS188" i="1"/>
  <c r="BT188" i="1"/>
  <c r="BU188" i="1"/>
  <c r="BV188" i="1"/>
  <c r="BW188" i="1"/>
  <c r="BX188" i="1"/>
  <c r="BY188" i="1"/>
  <c r="BZ188" i="1"/>
  <c r="CA188" i="1"/>
  <c r="CB188" i="1"/>
  <c r="CC188" i="1"/>
  <c r="CD188" i="1"/>
  <c r="AF189" i="1"/>
  <c r="AG189" i="1"/>
  <c r="AH189" i="1"/>
  <c r="AI189" i="1"/>
  <c r="AJ189" i="1"/>
  <c r="AK189" i="1"/>
  <c r="AL189" i="1"/>
  <c r="AM189" i="1"/>
  <c r="AN189" i="1"/>
  <c r="AO189" i="1"/>
  <c r="AP189" i="1"/>
  <c r="AQ189" i="1"/>
  <c r="AR189" i="1"/>
  <c r="AS189" i="1"/>
  <c r="AT189" i="1"/>
  <c r="AU189" i="1"/>
  <c r="AV189" i="1"/>
  <c r="AW189" i="1"/>
  <c r="AX189" i="1"/>
  <c r="AY189" i="1"/>
  <c r="AZ189" i="1"/>
  <c r="BA189" i="1"/>
  <c r="BB189" i="1"/>
  <c r="BC189" i="1"/>
  <c r="BD189" i="1"/>
  <c r="BE189" i="1"/>
  <c r="BF189" i="1"/>
  <c r="BG189" i="1"/>
  <c r="BH189" i="1"/>
  <c r="BI189" i="1"/>
  <c r="BJ189" i="1"/>
  <c r="BK189" i="1"/>
  <c r="BL189" i="1"/>
  <c r="BM189" i="1"/>
  <c r="BN189" i="1"/>
  <c r="BO189" i="1"/>
  <c r="BP189" i="1"/>
  <c r="BQ189" i="1"/>
  <c r="BR189" i="1"/>
  <c r="BS189" i="1"/>
  <c r="BT189" i="1"/>
  <c r="BU189" i="1"/>
  <c r="BV189" i="1"/>
  <c r="BW189" i="1"/>
  <c r="BX189" i="1"/>
  <c r="BY189" i="1"/>
  <c r="BZ189" i="1"/>
  <c r="CA189" i="1"/>
  <c r="CB189" i="1"/>
  <c r="CC189" i="1"/>
  <c r="CD189" i="1"/>
  <c r="AF190" i="1"/>
  <c r="AG190" i="1"/>
  <c r="AH190" i="1"/>
  <c r="AI190" i="1"/>
  <c r="AJ190" i="1"/>
  <c r="AK190" i="1"/>
  <c r="AL190" i="1"/>
  <c r="AM190" i="1"/>
  <c r="AN190" i="1"/>
  <c r="AO190" i="1"/>
  <c r="AP190" i="1"/>
  <c r="AQ190" i="1"/>
  <c r="AR190" i="1"/>
  <c r="AS190" i="1"/>
  <c r="AT190" i="1"/>
  <c r="AU190" i="1"/>
  <c r="AV190" i="1"/>
  <c r="AW190" i="1"/>
  <c r="AX190" i="1"/>
  <c r="AY190" i="1"/>
  <c r="AZ190" i="1"/>
  <c r="BA190" i="1"/>
  <c r="BB190" i="1"/>
  <c r="BC190" i="1"/>
  <c r="BD190" i="1"/>
  <c r="BE190" i="1"/>
  <c r="BF190" i="1"/>
  <c r="BG190" i="1"/>
  <c r="BH190" i="1"/>
  <c r="BI190" i="1"/>
  <c r="BJ190" i="1"/>
  <c r="BK190" i="1"/>
  <c r="BL190" i="1"/>
  <c r="BM190" i="1"/>
  <c r="BN190" i="1"/>
  <c r="BO190" i="1"/>
  <c r="BP190" i="1"/>
  <c r="BQ190" i="1"/>
  <c r="BR190" i="1"/>
  <c r="BS190" i="1"/>
  <c r="BT190" i="1"/>
  <c r="BU190" i="1"/>
  <c r="BV190" i="1"/>
  <c r="BW190" i="1"/>
  <c r="BX190" i="1"/>
  <c r="BY190" i="1"/>
  <c r="BZ190" i="1"/>
  <c r="CA190" i="1"/>
  <c r="CB190" i="1"/>
  <c r="CC190" i="1"/>
  <c r="CD190" i="1"/>
  <c r="AF191" i="1"/>
  <c r="AG191" i="1"/>
  <c r="AH191" i="1"/>
  <c r="AI191" i="1"/>
  <c r="AJ191" i="1"/>
  <c r="AK191" i="1"/>
  <c r="AL191" i="1"/>
  <c r="AM191" i="1"/>
  <c r="AN191" i="1"/>
  <c r="AO191" i="1"/>
  <c r="AP191" i="1"/>
  <c r="AQ191" i="1"/>
  <c r="AR191" i="1"/>
  <c r="AS191" i="1"/>
  <c r="AT191" i="1"/>
  <c r="AU191" i="1"/>
  <c r="AV191" i="1"/>
  <c r="AW191" i="1"/>
  <c r="AX191" i="1"/>
  <c r="AY191" i="1"/>
  <c r="AZ191" i="1"/>
  <c r="BA191" i="1"/>
  <c r="BB191" i="1"/>
  <c r="BC191" i="1"/>
  <c r="BD191" i="1"/>
  <c r="BE191" i="1"/>
  <c r="BF191" i="1"/>
  <c r="BG191" i="1"/>
  <c r="BH191" i="1"/>
  <c r="BI191" i="1"/>
  <c r="BJ191" i="1"/>
  <c r="BK191" i="1"/>
  <c r="BL191" i="1"/>
  <c r="BM191" i="1"/>
  <c r="BN191" i="1"/>
  <c r="BO191" i="1"/>
  <c r="BP191" i="1"/>
  <c r="BQ191" i="1"/>
  <c r="BR191" i="1"/>
  <c r="BS191" i="1"/>
  <c r="BT191" i="1"/>
  <c r="BU191" i="1"/>
  <c r="BV191" i="1"/>
  <c r="BW191" i="1"/>
  <c r="BX191" i="1"/>
  <c r="BY191" i="1"/>
  <c r="BZ191" i="1"/>
  <c r="CA191" i="1"/>
  <c r="CB191" i="1"/>
  <c r="CC191" i="1"/>
  <c r="CD191" i="1"/>
  <c r="AF192" i="1"/>
  <c r="AG192" i="1"/>
  <c r="AH192" i="1"/>
  <c r="AI192" i="1"/>
  <c r="AJ192" i="1"/>
  <c r="AK192" i="1"/>
  <c r="AL192" i="1"/>
  <c r="AM192" i="1"/>
  <c r="AN192" i="1"/>
  <c r="AO192" i="1"/>
  <c r="AP192" i="1"/>
  <c r="AQ192" i="1"/>
  <c r="AR192" i="1"/>
  <c r="AS192" i="1"/>
  <c r="AT192" i="1"/>
  <c r="AU192" i="1"/>
  <c r="AV192" i="1"/>
  <c r="AW192" i="1"/>
  <c r="AX192" i="1"/>
  <c r="AY192" i="1"/>
  <c r="AZ192" i="1"/>
  <c r="BA192" i="1"/>
  <c r="BB192" i="1"/>
  <c r="BC192" i="1"/>
  <c r="BD192" i="1"/>
  <c r="BE192" i="1"/>
  <c r="BF192" i="1"/>
  <c r="BG192" i="1"/>
  <c r="BH192" i="1"/>
  <c r="BI192" i="1"/>
  <c r="BJ192" i="1"/>
  <c r="BK192" i="1"/>
  <c r="BL192" i="1"/>
  <c r="BM192" i="1"/>
  <c r="BN192" i="1"/>
  <c r="BO192" i="1"/>
  <c r="BP192" i="1"/>
  <c r="BQ192" i="1"/>
  <c r="BR192" i="1"/>
  <c r="BS192" i="1"/>
  <c r="BT192" i="1"/>
  <c r="BU192" i="1"/>
  <c r="BV192" i="1"/>
  <c r="BW192" i="1"/>
  <c r="BX192" i="1"/>
  <c r="BY192" i="1"/>
  <c r="BZ192" i="1"/>
  <c r="CA192" i="1"/>
  <c r="CB192" i="1"/>
  <c r="CC192" i="1"/>
  <c r="CD192" i="1"/>
  <c r="AG195" i="1"/>
  <c r="AH195" i="1"/>
  <c r="AI195" i="1"/>
  <c r="AJ195" i="1"/>
  <c r="AK195" i="1"/>
  <c r="AL195" i="1"/>
  <c r="AM195" i="1"/>
  <c r="AN195" i="1"/>
  <c r="AO195" i="1"/>
  <c r="AP195" i="1"/>
  <c r="AQ195" i="1"/>
  <c r="AR195" i="1"/>
  <c r="AS195" i="1"/>
  <c r="AT195" i="1"/>
  <c r="AU195" i="1"/>
  <c r="AV195" i="1"/>
  <c r="AW195" i="1"/>
  <c r="AX195" i="1"/>
  <c r="AY195" i="1"/>
  <c r="AZ195" i="1"/>
  <c r="BA195" i="1"/>
  <c r="BB195" i="1"/>
  <c r="BC195" i="1"/>
  <c r="BD195" i="1"/>
  <c r="BE195" i="1"/>
  <c r="BF195" i="1"/>
  <c r="BG195" i="1"/>
  <c r="BH195" i="1"/>
  <c r="BI195" i="1"/>
  <c r="BJ195" i="1"/>
  <c r="BK195" i="1"/>
  <c r="BL195" i="1"/>
  <c r="BM195" i="1"/>
  <c r="BN195" i="1"/>
  <c r="BO195" i="1"/>
  <c r="BP195" i="1"/>
  <c r="BQ195" i="1"/>
  <c r="BR195" i="1"/>
  <c r="BS195" i="1"/>
  <c r="BT195" i="1"/>
  <c r="BU195" i="1"/>
  <c r="BV195" i="1"/>
  <c r="BW195" i="1"/>
  <c r="BX195" i="1"/>
  <c r="BY195" i="1"/>
  <c r="BZ195" i="1"/>
  <c r="CA195" i="1"/>
  <c r="CB195" i="1"/>
  <c r="CC195" i="1"/>
  <c r="CD195" i="1"/>
  <c r="AF196" i="1"/>
  <c r="AG196" i="1"/>
  <c r="AH196" i="1"/>
  <c r="AI196" i="1"/>
  <c r="AJ196" i="1"/>
  <c r="AK196" i="1"/>
  <c r="AL196" i="1"/>
  <c r="AM196" i="1"/>
  <c r="AN196" i="1"/>
  <c r="AO196" i="1"/>
  <c r="AP196" i="1"/>
  <c r="AQ196" i="1"/>
  <c r="AR196" i="1"/>
  <c r="AS196" i="1"/>
  <c r="AT196" i="1"/>
  <c r="AU196" i="1"/>
  <c r="AV196" i="1"/>
  <c r="AW196" i="1"/>
  <c r="AX196" i="1"/>
  <c r="AY196" i="1"/>
  <c r="AZ196" i="1"/>
  <c r="BA196" i="1"/>
  <c r="BB196" i="1"/>
  <c r="BC196" i="1"/>
  <c r="BD196" i="1"/>
  <c r="BE196" i="1"/>
  <c r="BF196" i="1"/>
  <c r="BG196" i="1"/>
  <c r="BH196" i="1"/>
  <c r="BI196" i="1"/>
  <c r="BJ196" i="1"/>
  <c r="BK196" i="1"/>
  <c r="BL196" i="1"/>
  <c r="BM196" i="1"/>
  <c r="BN196" i="1"/>
  <c r="BO196" i="1"/>
  <c r="BP196" i="1"/>
  <c r="BQ196" i="1"/>
  <c r="BR196" i="1"/>
  <c r="BS196" i="1"/>
  <c r="BT196" i="1"/>
  <c r="BU196" i="1"/>
  <c r="BV196" i="1"/>
  <c r="BW196" i="1"/>
  <c r="BX196" i="1"/>
  <c r="BY196" i="1"/>
  <c r="BZ196" i="1"/>
  <c r="CA196" i="1"/>
  <c r="CB196" i="1"/>
  <c r="CC196" i="1"/>
  <c r="CD196" i="1"/>
  <c r="H198" i="1"/>
  <c r="H197" i="1" s="1"/>
  <c r="H193" i="1" s="1"/>
  <c r="I198" i="1"/>
  <c r="I197" i="1" s="1"/>
  <c r="I193" i="1" s="1"/>
  <c r="J198" i="1"/>
  <c r="J197" i="1" s="1"/>
  <c r="J193" i="1" s="1"/>
  <c r="K198" i="1"/>
  <c r="K197" i="1" s="1"/>
  <c r="K193" i="1" s="1"/>
  <c r="L198" i="1"/>
  <c r="L197" i="1" s="1"/>
  <c r="L193" i="1" s="1"/>
  <c r="M198" i="1"/>
  <c r="M197" i="1" s="1"/>
  <c r="M193" i="1" s="1"/>
  <c r="N198" i="1"/>
  <c r="N197" i="1" s="1"/>
  <c r="N193" i="1" s="1"/>
  <c r="O198" i="1"/>
  <c r="O197" i="1" s="1"/>
  <c r="O193" i="1" s="1"/>
  <c r="P198" i="1"/>
  <c r="P197" i="1" s="1"/>
  <c r="P193" i="1" s="1"/>
  <c r="Q198" i="1"/>
  <c r="Q197" i="1" s="1"/>
  <c r="Q193" i="1" s="1"/>
  <c r="R198" i="1"/>
  <c r="R197" i="1" s="1"/>
  <c r="R193" i="1" s="1"/>
  <c r="S198" i="1"/>
  <c r="S197" i="1" s="1"/>
  <c r="S193" i="1" s="1"/>
  <c r="T198" i="1"/>
  <c r="T197" i="1" s="1"/>
  <c r="T193" i="1" s="1"/>
  <c r="U198" i="1"/>
  <c r="U197" i="1" s="1"/>
  <c r="U193" i="1" s="1"/>
  <c r="V198" i="1"/>
  <c r="V197" i="1" s="1"/>
  <c r="V193" i="1" s="1"/>
  <c r="W198" i="1"/>
  <c r="W197" i="1" s="1"/>
  <c r="W193" i="1" s="1"/>
  <c r="X198" i="1"/>
  <c r="X197" i="1" s="1"/>
  <c r="X193" i="1" s="1"/>
  <c r="Y198" i="1"/>
  <c r="Y197" i="1" s="1"/>
  <c r="Y193" i="1" s="1"/>
  <c r="Z198" i="1"/>
  <c r="Z197" i="1" s="1"/>
  <c r="Z193" i="1" s="1"/>
  <c r="AA198" i="1"/>
  <c r="AA197" i="1" s="1"/>
  <c r="AA193" i="1" s="1"/>
  <c r="AB198" i="1"/>
  <c r="AB197" i="1" s="1"/>
  <c r="AB193" i="1" s="1"/>
  <c r="AC198" i="1"/>
  <c r="AC197" i="1" s="1"/>
  <c r="AC193" i="1" s="1"/>
  <c r="AD198" i="1"/>
  <c r="AD197" i="1" s="1"/>
  <c r="AD193" i="1" s="1"/>
  <c r="AE198" i="1"/>
  <c r="AE197" i="1" s="1"/>
  <c r="AE193" i="1" s="1"/>
  <c r="AF198" i="1"/>
  <c r="AG198" i="1"/>
  <c r="AH198" i="1"/>
  <c r="AI198" i="1"/>
  <c r="AJ198" i="1"/>
  <c r="AK198" i="1"/>
  <c r="AL198" i="1"/>
  <c r="AM198" i="1"/>
  <c r="AN198" i="1"/>
  <c r="AO198" i="1"/>
  <c r="AP198" i="1"/>
  <c r="AQ198" i="1"/>
  <c r="AR198" i="1"/>
  <c r="AS198" i="1"/>
  <c r="AT198" i="1"/>
  <c r="AU198" i="1"/>
  <c r="AV198" i="1"/>
  <c r="AW198" i="1"/>
  <c r="AX198" i="1"/>
  <c r="AY198" i="1"/>
  <c r="AZ198" i="1"/>
  <c r="BA198" i="1"/>
  <c r="BB198" i="1"/>
  <c r="BC198" i="1"/>
  <c r="BD198" i="1"/>
  <c r="BE198" i="1"/>
  <c r="BF198" i="1"/>
  <c r="BG198" i="1"/>
  <c r="BH198" i="1"/>
  <c r="BI198" i="1"/>
  <c r="BJ198" i="1"/>
  <c r="BK198" i="1"/>
  <c r="BL198" i="1"/>
  <c r="BM198" i="1"/>
  <c r="BN198" i="1"/>
  <c r="BO198" i="1"/>
  <c r="BP198" i="1"/>
  <c r="BQ198" i="1"/>
  <c r="BR198" i="1"/>
  <c r="BS198" i="1"/>
  <c r="BT198" i="1"/>
  <c r="BU198" i="1"/>
  <c r="BV198" i="1"/>
  <c r="BW198" i="1"/>
  <c r="BX198" i="1"/>
  <c r="BY198" i="1"/>
  <c r="BZ198" i="1"/>
  <c r="CA198" i="1"/>
  <c r="CB198" i="1"/>
  <c r="CC198" i="1"/>
  <c r="CD198" i="1"/>
  <c r="AF199" i="1"/>
  <c r="AG199" i="1"/>
  <c r="AH199" i="1"/>
  <c r="AI199" i="1"/>
  <c r="AJ199" i="1"/>
  <c r="AK199" i="1"/>
  <c r="AL199" i="1"/>
  <c r="AM199" i="1"/>
  <c r="AN199" i="1"/>
  <c r="AO199" i="1"/>
  <c r="AP199" i="1"/>
  <c r="AQ199" i="1"/>
  <c r="AR199" i="1"/>
  <c r="AS199" i="1"/>
  <c r="AT199" i="1"/>
  <c r="AU199" i="1"/>
  <c r="AV199" i="1"/>
  <c r="AW199" i="1"/>
  <c r="AX199" i="1"/>
  <c r="AY199" i="1"/>
  <c r="AZ199" i="1"/>
  <c r="BA199" i="1"/>
  <c r="BB199" i="1"/>
  <c r="BC199" i="1"/>
  <c r="BD199" i="1"/>
  <c r="BE199" i="1"/>
  <c r="BF199" i="1"/>
  <c r="BG199" i="1"/>
  <c r="BH199" i="1"/>
  <c r="BI199" i="1"/>
  <c r="BJ199" i="1"/>
  <c r="BK199" i="1"/>
  <c r="BL199" i="1"/>
  <c r="BM199" i="1"/>
  <c r="BN199" i="1"/>
  <c r="BO199" i="1"/>
  <c r="BP199" i="1"/>
  <c r="BQ199" i="1"/>
  <c r="BR199" i="1"/>
  <c r="BS199" i="1"/>
  <c r="BT199" i="1"/>
  <c r="BU199" i="1"/>
  <c r="BV199" i="1"/>
  <c r="BW199" i="1"/>
  <c r="BX199" i="1"/>
  <c r="BY199" i="1"/>
  <c r="BZ199" i="1"/>
  <c r="CA199" i="1"/>
  <c r="CB199" i="1"/>
  <c r="CC199" i="1"/>
  <c r="CD199" i="1"/>
  <c r="AF200" i="1"/>
  <c r="AG200" i="1"/>
  <c r="AH200" i="1"/>
  <c r="AI200" i="1"/>
  <c r="AJ200" i="1"/>
  <c r="AK200" i="1"/>
  <c r="AL200" i="1"/>
  <c r="AM200" i="1"/>
  <c r="AN200" i="1"/>
  <c r="AO200" i="1"/>
  <c r="AP200" i="1"/>
  <c r="AQ200" i="1"/>
  <c r="AR200" i="1"/>
  <c r="AS200" i="1"/>
  <c r="AT200" i="1"/>
  <c r="AU200" i="1"/>
  <c r="AV200" i="1"/>
  <c r="AW200" i="1"/>
  <c r="AX200" i="1"/>
  <c r="AY200" i="1"/>
  <c r="AZ200" i="1"/>
  <c r="BA200" i="1"/>
  <c r="BB200" i="1"/>
  <c r="BC200" i="1"/>
  <c r="BD200" i="1"/>
  <c r="BE200" i="1"/>
  <c r="BF200" i="1"/>
  <c r="BG200" i="1"/>
  <c r="BH200" i="1"/>
  <c r="BI200" i="1"/>
  <c r="BJ200" i="1"/>
  <c r="BK200" i="1"/>
  <c r="BL200" i="1"/>
  <c r="BM200" i="1"/>
  <c r="BN200" i="1"/>
  <c r="BO200" i="1"/>
  <c r="BP200" i="1"/>
  <c r="BQ200" i="1"/>
  <c r="BR200" i="1"/>
  <c r="BS200" i="1"/>
  <c r="BT200" i="1"/>
  <c r="BU200" i="1"/>
  <c r="BV200" i="1"/>
  <c r="BW200" i="1"/>
  <c r="BX200" i="1"/>
  <c r="BY200" i="1"/>
  <c r="BZ200" i="1"/>
  <c r="CA200" i="1"/>
  <c r="CB200" i="1"/>
  <c r="CC200" i="1"/>
  <c r="CD200" i="1"/>
  <c r="AF201" i="1"/>
  <c r="AG201" i="1"/>
  <c r="AH201" i="1"/>
  <c r="AI201" i="1"/>
  <c r="AJ201" i="1"/>
  <c r="AK201" i="1"/>
  <c r="AL201" i="1"/>
  <c r="AM201" i="1"/>
  <c r="AN201" i="1"/>
  <c r="AO201" i="1"/>
  <c r="AP201" i="1"/>
  <c r="AQ201" i="1"/>
  <c r="AR201" i="1"/>
  <c r="AS201" i="1"/>
  <c r="AT201" i="1"/>
  <c r="AU201" i="1"/>
  <c r="AV201" i="1"/>
  <c r="AW201" i="1"/>
  <c r="AX201" i="1"/>
  <c r="AY201" i="1"/>
  <c r="AZ201" i="1"/>
  <c r="BA201" i="1"/>
  <c r="BB201" i="1"/>
  <c r="BC201" i="1"/>
  <c r="BD201" i="1"/>
  <c r="BE201" i="1"/>
  <c r="BF201" i="1"/>
  <c r="BG201" i="1"/>
  <c r="BH201" i="1"/>
  <c r="BI201" i="1"/>
  <c r="BJ201" i="1"/>
  <c r="BK201" i="1"/>
  <c r="BL201" i="1"/>
  <c r="BM201" i="1"/>
  <c r="BN201" i="1"/>
  <c r="BO201" i="1"/>
  <c r="BP201" i="1"/>
  <c r="BQ201" i="1"/>
  <c r="BR201" i="1"/>
  <c r="BS201" i="1"/>
  <c r="BT201" i="1"/>
  <c r="BU201" i="1"/>
  <c r="BV201" i="1"/>
  <c r="BW201" i="1"/>
  <c r="BX201" i="1"/>
  <c r="BY201" i="1"/>
  <c r="BZ201" i="1"/>
  <c r="CA201" i="1"/>
  <c r="CB201" i="1"/>
  <c r="CC201" i="1"/>
  <c r="CD201" i="1"/>
  <c r="AF202" i="1"/>
  <c r="AG202" i="1"/>
  <c r="AH202" i="1"/>
  <c r="AI202" i="1"/>
  <c r="AJ202" i="1"/>
  <c r="AK202" i="1"/>
  <c r="AL202" i="1"/>
  <c r="AM202" i="1"/>
  <c r="AN202" i="1"/>
  <c r="AO202" i="1"/>
  <c r="AP202" i="1"/>
  <c r="AQ202" i="1"/>
  <c r="AR202" i="1"/>
  <c r="AS202" i="1"/>
  <c r="AT202" i="1"/>
  <c r="AU202" i="1"/>
  <c r="AV202" i="1"/>
  <c r="AW202" i="1"/>
  <c r="AX202" i="1"/>
  <c r="AY202" i="1"/>
  <c r="AZ202" i="1"/>
  <c r="BA202" i="1"/>
  <c r="BB202" i="1"/>
  <c r="BC202" i="1"/>
  <c r="BD202" i="1"/>
  <c r="BE202" i="1"/>
  <c r="BF202" i="1"/>
  <c r="BG202" i="1"/>
  <c r="BH202" i="1"/>
  <c r="BI202" i="1"/>
  <c r="BJ202" i="1"/>
  <c r="BK202" i="1"/>
  <c r="BL202" i="1"/>
  <c r="BM202" i="1"/>
  <c r="BN202" i="1"/>
  <c r="BO202" i="1"/>
  <c r="BP202" i="1"/>
  <c r="BQ202" i="1"/>
  <c r="BR202" i="1"/>
  <c r="BS202" i="1"/>
  <c r="BT202" i="1"/>
  <c r="BU202" i="1"/>
  <c r="BV202" i="1"/>
  <c r="BW202" i="1"/>
  <c r="BX202" i="1"/>
  <c r="BY202" i="1"/>
  <c r="BZ202" i="1"/>
  <c r="CA202" i="1"/>
  <c r="CB202" i="1"/>
  <c r="CC202" i="1"/>
  <c r="CD202" i="1"/>
  <c r="AF203" i="1"/>
  <c r="AG203" i="1"/>
  <c r="AH203" i="1"/>
  <c r="AI203" i="1"/>
  <c r="AJ203" i="1"/>
  <c r="AK203" i="1"/>
  <c r="AL203" i="1"/>
  <c r="AM203" i="1"/>
  <c r="AN203" i="1"/>
  <c r="AO203" i="1"/>
  <c r="AP203" i="1"/>
  <c r="AQ203" i="1"/>
  <c r="AR203" i="1"/>
  <c r="AS203" i="1"/>
  <c r="AT203" i="1"/>
  <c r="AU203" i="1"/>
  <c r="AV203" i="1"/>
  <c r="AW203" i="1"/>
  <c r="AX203" i="1"/>
  <c r="AY203" i="1"/>
  <c r="AZ203" i="1"/>
  <c r="BA203" i="1"/>
  <c r="BB203" i="1"/>
  <c r="BC203" i="1"/>
  <c r="BD203" i="1"/>
  <c r="BE203" i="1"/>
  <c r="BF203" i="1"/>
  <c r="BG203" i="1"/>
  <c r="BH203" i="1"/>
  <c r="BI203" i="1"/>
  <c r="BJ203" i="1"/>
  <c r="BK203" i="1"/>
  <c r="BL203" i="1"/>
  <c r="BM203" i="1"/>
  <c r="BN203" i="1"/>
  <c r="BO203" i="1"/>
  <c r="BP203" i="1"/>
  <c r="BQ203" i="1"/>
  <c r="BR203" i="1"/>
  <c r="BS203" i="1"/>
  <c r="BT203" i="1"/>
  <c r="BU203" i="1"/>
  <c r="BV203" i="1"/>
  <c r="BW203" i="1"/>
  <c r="BX203" i="1"/>
  <c r="BY203" i="1"/>
  <c r="BZ203" i="1"/>
  <c r="CA203" i="1"/>
  <c r="CB203" i="1"/>
  <c r="CC203" i="1"/>
  <c r="CD203" i="1"/>
  <c r="H206" i="1"/>
  <c r="I206" i="1"/>
  <c r="J206" i="1"/>
  <c r="K206" i="1"/>
  <c r="L206" i="1"/>
  <c r="M206" i="1"/>
  <c r="N206" i="1"/>
  <c r="O206" i="1"/>
  <c r="P206" i="1"/>
  <c r="Q206" i="1"/>
  <c r="R206" i="1"/>
  <c r="S206" i="1"/>
  <c r="T206" i="1"/>
  <c r="U206" i="1"/>
  <c r="U205" i="1" s="1"/>
  <c r="V206" i="1"/>
  <c r="W206" i="1"/>
  <c r="X206" i="1"/>
  <c r="Y206" i="1"/>
  <c r="Z206" i="1"/>
  <c r="AA206" i="1"/>
  <c r="AB206" i="1"/>
  <c r="AC206" i="1"/>
  <c r="AD206" i="1"/>
  <c r="AE206" i="1"/>
  <c r="AF206" i="1"/>
  <c r="AG206" i="1"/>
  <c r="AH206" i="1"/>
  <c r="AI206" i="1"/>
  <c r="AI205" i="1" s="1"/>
  <c r="AJ206" i="1"/>
  <c r="AK206" i="1"/>
  <c r="AL206" i="1"/>
  <c r="AM206" i="1"/>
  <c r="AN206" i="1"/>
  <c r="AO206" i="1"/>
  <c r="AP206" i="1"/>
  <c r="AQ206" i="1"/>
  <c r="AR206" i="1"/>
  <c r="AS206" i="1"/>
  <c r="AT206" i="1"/>
  <c r="AU206" i="1"/>
  <c r="AV206" i="1"/>
  <c r="AW206" i="1"/>
  <c r="AW205" i="1" s="1"/>
  <c r="AX206" i="1"/>
  <c r="AY206" i="1"/>
  <c r="AZ206" i="1"/>
  <c r="BA206" i="1"/>
  <c r="BB206" i="1"/>
  <c r="BC206" i="1"/>
  <c r="BD206" i="1"/>
  <c r="BE206" i="1"/>
  <c r="BF206" i="1"/>
  <c r="BG206" i="1"/>
  <c r="BH206" i="1"/>
  <c r="BI206" i="1"/>
  <c r="BJ206" i="1"/>
  <c r="BK206" i="1"/>
  <c r="BK205" i="1" s="1"/>
  <c r="BL206" i="1"/>
  <c r="BM206" i="1"/>
  <c r="BN206" i="1"/>
  <c r="BO206" i="1"/>
  <c r="BP206" i="1"/>
  <c r="BQ206" i="1"/>
  <c r="BR206" i="1"/>
  <c r="BS206" i="1"/>
  <c r="BT206" i="1"/>
  <c r="BU206" i="1"/>
  <c r="BV206" i="1"/>
  <c r="BW206" i="1"/>
  <c r="BX206" i="1"/>
  <c r="BY206" i="1"/>
  <c r="BY205" i="1" s="1"/>
  <c r="BZ206" i="1"/>
  <c r="CA206" i="1"/>
  <c r="CB206" i="1"/>
  <c r="CC206" i="1"/>
  <c r="CD206" i="1"/>
  <c r="H207" i="1"/>
  <c r="I207" i="1"/>
  <c r="J207" i="1"/>
  <c r="K207" i="1"/>
  <c r="L207" i="1"/>
  <c r="M207" i="1"/>
  <c r="N207" i="1"/>
  <c r="O207" i="1"/>
  <c r="P207" i="1"/>
  <c r="Q207" i="1"/>
  <c r="R207" i="1"/>
  <c r="S207" i="1"/>
  <c r="T207" i="1"/>
  <c r="U207" i="1"/>
  <c r="V207" i="1"/>
  <c r="W207" i="1"/>
  <c r="X207" i="1"/>
  <c r="Y207" i="1"/>
  <c r="Z207" i="1"/>
  <c r="AA207" i="1"/>
  <c r="AB207" i="1"/>
  <c r="AC207" i="1"/>
  <c r="AD207" i="1"/>
  <c r="AE207" i="1"/>
  <c r="AF207" i="1"/>
  <c r="AG207" i="1"/>
  <c r="AH207" i="1"/>
  <c r="AI207" i="1"/>
  <c r="AJ207" i="1"/>
  <c r="AK207" i="1"/>
  <c r="AL207" i="1"/>
  <c r="AM207" i="1"/>
  <c r="AN207" i="1"/>
  <c r="AO207" i="1"/>
  <c r="AP207" i="1"/>
  <c r="AQ207" i="1"/>
  <c r="AR207" i="1"/>
  <c r="AS207" i="1"/>
  <c r="AT207" i="1"/>
  <c r="AU207" i="1"/>
  <c r="AV207" i="1"/>
  <c r="AW207" i="1"/>
  <c r="AX207" i="1"/>
  <c r="AY207" i="1"/>
  <c r="AZ207" i="1"/>
  <c r="BA207" i="1"/>
  <c r="BB207" i="1"/>
  <c r="BC207" i="1"/>
  <c r="BD207" i="1"/>
  <c r="BE207" i="1"/>
  <c r="BF207" i="1"/>
  <c r="BG207" i="1"/>
  <c r="BH207" i="1"/>
  <c r="BI207" i="1"/>
  <c r="BJ207" i="1"/>
  <c r="BK207" i="1"/>
  <c r="BL207" i="1"/>
  <c r="BM207" i="1"/>
  <c r="BN207" i="1"/>
  <c r="BO207" i="1"/>
  <c r="BP207" i="1"/>
  <c r="BQ207" i="1"/>
  <c r="BR207" i="1"/>
  <c r="BS207" i="1"/>
  <c r="BT207" i="1"/>
  <c r="BU207" i="1"/>
  <c r="BV207" i="1"/>
  <c r="BW207" i="1"/>
  <c r="BX207" i="1"/>
  <c r="BY207" i="1"/>
  <c r="BZ207" i="1"/>
  <c r="CA207" i="1"/>
  <c r="CB207" i="1"/>
  <c r="CC207" i="1"/>
  <c r="CD207" i="1"/>
  <c r="H208" i="1"/>
  <c r="I208" i="1"/>
  <c r="J208" i="1"/>
  <c r="K208" i="1"/>
  <c r="L208" i="1"/>
  <c r="M208" i="1"/>
  <c r="N208" i="1"/>
  <c r="O208" i="1"/>
  <c r="P208" i="1"/>
  <c r="Q208" i="1"/>
  <c r="R208" i="1"/>
  <c r="S208" i="1"/>
  <c r="T208" i="1"/>
  <c r="U208" i="1"/>
  <c r="V208" i="1"/>
  <c r="W208" i="1"/>
  <c r="X208" i="1"/>
  <c r="Y208" i="1"/>
  <c r="Z208" i="1"/>
  <c r="AA208" i="1"/>
  <c r="AB208" i="1"/>
  <c r="AC208" i="1"/>
  <c r="AD208" i="1"/>
  <c r="AE208" i="1"/>
  <c r="AF208" i="1"/>
  <c r="AG208" i="1"/>
  <c r="AH208" i="1"/>
  <c r="AI208" i="1"/>
  <c r="AJ208" i="1"/>
  <c r="AK208" i="1"/>
  <c r="AL208" i="1"/>
  <c r="AM208" i="1"/>
  <c r="AN208" i="1"/>
  <c r="AO208" i="1"/>
  <c r="AP208" i="1"/>
  <c r="AQ208" i="1"/>
  <c r="AR208" i="1"/>
  <c r="AS208" i="1"/>
  <c r="AT208" i="1"/>
  <c r="AU208" i="1"/>
  <c r="AV208" i="1"/>
  <c r="AW208" i="1"/>
  <c r="AX208" i="1"/>
  <c r="AY208" i="1"/>
  <c r="AZ208" i="1"/>
  <c r="BA208" i="1"/>
  <c r="BB208" i="1"/>
  <c r="BC208" i="1"/>
  <c r="BD208" i="1"/>
  <c r="BE208" i="1"/>
  <c r="BF208" i="1"/>
  <c r="BG208" i="1"/>
  <c r="BH208" i="1"/>
  <c r="BI208" i="1"/>
  <c r="BJ208" i="1"/>
  <c r="BK208" i="1"/>
  <c r="BL208" i="1"/>
  <c r="BM208" i="1"/>
  <c r="BN208" i="1"/>
  <c r="BO208" i="1"/>
  <c r="BP208" i="1"/>
  <c r="BQ208" i="1"/>
  <c r="BR208" i="1"/>
  <c r="BS208" i="1"/>
  <c r="BT208" i="1"/>
  <c r="BU208" i="1"/>
  <c r="BV208" i="1"/>
  <c r="BW208" i="1"/>
  <c r="BX208" i="1"/>
  <c r="BY208" i="1"/>
  <c r="BZ208" i="1"/>
  <c r="CA208" i="1"/>
  <c r="CB208" i="1"/>
  <c r="CC208" i="1"/>
  <c r="CD208" i="1"/>
  <c r="H209" i="1"/>
  <c r="I209" i="1"/>
  <c r="J209" i="1"/>
  <c r="K209" i="1"/>
  <c r="L209" i="1"/>
  <c r="M209" i="1"/>
  <c r="N209" i="1"/>
  <c r="O209" i="1"/>
  <c r="P209" i="1"/>
  <c r="Q209" i="1"/>
  <c r="R209" i="1"/>
  <c r="S209" i="1"/>
  <c r="T209" i="1"/>
  <c r="U209" i="1"/>
  <c r="V209" i="1"/>
  <c r="W209" i="1"/>
  <c r="X209" i="1"/>
  <c r="Y209" i="1"/>
  <c r="Z209" i="1"/>
  <c r="AA209" i="1"/>
  <c r="AB209" i="1"/>
  <c r="AC209" i="1"/>
  <c r="AD209" i="1"/>
  <c r="AE209" i="1"/>
  <c r="AF209" i="1"/>
  <c r="AG209" i="1"/>
  <c r="AH209" i="1"/>
  <c r="AI209" i="1"/>
  <c r="AJ209" i="1"/>
  <c r="AK209" i="1"/>
  <c r="AL209" i="1"/>
  <c r="AM209" i="1"/>
  <c r="AN209" i="1"/>
  <c r="AO209" i="1"/>
  <c r="AP209" i="1"/>
  <c r="AQ209" i="1"/>
  <c r="AR209" i="1"/>
  <c r="AS209" i="1"/>
  <c r="AT209" i="1"/>
  <c r="AU209" i="1"/>
  <c r="AV209" i="1"/>
  <c r="AW209" i="1"/>
  <c r="AX209" i="1"/>
  <c r="AY209" i="1"/>
  <c r="AZ209" i="1"/>
  <c r="BA209" i="1"/>
  <c r="BB209" i="1"/>
  <c r="BC209" i="1"/>
  <c r="BD209" i="1"/>
  <c r="BE209" i="1"/>
  <c r="BF209" i="1"/>
  <c r="BG209" i="1"/>
  <c r="BH209" i="1"/>
  <c r="BI209" i="1"/>
  <c r="BJ209" i="1"/>
  <c r="BK209" i="1"/>
  <c r="BL209" i="1"/>
  <c r="BM209" i="1"/>
  <c r="BN209" i="1"/>
  <c r="BO209" i="1"/>
  <c r="BP209" i="1"/>
  <c r="BQ209" i="1"/>
  <c r="BR209" i="1"/>
  <c r="BS209" i="1"/>
  <c r="BT209" i="1"/>
  <c r="BU209" i="1"/>
  <c r="BV209" i="1"/>
  <c r="BW209" i="1"/>
  <c r="BX209" i="1"/>
  <c r="BY209" i="1"/>
  <c r="BZ209" i="1"/>
  <c r="CA209" i="1"/>
  <c r="CB209" i="1"/>
  <c r="CC209" i="1"/>
  <c r="CD209" i="1"/>
  <c r="H210" i="1"/>
  <c r="I210" i="1"/>
  <c r="J210" i="1"/>
  <c r="K210" i="1"/>
  <c r="L210" i="1"/>
  <c r="M210" i="1"/>
  <c r="N210" i="1"/>
  <c r="O210" i="1"/>
  <c r="P210" i="1"/>
  <c r="Q210" i="1"/>
  <c r="R210" i="1"/>
  <c r="S210" i="1"/>
  <c r="T210" i="1"/>
  <c r="U210" i="1"/>
  <c r="V210" i="1"/>
  <c r="W210" i="1"/>
  <c r="X210" i="1"/>
  <c r="Y210" i="1"/>
  <c r="Z210" i="1"/>
  <c r="AA210" i="1"/>
  <c r="AB210" i="1"/>
  <c r="AC210" i="1"/>
  <c r="AD210" i="1"/>
  <c r="AE210" i="1"/>
  <c r="AF210" i="1"/>
  <c r="AG210" i="1"/>
  <c r="AH210" i="1"/>
  <c r="AI210" i="1"/>
  <c r="AJ210" i="1"/>
  <c r="AK210" i="1"/>
  <c r="AL210" i="1"/>
  <c r="AM210" i="1"/>
  <c r="AN210" i="1"/>
  <c r="AO210" i="1"/>
  <c r="AP210" i="1"/>
  <c r="AQ210" i="1"/>
  <c r="AR210" i="1"/>
  <c r="AS210" i="1"/>
  <c r="AT210" i="1"/>
  <c r="AU210" i="1"/>
  <c r="AV210" i="1"/>
  <c r="AW210" i="1"/>
  <c r="AX210" i="1"/>
  <c r="AY210" i="1"/>
  <c r="AZ210" i="1"/>
  <c r="BA210" i="1"/>
  <c r="BB210" i="1"/>
  <c r="BC210" i="1"/>
  <c r="BD210" i="1"/>
  <c r="BE210" i="1"/>
  <c r="BF210" i="1"/>
  <c r="BG210" i="1"/>
  <c r="BH210" i="1"/>
  <c r="BI210" i="1"/>
  <c r="BJ210" i="1"/>
  <c r="BK210" i="1"/>
  <c r="BL210" i="1"/>
  <c r="BM210" i="1"/>
  <c r="BN210" i="1"/>
  <c r="BO210" i="1"/>
  <c r="BP210" i="1"/>
  <c r="BQ210" i="1"/>
  <c r="BR210" i="1"/>
  <c r="BS210" i="1"/>
  <c r="BT210" i="1"/>
  <c r="BU210" i="1"/>
  <c r="BV210" i="1"/>
  <c r="BW210" i="1"/>
  <c r="BX210" i="1"/>
  <c r="BY210" i="1"/>
  <c r="BZ210" i="1"/>
  <c r="CA210" i="1"/>
  <c r="CB210" i="1"/>
  <c r="CC210" i="1"/>
  <c r="CD210" i="1"/>
  <c r="H211" i="1"/>
  <c r="I211" i="1"/>
  <c r="J211" i="1"/>
  <c r="K211" i="1"/>
  <c r="L211" i="1"/>
  <c r="M211" i="1"/>
  <c r="N211" i="1"/>
  <c r="O211" i="1"/>
  <c r="P211" i="1"/>
  <c r="Q211" i="1"/>
  <c r="R211" i="1"/>
  <c r="S211" i="1"/>
  <c r="T211" i="1"/>
  <c r="U211" i="1"/>
  <c r="V211" i="1"/>
  <c r="W211" i="1"/>
  <c r="X211" i="1"/>
  <c r="Y211" i="1"/>
  <c r="Z211" i="1"/>
  <c r="AA211" i="1"/>
  <c r="AB211" i="1"/>
  <c r="AC211" i="1"/>
  <c r="AD211" i="1"/>
  <c r="AE211" i="1"/>
  <c r="AF211" i="1"/>
  <c r="AG211" i="1"/>
  <c r="AH211" i="1"/>
  <c r="AI211" i="1"/>
  <c r="AJ211" i="1"/>
  <c r="AK211" i="1"/>
  <c r="AL211" i="1"/>
  <c r="AM211" i="1"/>
  <c r="AN211" i="1"/>
  <c r="AO211" i="1"/>
  <c r="AP211" i="1"/>
  <c r="AQ211" i="1"/>
  <c r="AR211" i="1"/>
  <c r="AS211" i="1"/>
  <c r="AT211" i="1"/>
  <c r="AU211" i="1"/>
  <c r="AV211" i="1"/>
  <c r="AW211" i="1"/>
  <c r="AX211" i="1"/>
  <c r="AY211" i="1"/>
  <c r="AZ211" i="1"/>
  <c r="BA211" i="1"/>
  <c r="BB211" i="1"/>
  <c r="BC211" i="1"/>
  <c r="BD211" i="1"/>
  <c r="BE211" i="1"/>
  <c r="BF211" i="1"/>
  <c r="BG211" i="1"/>
  <c r="BH211" i="1"/>
  <c r="BI211" i="1"/>
  <c r="BJ211" i="1"/>
  <c r="BK211" i="1"/>
  <c r="BL211" i="1"/>
  <c r="BM211" i="1"/>
  <c r="BN211" i="1"/>
  <c r="BO211" i="1"/>
  <c r="BP211" i="1"/>
  <c r="BQ211" i="1"/>
  <c r="BR211" i="1"/>
  <c r="BS211" i="1"/>
  <c r="BT211" i="1"/>
  <c r="BU211" i="1"/>
  <c r="BV211" i="1"/>
  <c r="BW211" i="1"/>
  <c r="BX211" i="1"/>
  <c r="BY211" i="1"/>
  <c r="BZ211" i="1"/>
  <c r="CA211" i="1"/>
  <c r="CB211" i="1"/>
  <c r="CC211" i="1"/>
  <c r="CD211" i="1"/>
  <c r="H212" i="1"/>
  <c r="I212" i="1"/>
  <c r="J212" i="1"/>
  <c r="K212" i="1"/>
  <c r="L212" i="1"/>
  <c r="M212" i="1"/>
  <c r="N212" i="1"/>
  <c r="O212" i="1"/>
  <c r="P212" i="1"/>
  <c r="Q212" i="1"/>
  <c r="R212" i="1"/>
  <c r="S212" i="1"/>
  <c r="T212" i="1"/>
  <c r="U212" i="1"/>
  <c r="V212" i="1"/>
  <c r="W212" i="1"/>
  <c r="X212" i="1"/>
  <c r="Y212" i="1"/>
  <c r="Z212" i="1"/>
  <c r="AA212" i="1"/>
  <c r="AB212" i="1"/>
  <c r="AC212" i="1"/>
  <c r="AD212" i="1"/>
  <c r="AE212" i="1"/>
  <c r="AF212" i="1"/>
  <c r="AG212" i="1"/>
  <c r="AH212" i="1"/>
  <c r="AI212" i="1"/>
  <c r="AJ212" i="1"/>
  <c r="AK212" i="1"/>
  <c r="AL212" i="1"/>
  <c r="AM212" i="1"/>
  <c r="AN212" i="1"/>
  <c r="AO212" i="1"/>
  <c r="AP212" i="1"/>
  <c r="AQ212" i="1"/>
  <c r="AR212" i="1"/>
  <c r="AS212" i="1"/>
  <c r="AT212" i="1"/>
  <c r="AU212" i="1"/>
  <c r="AV212" i="1"/>
  <c r="AW212" i="1"/>
  <c r="AX212" i="1"/>
  <c r="AY212" i="1"/>
  <c r="AZ212" i="1"/>
  <c r="BA212" i="1"/>
  <c r="BB212" i="1"/>
  <c r="BC212" i="1"/>
  <c r="BD212" i="1"/>
  <c r="BE212" i="1"/>
  <c r="BF212" i="1"/>
  <c r="BG212" i="1"/>
  <c r="BH212" i="1"/>
  <c r="BI212" i="1"/>
  <c r="BJ212" i="1"/>
  <c r="BK212" i="1"/>
  <c r="BL212" i="1"/>
  <c r="BM212" i="1"/>
  <c r="BN212" i="1"/>
  <c r="BO212" i="1"/>
  <c r="BP212" i="1"/>
  <c r="BQ212" i="1"/>
  <c r="BR212" i="1"/>
  <c r="BS212" i="1"/>
  <c r="BT212" i="1"/>
  <c r="BU212" i="1"/>
  <c r="BV212" i="1"/>
  <c r="BW212" i="1"/>
  <c r="BX212" i="1"/>
  <c r="BY212" i="1"/>
  <c r="BZ212" i="1"/>
  <c r="CA212" i="1"/>
  <c r="CB212" i="1"/>
  <c r="CC212" i="1"/>
  <c r="CD212" i="1"/>
  <c r="AF213" i="1"/>
  <c r="AG213" i="1"/>
  <c r="AH213" i="1"/>
  <c r="AI213" i="1"/>
  <c r="AJ213" i="1"/>
  <c r="AK213" i="1"/>
  <c r="AL213" i="1"/>
  <c r="AM213" i="1"/>
  <c r="AN213" i="1"/>
  <c r="AO213" i="1"/>
  <c r="AP213" i="1"/>
  <c r="AQ213" i="1"/>
  <c r="AR213" i="1"/>
  <c r="AS213" i="1"/>
  <c r="AT213" i="1"/>
  <c r="AU213" i="1"/>
  <c r="AV213" i="1"/>
  <c r="AW213" i="1"/>
  <c r="AX213" i="1"/>
  <c r="AY213" i="1"/>
  <c r="AZ213" i="1"/>
  <c r="BA213" i="1"/>
  <c r="BB213" i="1"/>
  <c r="BC213" i="1"/>
  <c r="BD213" i="1"/>
  <c r="BE213" i="1"/>
  <c r="BF213" i="1"/>
  <c r="BG213" i="1"/>
  <c r="BH213" i="1"/>
  <c r="BI213" i="1"/>
  <c r="BJ213" i="1"/>
  <c r="BK213" i="1"/>
  <c r="BL213" i="1"/>
  <c r="BM213" i="1"/>
  <c r="BN213" i="1"/>
  <c r="BO213" i="1"/>
  <c r="BP213" i="1"/>
  <c r="BQ213" i="1"/>
  <c r="BR213" i="1"/>
  <c r="BS213" i="1"/>
  <c r="BT213" i="1"/>
  <c r="BU213" i="1"/>
  <c r="BV213" i="1"/>
  <c r="BW213" i="1"/>
  <c r="BX213" i="1"/>
  <c r="BY213" i="1"/>
  <c r="BZ213" i="1"/>
  <c r="CA213" i="1"/>
  <c r="CB213" i="1"/>
  <c r="CC213" i="1"/>
  <c r="CD213" i="1"/>
  <c r="H214" i="1"/>
  <c r="I214" i="1"/>
  <c r="J214" i="1"/>
  <c r="K214" i="1"/>
  <c r="L214" i="1"/>
  <c r="M214" i="1"/>
  <c r="N214" i="1"/>
  <c r="O214" i="1"/>
  <c r="P214" i="1"/>
  <c r="Q214" i="1"/>
  <c r="R214" i="1"/>
  <c r="S214" i="1"/>
  <c r="T214" i="1"/>
  <c r="U214" i="1"/>
  <c r="V214" i="1"/>
  <c r="W214" i="1"/>
  <c r="X214" i="1"/>
  <c r="Y214" i="1"/>
  <c r="Z214" i="1"/>
  <c r="AA214" i="1"/>
  <c r="AB214" i="1"/>
  <c r="AC214" i="1"/>
  <c r="AD214" i="1"/>
  <c r="AE214" i="1"/>
  <c r="AF214" i="1"/>
  <c r="AG214" i="1"/>
  <c r="AH214" i="1"/>
  <c r="AI214" i="1"/>
  <c r="AJ214" i="1"/>
  <c r="AK214" i="1"/>
  <c r="AL214" i="1"/>
  <c r="AM214" i="1"/>
  <c r="AN214" i="1"/>
  <c r="AO214" i="1"/>
  <c r="AP214" i="1"/>
  <c r="AQ214" i="1"/>
  <c r="AR214" i="1"/>
  <c r="AS214" i="1"/>
  <c r="AT214" i="1"/>
  <c r="AU214" i="1"/>
  <c r="AV214" i="1"/>
  <c r="AW214" i="1"/>
  <c r="AX214" i="1"/>
  <c r="AY214" i="1"/>
  <c r="AZ214" i="1"/>
  <c r="BA214" i="1"/>
  <c r="BB214" i="1"/>
  <c r="BC214" i="1"/>
  <c r="BD214" i="1"/>
  <c r="BE214" i="1"/>
  <c r="BF214" i="1"/>
  <c r="BG214" i="1"/>
  <c r="BH214" i="1"/>
  <c r="BI214" i="1"/>
  <c r="BJ214" i="1"/>
  <c r="BK214" i="1"/>
  <c r="BL214" i="1"/>
  <c r="BM214" i="1"/>
  <c r="BN214" i="1"/>
  <c r="BO214" i="1"/>
  <c r="BP214" i="1"/>
  <c r="BQ214" i="1"/>
  <c r="BR214" i="1"/>
  <c r="BS214" i="1"/>
  <c r="BT214" i="1"/>
  <c r="BU214" i="1"/>
  <c r="BV214" i="1"/>
  <c r="BW214" i="1"/>
  <c r="BX214" i="1"/>
  <c r="BY214" i="1"/>
  <c r="BZ214" i="1"/>
  <c r="CA214" i="1"/>
  <c r="CB214" i="1"/>
  <c r="CC214" i="1"/>
  <c r="CD214" i="1"/>
  <c r="H216" i="1"/>
  <c r="I216" i="1"/>
  <c r="J216" i="1"/>
  <c r="K216" i="1"/>
  <c r="L216" i="1"/>
  <c r="M216" i="1"/>
  <c r="N216" i="1"/>
  <c r="O216" i="1"/>
  <c r="P216" i="1"/>
  <c r="Q216" i="1"/>
  <c r="R216" i="1"/>
  <c r="S216" i="1"/>
  <c r="T216" i="1"/>
  <c r="U216" i="1"/>
  <c r="V216" i="1"/>
  <c r="W216" i="1"/>
  <c r="X216" i="1"/>
  <c r="Y216" i="1"/>
  <c r="Z216" i="1"/>
  <c r="AA216" i="1"/>
  <c r="AB216" i="1"/>
  <c r="AC216" i="1"/>
  <c r="AD216" i="1"/>
  <c r="AE216" i="1"/>
  <c r="AF216" i="1"/>
  <c r="AG216" i="1"/>
  <c r="AH216" i="1"/>
  <c r="AI216" i="1"/>
  <c r="AJ216" i="1"/>
  <c r="AK216" i="1"/>
  <c r="AL216" i="1"/>
  <c r="AM216" i="1"/>
  <c r="AN216" i="1"/>
  <c r="AO216" i="1"/>
  <c r="AP216" i="1"/>
  <c r="AQ216" i="1"/>
  <c r="AR216" i="1"/>
  <c r="AS216" i="1"/>
  <c r="AT216" i="1"/>
  <c r="AU216" i="1"/>
  <c r="AV216" i="1"/>
  <c r="AW216" i="1"/>
  <c r="AX216" i="1"/>
  <c r="AY216" i="1"/>
  <c r="AZ216" i="1"/>
  <c r="BA216" i="1"/>
  <c r="BB216" i="1"/>
  <c r="BC216" i="1"/>
  <c r="BD216" i="1"/>
  <c r="BE216" i="1"/>
  <c r="BF216" i="1"/>
  <c r="BG216" i="1"/>
  <c r="BH216" i="1"/>
  <c r="BI216" i="1"/>
  <c r="BJ216" i="1"/>
  <c r="BK216" i="1"/>
  <c r="BL216" i="1"/>
  <c r="BM216" i="1"/>
  <c r="BN216" i="1"/>
  <c r="BO216" i="1"/>
  <c r="BP216" i="1"/>
  <c r="BQ216" i="1"/>
  <c r="BR216" i="1"/>
  <c r="BS216" i="1"/>
  <c r="BT216" i="1"/>
  <c r="BU216" i="1"/>
  <c r="BV216" i="1"/>
  <c r="BW216" i="1"/>
  <c r="BX216" i="1"/>
  <c r="BY216" i="1"/>
  <c r="BZ216" i="1"/>
  <c r="CA216" i="1"/>
  <c r="CB216" i="1"/>
  <c r="CC216" i="1"/>
  <c r="CD216" i="1"/>
  <c r="H219" i="1"/>
  <c r="I219" i="1"/>
  <c r="I218" i="1" s="1"/>
  <c r="J219" i="1"/>
  <c r="K219" i="1"/>
  <c r="L219" i="1"/>
  <c r="M219" i="1"/>
  <c r="N219" i="1"/>
  <c r="O219" i="1"/>
  <c r="P219" i="1"/>
  <c r="Q219" i="1"/>
  <c r="R219" i="1"/>
  <c r="S219" i="1"/>
  <c r="T219" i="1"/>
  <c r="U219" i="1"/>
  <c r="V219" i="1"/>
  <c r="W219" i="1"/>
  <c r="W218" i="1" s="1"/>
  <c r="X219" i="1"/>
  <c r="Y219" i="1"/>
  <c r="Z219" i="1"/>
  <c r="AA219" i="1"/>
  <c r="AB219" i="1"/>
  <c r="AC219" i="1"/>
  <c r="AD219" i="1"/>
  <c r="AE219" i="1"/>
  <c r="AF219" i="1"/>
  <c r="AG219" i="1"/>
  <c r="AH219" i="1"/>
  <c r="AI219" i="1"/>
  <c r="AJ219" i="1"/>
  <c r="AK219" i="1"/>
  <c r="AK218" i="1" s="1"/>
  <c r="AL219" i="1"/>
  <c r="AM219" i="1"/>
  <c r="AN219" i="1"/>
  <c r="AO219" i="1"/>
  <c r="AP219" i="1"/>
  <c r="AQ219" i="1"/>
  <c r="AR219" i="1"/>
  <c r="AS219" i="1"/>
  <c r="AT219" i="1"/>
  <c r="AU219" i="1"/>
  <c r="AV219" i="1"/>
  <c r="AW219" i="1"/>
  <c r="AX219" i="1"/>
  <c r="AY219" i="1"/>
  <c r="AY218" i="1" s="1"/>
  <c r="AZ219" i="1"/>
  <c r="BA219" i="1"/>
  <c r="BB219" i="1"/>
  <c r="BC219" i="1"/>
  <c r="BD219" i="1"/>
  <c r="BE219" i="1"/>
  <c r="BF219" i="1"/>
  <c r="BG219" i="1"/>
  <c r="BH219" i="1"/>
  <c r="BI219" i="1"/>
  <c r="BJ219" i="1"/>
  <c r="BK219" i="1"/>
  <c r="BL219" i="1"/>
  <c r="BM219" i="1"/>
  <c r="BM218" i="1" s="1"/>
  <c r="BN219" i="1"/>
  <c r="BO219" i="1"/>
  <c r="BP219" i="1"/>
  <c r="BQ219" i="1"/>
  <c r="BR219" i="1"/>
  <c r="BS219" i="1"/>
  <c r="BT219" i="1"/>
  <c r="BU219" i="1"/>
  <c r="BV219" i="1"/>
  <c r="BW219" i="1"/>
  <c r="BX219" i="1"/>
  <c r="BY219" i="1"/>
  <c r="BZ219" i="1"/>
  <c r="CA219" i="1"/>
  <c r="CA218" i="1" s="1"/>
  <c r="CB219" i="1"/>
  <c r="CC219" i="1"/>
  <c r="CD219" i="1"/>
  <c r="H220" i="1"/>
  <c r="I220" i="1"/>
  <c r="J220" i="1"/>
  <c r="K220" i="1"/>
  <c r="L220" i="1"/>
  <c r="M220" i="1"/>
  <c r="N220" i="1"/>
  <c r="O220" i="1"/>
  <c r="P220" i="1"/>
  <c r="Q220" i="1"/>
  <c r="R220" i="1"/>
  <c r="S220" i="1"/>
  <c r="T220" i="1"/>
  <c r="U220" i="1"/>
  <c r="V220" i="1"/>
  <c r="W220" i="1"/>
  <c r="X220" i="1"/>
  <c r="Y220" i="1"/>
  <c r="Z220" i="1"/>
  <c r="AA220" i="1"/>
  <c r="AB220" i="1"/>
  <c r="AC220" i="1"/>
  <c r="AD220" i="1"/>
  <c r="AE220" i="1"/>
  <c r="AF220" i="1"/>
  <c r="AG220" i="1"/>
  <c r="AH220" i="1"/>
  <c r="AI220" i="1"/>
  <c r="AJ220" i="1"/>
  <c r="AK220" i="1"/>
  <c r="AL220" i="1"/>
  <c r="AM220" i="1"/>
  <c r="AN220" i="1"/>
  <c r="AO220" i="1"/>
  <c r="AP220" i="1"/>
  <c r="AQ220" i="1"/>
  <c r="AR220" i="1"/>
  <c r="AS220" i="1"/>
  <c r="AT220" i="1"/>
  <c r="AU220" i="1"/>
  <c r="AV220" i="1"/>
  <c r="AW220" i="1"/>
  <c r="AX220" i="1"/>
  <c r="AY220" i="1"/>
  <c r="AZ220" i="1"/>
  <c r="BA220" i="1"/>
  <c r="BB220" i="1"/>
  <c r="BC220" i="1"/>
  <c r="BD220" i="1"/>
  <c r="BE220" i="1"/>
  <c r="BF220" i="1"/>
  <c r="BG220" i="1"/>
  <c r="BH220" i="1"/>
  <c r="BI220" i="1"/>
  <c r="BJ220" i="1"/>
  <c r="BK220" i="1"/>
  <c r="BL220" i="1"/>
  <c r="BM220" i="1"/>
  <c r="BN220" i="1"/>
  <c r="BO220" i="1"/>
  <c r="BP220" i="1"/>
  <c r="BQ220" i="1"/>
  <c r="BR220" i="1"/>
  <c r="BS220" i="1"/>
  <c r="BT220" i="1"/>
  <c r="BU220" i="1"/>
  <c r="BV220" i="1"/>
  <c r="BW220" i="1"/>
  <c r="BX220" i="1"/>
  <c r="BY220" i="1"/>
  <c r="BZ220" i="1"/>
  <c r="CA220" i="1"/>
  <c r="CB220" i="1"/>
  <c r="CC220" i="1"/>
  <c r="CD220" i="1"/>
  <c r="H222" i="1"/>
  <c r="I222" i="1"/>
  <c r="J222" i="1"/>
  <c r="K222" i="1"/>
  <c r="L222" i="1"/>
  <c r="M222" i="1"/>
  <c r="N222" i="1"/>
  <c r="O222" i="1"/>
  <c r="P222" i="1"/>
  <c r="Q222" i="1"/>
  <c r="R222" i="1"/>
  <c r="S222" i="1"/>
  <c r="T222" i="1"/>
  <c r="U222" i="1"/>
  <c r="V222" i="1"/>
  <c r="W222" i="1"/>
  <c r="X222" i="1"/>
  <c r="Y222" i="1"/>
  <c r="Z222" i="1"/>
  <c r="AA222" i="1"/>
  <c r="AB222" i="1"/>
  <c r="AC222" i="1"/>
  <c r="AD222" i="1"/>
  <c r="AE222" i="1"/>
  <c r="AF222" i="1"/>
  <c r="AG222" i="1"/>
  <c r="AH222" i="1"/>
  <c r="AI222" i="1"/>
  <c r="AJ222" i="1"/>
  <c r="AK222" i="1"/>
  <c r="AL222" i="1"/>
  <c r="AM222" i="1"/>
  <c r="AN222" i="1"/>
  <c r="AO222" i="1"/>
  <c r="AP222" i="1"/>
  <c r="AQ222" i="1"/>
  <c r="AR222" i="1"/>
  <c r="AS222" i="1"/>
  <c r="AT222" i="1"/>
  <c r="AU222" i="1"/>
  <c r="AV222" i="1"/>
  <c r="AW222" i="1"/>
  <c r="AX222" i="1"/>
  <c r="AY222" i="1"/>
  <c r="AZ222" i="1"/>
  <c r="BA222" i="1"/>
  <c r="BB222" i="1"/>
  <c r="BC222" i="1"/>
  <c r="BD222" i="1"/>
  <c r="BE222" i="1"/>
  <c r="BF222" i="1"/>
  <c r="BG222" i="1"/>
  <c r="BH222" i="1"/>
  <c r="BI222" i="1"/>
  <c r="BJ222" i="1"/>
  <c r="BK222" i="1"/>
  <c r="BL222" i="1"/>
  <c r="BM222" i="1"/>
  <c r="BN222" i="1"/>
  <c r="BO222" i="1"/>
  <c r="BP222" i="1"/>
  <c r="BQ222" i="1"/>
  <c r="BR222" i="1"/>
  <c r="BS222" i="1"/>
  <c r="BT222" i="1"/>
  <c r="BU222" i="1"/>
  <c r="BV222" i="1"/>
  <c r="BW222" i="1"/>
  <c r="BX222" i="1"/>
  <c r="BY222" i="1"/>
  <c r="BZ222" i="1"/>
  <c r="CA222" i="1"/>
  <c r="CB222" i="1"/>
  <c r="CC222" i="1"/>
  <c r="CD222" i="1"/>
  <c r="H223" i="1"/>
  <c r="I223" i="1"/>
  <c r="J223" i="1"/>
  <c r="K223" i="1"/>
  <c r="L223" i="1"/>
  <c r="M223" i="1"/>
  <c r="N223" i="1"/>
  <c r="O223" i="1"/>
  <c r="P223" i="1"/>
  <c r="Q223" i="1"/>
  <c r="R223" i="1"/>
  <c r="S223" i="1"/>
  <c r="T223" i="1"/>
  <c r="U223" i="1"/>
  <c r="V223" i="1"/>
  <c r="W223" i="1"/>
  <c r="X223" i="1"/>
  <c r="Y223" i="1"/>
  <c r="Z223" i="1"/>
  <c r="AA223" i="1"/>
  <c r="AB223" i="1"/>
  <c r="AC223" i="1"/>
  <c r="AD223" i="1"/>
  <c r="AE223" i="1"/>
  <c r="AF223" i="1"/>
  <c r="AG223" i="1"/>
  <c r="AH223" i="1"/>
  <c r="AI223" i="1"/>
  <c r="AJ223" i="1"/>
  <c r="AK223" i="1"/>
  <c r="AL223" i="1"/>
  <c r="AM223" i="1"/>
  <c r="AN223" i="1"/>
  <c r="AO223" i="1"/>
  <c r="AP223" i="1"/>
  <c r="AQ223" i="1"/>
  <c r="AR223" i="1"/>
  <c r="AS223" i="1"/>
  <c r="AT223" i="1"/>
  <c r="AU223" i="1"/>
  <c r="AV223" i="1"/>
  <c r="AW223" i="1"/>
  <c r="AX223" i="1"/>
  <c r="AY223" i="1"/>
  <c r="AZ223" i="1"/>
  <c r="BA223" i="1"/>
  <c r="BB223" i="1"/>
  <c r="BC223" i="1"/>
  <c r="BD223" i="1"/>
  <c r="BE223" i="1"/>
  <c r="BF223" i="1"/>
  <c r="BG223" i="1"/>
  <c r="BH223" i="1"/>
  <c r="BI223" i="1"/>
  <c r="BJ223" i="1"/>
  <c r="BK223" i="1"/>
  <c r="BL223" i="1"/>
  <c r="BM223" i="1"/>
  <c r="BN223" i="1"/>
  <c r="BO223" i="1"/>
  <c r="BP223" i="1"/>
  <c r="BQ223" i="1"/>
  <c r="BR223" i="1"/>
  <c r="BS223" i="1"/>
  <c r="BT223" i="1"/>
  <c r="BU223" i="1"/>
  <c r="BV223" i="1"/>
  <c r="BW223" i="1"/>
  <c r="BX223" i="1"/>
  <c r="BY223" i="1"/>
  <c r="BZ223" i="1"/>
  <c r="CA223" i="1"/>
  <c r="CB223" i="1"/>
  <c r="CC223" i="1"/>
  <c r="CD223" i="1"/>
  <c r="H224" i="1"/>
  <c r="I224" i="1"/>
  <c r="J224" i="1"/>
  <c r="K224" i="1"/>
  <c r="L224" i="1"/>
  <c r="M224" i="1"/>
  <c r="N224" i="1"/>
  <c r="O224" i="1"/>
  <c r="P224" i="1"/>
  <c r="Q224" i="1"/>
  <c r="R224" i="1"/>
  <c r="S224" i="1"/>
  <c r="T224" i="1"/>
  <c r="U224" i="1"/>
  <c r="V224" i="1"/>
  <c r="W224" i="1"/>
  <c r="X224" i="1"/>
  <c r="Y224" i="1"/>
  <c r="Z224" i="1"/>
  <c r="AA224" i="1"/>
  <c r="AB224" i="1"/>
  <c r="AC224" i="1"/>
  <c r="AD224" i="1"/>
  <c r="AE224" i="1"/>
  <c r="AF224" i="1"/>
  <c r="AG224" i="1"/>
  <c r="AH224" i="1"/>
  <c r="AI224" i="1"/>
  <c r="AJ224" i="1"/>
  <c r="AK224" i="1"/>
  <c r="AL224" i="1"/>
  <c r="AM224" i="1"/>
  <c r="AN224" i="1"/>
  <c r="AO224" i="1"/>
  <c r="AP224" i="1"/>
  <c r="AQ224" i="1"/>
  <c r="AR224" i="1"/>
  <c r="AS224" i="1"/>
  <c r="AT224" i="1"/>
  <c r="AU224" i="1"/>
  <c r="AV224" i="1"/>
  <c r="AW224" i="1"/>
  <c r="AX224" i="1"/>
  <c r="AY224" i="1"/>
  <c r="AZ224" i="1"/>
  <c r="BA224" i="1"/>
  <c r="BB224" i="1"/>
  <c r="BC224" i="1"/>
  <c r="BD224" i="1"/>
  <c r="BE224" i="1"/>
  <c r="BF224" i="1"/>
  <c r="BG224" i="1"/>
  <c r="BH224" i="1"/>
  <c r="BI224" i="1"/>
  <c r="BJ224" i="1"/>
  <c r="BK224" i="1"/>
  <c r="BL224" i="1"/>
  <c r="BM224" i="1"/>
  <c r="BN224" i="1"/>
  <c r="BO224" i="1"/>
  <c r="BP224" i="1"/>
  <c r="BQ224" i="1"/>
  <c r="BR224" i="1"/>
  <c r="BS224" i="1"/>
  <c r="BT224" i="1"/>
  <c r="BU224" i="1"/>
  <c r="BV224" i="1"/>
  <c r="BW224" i="1"/>
  <c r="BX224" i="1"/>
  <c r="BY224" i="1"/>
  <c r="BZ224" i="1"/>
  <c r="CA224" i="1"/>
  <c r="CB224" i="1"/>
  <c r="CC224" i="1"/>
  <c r="CD224" i="1"/>
  <c r="H226" i="1"/>
  <c r="I226" i="1"/>
  <c r="J226" i="1"/>
  <c r="K226" i="1"/>
  <c r="L226" i="1"/>
  <c r="M226" i="1"/>
  <c r="N226" i="1"/>
  <c r="O226" i="1"/>
  <c r="P226" i="1"/>
  <c r="Q226" i="1"/>
  <c r="R226" i="1"/>
  <c r="S226" i="1"/>
  <c r="T226" i="1"/>
  <c r="U226" i="1"/>
  <c r="V226" i="1"/>
  <c r="W226" i="1"/>
  <c r="X226" i="1"/>
  <c r="Y226" i="1"/>
  <c r="Z226" i="1"/>
  <c r="AA226" i="1"/>
  <c r="AB226" i="1"/>
  <c r="AC226" i="1"/>
  <c r="AD226" i="1"/>
  <c r="AE226" i="1"/>
  <c r="AF226" i="1"/>
  <c r="AG226" i="1"/>
  <c r="AH226" i="1"/>
  <c r="AI226" i="1"/>
  <c r="AJ226" i="1"/>
  <c r="AK226" i="1"/>
  <c r="AL226" i="1"/>
  <c r="AM226" i="1"/>
  <c r="AN226" i="1"/>
  <c r="AO226" i="1"/>
  <c r="AP226" i="1"/>
  <c r="AQ226" i="1"/>
  <c r="AR226" i="1"/>
  <c r="AS226" i="1"/>
  <c r="AT226" i="1"/>
  <c r="AU226" i="1"/>
  <c r="AV226" i="1"/>
  <c r="AW226" i="1"/>
  <c r="AX226" i="1"/>
  <c r="AY226" i="1"/>
  <c r="AZ226" i="1"/>
  <c r="BA226" i="1"/>
  <c r="BB226" i="1"/>
  <c r="BC226" i="1"/>
  <c r="BD226" i="1"/>
  <c r="BE226" i="1"/>
  <c r="BF226" i="1"/>
  <c r="BG226" i="1"/>
  <c r="BH226" i="1"/>
  <c r="BI226" i="1"/>
  <c r="BJ226" i="1"/>
  <c r="BK226" i="1"/>
  <c r="BL226" i="1"/>
  <c r="BM226" i="1"/>
  <c r="BN226" i="1"/>
  <c r="BO226" i="1"/>
  <c r="BP226" i="1"/>
  <c r="BQ226" i="1"/>
  <c r="BR226" i="1"/>
  <c r="BS226" i="1"/>
  <c r="BT226" i="1"/>
  <c r="BU226" i="1"/>
  <c r="BV226" i="1"/>
  <c r="BW226" i="1"/>
  <c r="BX226" i="1"/>
  <c r="BY226" i="1"/>
  <c r="BZ226" i="1"/>
  <c r="CA226" i="1"/>
  <c r="CB226" i="1"/>
  <c r="CC226" i="1"/>
  <c r="CD226" i="1"/>
  <c r="H227" i="1"/>
  <c r="I227" i="1"/>
  <c r="J227" i="1"/>
  <c r="K227" i="1"/>
  <c r="L227" i="1"/>
  <c r="M227" i="1"/>
  <c r="N227" i="1"/>
  <c r="O227" i="1"/>
  <c r="P227" i="1"/>
  <c r="Q227" i="1"/>
  <c r="R227" i="1"/>
  <c r="S227" i="1"/>
  <c r="T227" i="1"/>
  <c r="U227" i="1"/>
  <c r="V227" i="1"/>
  <c r="W227" i="1"/>
  <c r="X227" i="1"/>
  <c r="Y227" i="1"/>
  <c r="Z227" i="1"/>
  <c r="AA227" i="1"/>
  <c r="AB227" i="1"/>
  <c r="AC227" i="1"/>
  <c r="AD227" i="1"/>
  <c r="AE227" i="1"/>
  <c r="AF227" i="1"/>
  <c r="AG227" i="1"/>
  <c r="AH227" i="1"/>
  <c r="AI227" i="1"/>
  <c r="AJ227" i="1"/>
  <c r="AK227" i="1"/>
  <c r="AL227" i="1"/>
  <c r="AM227" i="1"/>
  <c r="AN227" i="1"/>
  <c r="AO227" i="1"/>
  <c r="AP227" i="1"/>
  <c r="AQ227" i="1"/>
  <c r="AR227" i="1"/>
  <c r="AS227" i="1"/>
  <c r="AT227" i="1"/>
  <c r="AU227" i="1"/>
  <c r="AV227" i="1"/>
  <c r="AW227" i="1"/>
  <c r="AX227" i="1"/>
  <c r="AY227" i="1"/>
  <c r="AZ227" i="1"/>
  <c r="BA227" i="1"/>
  <c r="BB227" i="1"/>
  <c r="BC227" i="1"/>
  <c r="BD227" i="1"/>
  <c r="BE227" i="1"/>
  <c r="BF227" i="1"/>
  <c r="BG227" i="1"/>
  <c r="BH227" i="1"/>
  <c r="BI227" i="1"/>
  <c r="BJ227" i="1"/>
  <c r="BK227" i="1"/>
  <c r="BL227" i="1"/>
  <c r="BM227" i="1"/>
  <c r="BN227" i="1"/>
  <c r="BO227" i="1"/>
  <c r="BP227" i="1"/>
  <c r="BQ227" i="1"/>
  <c r="BR227" i="1"/>
  <c r="BS227" i="1"/>
  <c r="BT227" i="1"/>
  <c r="BU227" i="1"/>
  <c r="BV227" i="1"/>
  <c r="BW227" i="1"/>
  <c r="BX227" i="1"/>
  <c r="BY227" i="1"/>
  <c r="BZ227" i="1"/>
  <c r="CA227" i="1"/>
  <c r="CB227" i="1"/>
  <c r="CC227" i="1"/>
  <c r="CD227" i="1"/>
  <c r="H228" i="1"/>
  <c r="I228" i="1"/>
  <c r="J228" i="1"/>
  <c r="K228" i="1"/>
  <c r="L228" i="1"/>
  <c r="M228" i="1"/>
  <c r="N228" i="1"/>
  <c r="O228" i="1"/>
  <c r="P228" i="1"/>
  <c r="Q228" i="1"/>
  <c r="R228" i="1"/>
  <c r="S228" i="1"/>
  <c r="T228" i="1"/>
  <c r="U228" i="1"/>
  <c r="V228" i="1"/>
  <c r="W228" i="1"/>
  <c r="X228" i="1"/>
  <c r="Y228" i="1"/>
  <c r="Z228" i="1"/>
  <c r="AA228" i="1"/>
  <c r="AB228" i="1"/>
  <c r="AC228" i="1"/>
  <c r="AD228" i="1"/>
  <c r="AE228" i="1"/>
  <c r="AF228" i="1"/>
  <c r="AG228" i="1"/>
  <c r="AH228" i="1"/>
  <c r="AI228" i="1"/>
  <c r="AJ228" i="1"/>
  <c r="AK228" i="1"/>
  <c r="AL228" i="1"/>
  <c r="AM228" i="1"/>
  <c r="AN228" i="1"/>
  <c r="AO228" i="1"/>
  <c r="AP228" i="1"/>
  <c r="AQ228" i="1"/>
  <c r="AR228" i="1"/>
  <c r="AS228" i="1"/>
  <c r="AT228" i="1"/>
  <c r="AU228" i="1"/>
  <c r="AV228" i="1"/>
  <c r="AW228" i="1"/>
  <c r="AX228" i="1"/>
  <c r="AY228" i="1"/>
  <c r="AZ228" i="1"/>
  <c r="BA228" i="1"/>
  <c r="BB228" i="1"/>
  <c r="BC228" i="1"/>
  <c r="BD228" i="1"/>
  <c r="BE228" i="1"/>
  <c r="BF228" i="1"/>
  <c r="BG228" i="1"/>
  <c r="BH228" i="1"/>
  <c r="BI228" i="1"/>
  <c r="BJ228" i="1"/>
  <c r="BK228" i="1"/>
  <c r="BL228" i="1"/>
  <c r="BM228" i="1"/>
  <c r="BN228" i="1"/>
  <c r="BO228" i="1"/>
  <c r="BP228" i="1"/>
  <c r="BQ228" i="1"/>
  <c r="BR228" i="1"/>
  <c r="BS228" i="1"/>
  <c r="BT228" i="1"/>
  <c r="BU228" i="1"/>
  <c r="BV228" i="1"/>
  <c r="BW228" i="1"/>
  <c r="BX228" i="1"/>
  <c r="BY228" i="1"/>
  <c r="BZ228" i="1"/>
  <c r="CA228" i="1"/>
  <c r="CB228" i="1"/>
  <c r="CC228" i="1"/>
  <c r="CD228" i="1"/>
  <c r="H230" i="1"/>
  <c r="I230" i="1"/>
  <c r="J230" i="1"/>
  <c r="K230" i="1"/>
  <c r="K229" i="1" s="1"/>
  <c r="L230" i="1"/>
  <c r="M230" i="1"/>
  <c r="N230" i="1"/>
  <c r="O230" i="1"/>
  <c r="P230" i="1"/>
  <c r="Q230" i="1"/>
  <c r="R230" i="1"/>
  <c r="S230" i="1"/>
  <c r="T230" i="1"/>
  <c r="U230" i="1"/>
  <c r="V230" i="1"/>
  <c r="W230" i="1"/>
  <c r="X230" i="1"/>
  <c r="Y230" i="1"/>
  <c r="Y229" i="1" s="1"/>
  <c r="Z230" i="1"/>
  <c r="AA230" i="1"/>
  <c r="AB230" i="1"/>
  <c r="AC230" i="1"/>
  <c r="AD230" i="1"/>
  <c r="AE230" i="1"/>
  <c r="AF230" i="1"/>
  <c r="AG230" i="1"/>
  <c r="AH230" i="1"/>
  <c r="AI230" i="1"/>
  <c r="AJ230" i="1"/>
  <c r="AK230" i="1"/>
  <c r="AL230" i="1"/>
  <c r="AM230" i="1"/>
  <c r="AM229" i="1" s="1"/>
  <c r="AN230" i="1"/>
  <c r="AO230" i="1"/>
  <c r="AP230" i="1"/>
  <c r="AQ230" i="1"/>
  <c r="AR230" i="1"/>
  <c r="AS230" i="1"/>
  <c r="AT230" i="1"/>
  <c r="AU230" i="1"/>
  <c r="AV230" i="1"/>
  <c r="AW230" i="1"/>
  <c r="AX230" i="1"/>
  <c r="AY230" i="1"/>
  <c r="AZ230" i="1"/>
  <c r="BA230" i="1"/>
  <c r="BA229" i="1" s="1"/>
  <c r="BB230" i="1"/>
  <c r="BC230" i="1"/>
  <c r="BD230" i="1"/>
  <c r="BE230" i="1"/>
  <c r="BF230" i="1"/>
  <c r="BG230" i="1"/>
  <c r="BH230" i="1"/>
  <c r="BI230" i="1"/>
  <c r="BJ230" i="1"/>
  <c r="BK230" i="1"/>
  <c r="BL230" i="1"/>
  <c r="BM230" i="1"/>
  <c r="BN230" i="1"/>
  <c r="BO230" i="1"/>
  <c r="BO229" i="1" s="1"/>
  <c r="BP230" i="1"/>
  <c r="BQ230" i="1"/>
  <c r="BR230" i="1"/>
  <c r="BS230" i="1"/>
  <c r="BT230" i="1"/>
  <c r="BU230" i="1"/>
  <c r="BV230" i="1"/>
  <c r="BW230" i="1"/>
  <c r="BX230" i="1"/>
  <c r="BY230" i="1"/>
  <c r="BZ230" i="1"/>
  <c r="CA230" i="1"/>
  <c r="CB230" i="1"/>
  <c r="CC230" i="1"/>
  <c r="CC229" i="1" s="1"/>
  <c r="CD230" i="1"/>
  <c r="H231" i="1"/>
  <c r="I231" i="1"/>
  <c r="J231" i="1"/>
  <c r="K231" i="1"/>
  <c r="L231" i="1"/>
  <c r="M231" i="1"/>
  <c r="N231" i="1"/>
  <c r="O231" i="1"/>
  <c r="P231" i="1"/>
  <c r="Q231" i="1"/>
  <c r="R231" i="1"/>
  <c r="S231" i="1"/>
  <c r="T231" i="1"/>
  <c r="U231" i="1"/>
  <c r="V231" i="1"/>
  <c r="W231" i="1"/>
  <c r="X231" i="1"/>
  <c r="Y231" i="1"/>
  <c r="Z231" i="1"/>
  <c r="AA231" i="1"/>
  <c r="AB231" i="1"/>
  <c r="AC231" i="1"/>
  <c r="AD231" i="1"/>
  <c r="AE231" i="1"/>
  <c r="AF231" i="1"/>
  <c r="AG231" i="1"/>
  <c r="AH231" i="1"/>
  <c r="AI231" i="1"/>
  <c r="AJ231" i="1"/>
  <c r="AK231" i="1"/>
  <c r="AL231" i="1"/>
  <c r="AM231" i="1"/>
  <c r="AN231" i="1"/>
  <c r="AO231" i="1"/>
  <c r="AP231" i="1"/>
  <c r="AQ231" i="1"/>
  <c r="AR231" i="1"/>
  <c r="AS231" i="1"/>
  <c r="AT231" i="1"/>
  <c r="AU231" i="1"/>
  <c r="AV231" i="1"/>
  <c r="AW231" i="1"/>
  <c r="AX231" i="1"/>
  <c r="AY231" i="1"/>
  <c r="AZ231" i="1"/>
  <c r="BA231" i="1"/>
  <c r="BB231" i="1"/>
  <c r="BC231" i="1"/>
  <c r="BD231" i="1"/>
  <c r="BE231" i="1"/>
  <c r="BF231" i="1"/>
  <c r="BG231" i="1"/>
  <c r="BH231" i="1"/>
  <c r="BI231" i="1"/>
  <c r="BJ231" i="1"/>
  <c r="BK231" i="1"/>
  <c r="BL231" i="1"/>
  <c r="BM231" i="1"/>
  <c r="BN231" i="1"/>
  <c r="BO231" i="1"/>
  <c r="BP231" i="1"/>
  <c r="BQ231" i="1"/>
  <c r="BR231" i="1"/>
  <c r="BS231" i="1"/>
  <c r="BT231" i="1"/>
  <c r="BU231" i="1"/>
  <c r="BV231" i="1"/>
  <c r="BW231" i="1"/>
  <c r="BX231" i="1"/>
  <c r="BY231" i="1"/>
  <c r="BZ231" i="1"/>
  <c r="CA231" i="1"/>
  <c r="CB231" i="1"/>
  <c r="CC231" i="1"/>
  <c r="CD231" i="1"/>
  <c r="G216" i="1"/>
  <c r="G219" i="1"/>
  <c r="G220" i="1"/>
  <c r="G222" i="1"/>
  <c r="G223" i="1"/>
  <c r="G224" i="1"/>
  <c r="G226" i="1"/>
  <c r="G227" i="1"/>
  <c r="G228" i="1"/>
  <c r="G230" i="1"/>
  <c r="G231" i="1"/>
  <c r="G21" i="1"/>
  <c r="G22" i="1"/>
  <c r="G23" i="1"/>
  <c r="G24" i="1"/>
  <c r="G25" i="1"/>
  <c r="G26" i="1"/>
  <c r="G27" i="1"/>
  <c r="G28" i="1"/>
  <c r="G29" i="1"/>
  <c r="G30" i="1"/>
  <c r="G31" i="1"/>
  <c r="G32" i="1"/>
  <c r="G33" i="1"/>
  <c r="G34" i="1"/>
  <c r="G35" i="1"/>
  <c r="G36" i="1"/>
  <c r="G37" i="1"/>
  <c r="G38" i="1"/>
  <c r="G39" i="1"/>
  <c r="G40" i="1"/>
  <c r="G41" i="1"/>
  <c r="G42" i="1"/>
  <c r="G43" i="1"/>
  <c r="G44" i="1"/>
  <c r="G45" i="1"/>
  <c r="G46" i="1"/>
  <c r="G49" i="1"/>
  <c r="G50" i="1"/>
  <c r="G52" i="1"/>
  <c r="G53" i="1"/>
  <c r="G54" i="1"/>
  <c r="G55" i="1"/>
  <c r="G56" i="1"/>
  <c r="G57" i="1"/>
  <c r="G58" i="1"/>
  <c r="G59" i="1"/>
  <c r="G60" i="1"/>
  <c r="G61" i="1"/>
  <c r="G62" i="1"/>
  <c r="G63" i="1"/>
  <c r="G64" i="1"/>
  <c r="G65" i="1"/>
  <c r="G66" i="1"/>
  <c r="G67" i="1"/>
  <c r="G68" i="1"/>
  <c r="G69" i="1"/>
  <c r="G71" i="1"/>
  <c r="G72" i="1"/>
  <c r="G73" i="1"/>
  <c r="G74" i="1"/>
  <c r="G75" i="1"/>
  <c r="G76" i="1"/>
  <c r="G77" i="1"/>
  <c r="G78" i="1"/>
  <c r="G79" i="1"/>
  <c r="G81" i="1"/>
  <c r="G82" i="1"/>
  <c r="G83" i="1"/>
  <c r="G86" i="1"/>
  <c r="G87" i="1"/>
  <c r="G88" i="1"/>
  <c r="G90" i="1"/>
  <c r="G91" i="1"/>
  <c r="G92" i="1"/>
  <c r="G93" i="1"/>
  <c r="G94" i="1"/>
  <c r="G95" i="1"/>
  <c r="G102" i="1"/>
  <c r="G103" i="1"/>
  <c r="G104" i="1"/>
  <c r="G106" i="1"/>
  <c r="G107" i="1"/>
  <c r="G108" i="1"/>
  <c r="G109" i="1"/>
  <c r="G110" i="1"/>
  <c r="G111" i="1"/>
  <c r="G112" i="1"/>
  <c r="G114" i="1"/>
  <c r="G115" i="1"/>
  <c r="G116" i="1"/>
  <c r="G117" i="1"/>
  <c r="G119" i="1"/>
  <c r="G120" i="1"/>
  <c r="G121" i="1"/>
  <c r="G123" i="1"/>
  <c r="G124" i="1"/>
  <c r="G125" i="1"/>
  <c r="G126" i="1"/>
  <c r="G128" i="1"/>
  <c r="G129" i="1"/>
  <c r="G130" i="1"/>
  <c r="G132" i="1"/>
  <c r="G133" i="1"/>
  <c r="G134" i="1"/>
  <c r="G136" i="1"/>
  <c r="G137" i="1"/>
  <c r="G138" i="1"/>
  <c r="G143" i="1"/>
  <c r="G144" i="1"/>
  <c r="G145" i="1"/>
  <c r="G146" i="1"/>
  <c r="G147" i="1"/>
  <c r="G148" i="1"/>
  <c r="G149" i="1"/>
  <c r="G150" i="1"/>
  <c r="G151" i="1"/>
  <c r="G153" i="1"/>
  <c r="G154" i="1"/>
  <c r="G158" i="1"/>
  <c r="G163" i="1"/>
  <c r="G165" i="1"/>
  <c r="G171" i="1"/>
  <c r="G173" i="1"/>
  <c r="G188" i="1"/>
  <c r="G185" i="1" s="1"/>
  <c r="G198" i="1"/>
  <c r="G197" i="1" s="1"/>
  <c r="G193" i="1" s="1"/>
  <c r="G206" i="1"/>
  <c r="G205" i="1" s="1"/>
  <c r="G207" i="1"/>
  <c r="G208" i="1"/>
  <c r="G209" i="1"/>
  <c r="G210" i="1"/>
  <c r="G211" i="1"/>
  <c r="G212" i="1"/>
  <c r="G214" i="1"/>
  <c r="BZ135" i="1" l="1"/>
  <c r="BL135" i="1"/>
  <c r="AX135" i="1"/>
  <c r="AJ135" i="1"/>
  <c r="V135" i="1"/>
  <c r="H135" i="1"/>
  <c r="CA131" i="1"/>
  <c r="BM131" i="1"/>
  <c r="AY131" i="1"/>
  <c r="AK131" i="1"/>
  <c r="W131" i="1"/>
  <c r="I131" i="1"/>
  <c r="CB127" i="1"/>
  <c r="BN127" i="1"/>
  <c r="AZ127" i="1"/>
  <c r="AL127" i="1"/>
  <c r="X127" i="1"/>
  <c r="J127" i="1"/>
  <c r="BU118" i="1"/>
  <c r="BG118" i="1"/>
  <c r="AS118" i="1"/>
  <c r="AE118" i="1"/>
  <c r="Q118" i="1"/>
  <c r="BU101" i="1"/>
  <c r="BG101" i="1"/>
  <c r="AS101" i="1"/>
  <c r="AE101" i="1"/>
  <c r="Q101" i="1"/>
  <c r="CB135" i="1"/>
  <c r="BN135" i="1"/>
  <c r="AZ135" i="1"/>
  <c r="AL135" i="1"/>
  <c r="X135" i="1"/>
  <c r="J135" i="1"/>
  <c r="CC131" i="1"/>
  <c r="BO131" i="1"/>
  <c r="BA131" i="1"/>
  <c r="AM131" i="1"/>
  <c r="Y131" i="1"/>
  <c r="K131" i="1"/>
  <c r="CD127" i="1"/>
  <c r="BP127" i="1"/>
  <c r="BB127" i="1"/>
  <c r="AN127" i="1"/>
  <c r="Z127" i="1"/>
  <c r="L127" i="1"/>
  <c r="BW118" i="1"/>
  <c r="BI118" i="1"/>
  <c r="AU118" i="1"/>
  <c r="AG118" i="1"/>
  <c r="S118" i="1"/>
  <c r="AR122" i="1"/>
  <c r="AK113" i="1"/>
  <c r="BT105" i="1"/>
  <c r="BF105" i="1"/>
  <c r="AR105" i="1"/>
  <c r="AD105" i="1"/>
  <c r="P105" i="1"/>
  <c r="BT122" i="1"/>
  <c r="AD122" i="1"/>
  <c r="BM113" i="1"/>
  <c r="W113" i="1"/>
  <c r="BP225" i="1"/>
  <c r="Z225" i="1"/>
  <c r="BC221" i="1"/>
  <c r="BF122" i="1"/>
  <c r="P122" i="1"/>
  <c r="CA113" i="1"/>
  <c r="AY113" i="1"/>
  <c r="I113" i="1"/>
  <c r="CD225" i="1"/>
  <c r="BB225" i="1"/>
  <c r="AN225" i="1"/>
  <c r="L225" i="1"/>
  <c r="BQ221" i="1"/>
  <c r="AO221" i="1"/>
  <c r="AA221" i="1"/>
  <c r="M221" i="1"/>
  <c r="G131" i="1"/>
  <c r="BR135" i="1"/>
  <c r="BD135" i="1"/>
  <c r="AP135" i="1"/>
  <c r="AB135" i="1"/>
  <c r="N135" i="1"/>
  <c r="BS131" i="1"/>
  <c r="BE131" i="1"/>
  <c r="AQ131" i="1"/>
  <c r="AC131" i="1"/>
  <c r="O131" i="1"/>
  <c r="BT127" i="1"/>
  <c r="BF127" i="1"/>
  <c r="AR127" i="1"/>
  <c r="AD127" i="1"/>
  <c r="P127" i="1"/>
  <c r="BZ122" i="1"/>
  <c r="BL122" i="1"/>
  <c r="AX122" i="1"/>
  <c r="AJ122" i="1"/>
  <c r="V122" i="1"/>
  <c r="H122" i="1"/>
  <c r="CA118" i="1"/>
  <c r="BM118" i="1"/>
  <c r="AY118" i="1"/>
  <c r="AK118" i="1"/>
  <c r="W118" i="1"/>
  <c r="I118" i="1"/>
  <c r="BS113" i="1"/>
  <c r="BE113" i="1"/>
  <c r="AQ113" i="1"/>
  <c r="AC113" i="1"/>
  <c r="O113" i="1"/>
  <c r="BZ105" i="1"/>
  <c r="BL105" i="1"/>
  <c r="AX105" i="1"/>
  <c r="AJ105" i="1"/>
  <c r="V105" i="1"/>
  <c r="H105" i="1"/>
  <c r="CA101" i="1"/>
  <c r="BM101" i="1"/>
  <c r="AY101" i="1"/>
  <c r="AK101" i="1"/>
  <c r="W101" i="1"/>
  <c r="I101" i="1"/>
  <c r="Z156" i="1"/>
  <c r="BP135" i="1"/>
  <c r="AN135" i="1"/>
  <c r="L135" i="1"/>
  <c r="BQ131" i="1"/>
  <c r="AO131" i="1"/>
  <c r="M131" i="1"/>
  <c r="BD127" i="1"/>
  <c r="AB127" i="1"/>
  <c r="BJ122" i="1"/>
  <c r="AH122" i="1"/>
  <c r="BY118" i="1"/>
  <c r="AW118" i="1"/>
  <c r="U118" i="1"/>
  <c r="G122" i="1"/>
  <c r="G105" i="1"/>
  <c r="CC135" i="1"/>
  <c r="BO135" i="1"/>
  <c r="BA135" i="1"/>
  <c r="AM135" i="1"/>
  <c r="Y135" i="1"/>
  <c r="K135" i="1"/>
  <c r="BQ127" i="1"/>
  <c r="BC127" i="1"/>
  <c r="AO127" i="1"/>
  <c r="AA127" i="1"/>
  <c r="M127" i="1"/>
  <c r="G118" i="1"/>
  <c r="BN229" i="1"/>
  <c r="AZ229" i="1"/>
  <c r="BS118" i="1"/>
  <c r="BE118" i="1"/>
  <c r="AQ118" i="1"/>
  <c r="AC118" i="1"/>
  <c r="O118" i="1"/>
  <c r="CB229" i="1"/>
  <c r="G113" i="1"/>
  <c r="BV135" i="1"/>
  <c r="BH135" i="1"/>
  <c r="AT135" i="1"/>
  <c r="AF135" i="1"/>
  <c r="R135" i="1"/>
  <c r="BW131" i="1"/>
  <c r="BI131" i="1"/>
  <c r="AU131" i="1"/>
  <c r="AG131" i="1"/>
  <c r="S131" i="1"/>
  <c r="BT135" i="1"/>
  <c r="BF135" i="1"/>
  <c r="AD135" i="1"/>
  <c r="P135" i="1"/>
  <c r="BU131" i="1"/>
  <c r="AS131" i="1"/>
  <c r="Q131" i="1"/>
  <c r="BV127" i="1"/>
  <c r="AT127" i="1"/>
  <c r="R127" i="1"/>
  <c r="CB122" i="1"/>
  <c r="AZ122" i="1"/>
  <c r="AL122" i="1"/>
  <c r="X122" i="1"/>
  <c r="J122" i="1"/>
  <c r="CC118" i="1"/>
  <c r="BA118" i="1"/>
  <c r="AM118" i="1"/>
  <c r="Y118" i="1"/>
  <c r="K118" i="1"/>
  <c r="BU113" i="1"/>
  <c r="BG113" i="1"/>
  <c r="AS113" i="1"/>
  <c r="AE113" i="1"/>
  <c r="Q113" i="1"/>
  <c r="CB105" i="1"/>
  <c r="BN105" i="1"/>
  <c r="AZ105" i="1"/>
  <c r="AL105" i="1"/>
  <c r="X105" i="1"/>
  <c r="J105" i="1"/>
  <c r="CC101" i="1"/>
  <c r="BO101" i="1"/>
  <c r="BA101" i="1"/>
  <c r="AM101" i="1"/>
  <c r="Y101" i="1"/>
  <c r="K101" i="1"/>
  <c r="AR135" i="1"/>
  <c r="BG131" i="1"/>
  <c r="AE131" i="1"/>
  <c r="BH127" i="1"/>
  <c r="AF127" i="1"/>
  <c r="BN122" i="1"/>
  <c r="BO118" i="1"/>
  <c r="G127" i="1"/>
  <c r="G135" i="1"/>
  <c r="BY122" i="1"/>
  <c r="BK122" i="1"/>
  <c r="AW122" i="1"/>
  <c r="AI122" i="1"/>
  <c r="U122" i="1"/>
  <c r="CD135" i="1"/>
  <c r="BB135" i="1"/>
  <c r="Z135" i="1"/>
  <c r="BC131" i="1"/>
  <c r="AA131" i="1"/>
  <c r="BR127" i="1"/>
  <c r="AP127" i="1"/>
  <c r="N127" i="1"/>
  <c r="BX122" i="1"/>
  <c r="AV122" i="1"/>
  <c r="T122" i="1"/>
  <c r="BK118" i="1"/>
  <c r="AI118" i="1"/>
  <c r="BQ113" i="1"/>
  <c r="BC113" i="1"/>
  <c r="AO113" i="1"/>
  <c r="AA113" i="1"/>
  <c r="M113" i="1"/>
  <c r="BX105" i="1"/>
  <c r="BJ105" i="1"/>
  <c r="AV105" i="1"/>
  <c r="AH105" i="1"/>
  <c r="T105" i="1"/>
  <c r="BY101" i="1"/>
  <c r="BK101" i="1"/>
  <c r="AW101" i="1"/>
  <c r="AI101" i="1"/>
  <c r="U101" i="1"/>
  <c r="BS135" i="1"/>
  <c r="BE135" i="1"/>
  <c r="AQ135" i="1"/>
  <c r="AC135" i="1"/>
  <c r="O135" i="1"/>
  <c r="BT131" i="1"/>
  <c r="BF131" i="1"/>
  <c r="AR131" i="1"/>
  <c r="AD131" i="1"/>
  <c r="P131" i="1"/>
  <c r="BU127" i="1"/>
  <c r="BG127" i="1"/>
  <c r="AS127" i="1"/>
  <c r="AE127" i="1"/>
  <c r="Q127" i="1"/>
  <c r="CA122" i="1"/>
  <c r="BM122" i="1"/>
  <c r="AY122" i="1"/>
  <c r="AK122" i="1"/>
  <c r="W122" i="1"/>
  <c r="I122" i="1"/>
  <c r="CB118" i="1"/>
  <c r="BN118" i="1"/>
  <c r="AZ118" i="1"/>
  <c r="AL118" i="1"/>
  <c r="X118" i="1"/>
  <c r="J118" i="1"/>
  <c r="BT113" i="1"/>
  <c r="BF113" i="1"/>
  <c r="AR113" i="1"/>
  <c r="AD113" i="1"/>
  <c r="P113" i="1"/>
  <c r="CA105" i="1"/>
  <c r="BM105" i="1"/>
  <c r="AY105" i="1"/>
  <c r="AK105" i="1"/>
  <c r="W105" i="1"/>
  <c r="I105" i="1"/>
  <c r="CB101" i="1"/>
  <c r="BN101" i="1"/>
  <c r="AZ101" i="1"/>
  <c r="AL101" i="1"/>
  <c r="X101" i="1"/>
  <c r="J101" i="1"/>
  <c r="BQ135" i="1"/>
  <c r="BC135" i="1"/>
  <c r="AO135" i="1"/>
  <c r="AA135" i="1"/>
  <c r="M135" i="1"/>
  <c r="BR131" i="1"/>
  <c r="BD131" i="1"/>
  <c r="AP131" i="1"/>
  <c r="AB131" i="1"/>
  <c r="N131" i="1"/>
  <c r="BS127" i="1"/>
  <c r="BE127" i="1"/>
  <c r="AQ127" i="1"/>
  <c r="AC127" i="1"/>
  <c r="O127" i="1"/>
  <c r="BZ118" i="1"/>
  <c r="BL118" i="1"/>
  <c r="AX118" i="1"/>
  <c r="AJ118" i="1"/>
  <c r="V118" i="1"/>
  <c r="H118" i="1"/>
  <c r="BR113" i="1"/>
  <c r="BD113" i="1"/>
  <c r="AP113" i="1"/>
  <c r="AB113" i="1"/>
  <c r="N113" i="1"/>
  <c r="BY105" i="1"/>
  <c r="BK105" i="1"/>
  <c r="AW105" i="1"/>
  <c r="AI105" i="1"/>
  <c r="U105" i="1"/>
  <c r="BZ101" i="1"/>
  <c r="BL101" i="1"/>
  <c r="AX101" i="1"/>
  <c r="AJ101" i="1"/>
  <c r="V101" i="1"/>
  <c r="H101" i="1"/>
  <c r="S85" i="1"/>
  <c r="CD131" i="1"/>
  <c r="BP131" i="1"/>
  <c r="BB131" i="1"/>
  <c r="AN131" i="1"/>
  <c r="Z131" i="1"/>
  <c r="L131" i="1"/>
  <c r="BW122" i="1"/>
  <c r="BI122" i="1"/>
  <c r="AU122" i="1"/>
  <c r="AG122" i="1"/>
  <c r="S122" i="1"/>
  <c r="BX118" i="1"/>
  <c r="BJ118" i="1"/>
  <c r="AV118" i="1"/>
  <c r="AH118" i="1"/>
  <c r="T118" i="1"/>
  <c r="CD113" i="1"/>
  <c r="BP113" i="1"/>
  <c r="BB113" i="1"/>
  <c r="AN113" i="1"/>
  <c r="Z113" i="1"/>
  <c r="L113" i="1"/>
  <c r="BW105" i="1"/>
  <c r="BI105" i="1"/>
  <c r="AU105" i="1"/>
  <c r="AG105" i="1"/>
  <c r="S105" i="1"/>
  <c r="BX101" i="1"/>
  <c r="BJ101" i="1"/>
  <c r="AV101" i="1"/>
  <c r="AH101" i="1"/>
  <c r="T101" i="1"/>
  <c r="BV122" i="1"/>
  <c r="BH122" i="1"/>
  <c r="AT122" i="1"/>
  <c r="AF122" i="1"/>
  <c r="R122" i="1"/>
  <c r="CC113" i="1"/>
  <c r="BO113" i="1"/>
  <c r="BA113" i="1"/>
  <c r="AM113" i="1"/>
  <c r="Y113" i="1"/>
  <c r="K113" i="1"/>
  <c r="BU105" i="1"/>
  <c r="BG105" i="1"/>
  <c r="AS105" i="1"/>
  <c r="AE105" i="1"/>
  <c r="Q105" i="1"/>
  <c r="BV105" i="1"/>
  <c r="BH105" i="1"/>
  <c r="AT105" i="1"/>
  <c r="AF105" i="1"/>
  <c r="R105" i="1"/>
  <c r="BW101" i="1"/>
  <c r="BI101" i="1"/>
  <c r="AU101" i="1"/>
  <c r="AG101" i="1"/>
  <c r="S101" i="1"/>
  <c r="CA135" i="1"/>
  <c r="BM135" i="1"/>
  <c r="AY135" i="1"/>
  <c r="AK135" i="1"/>
  <c r="W135" i="1"/>
  <c r="I135" i="1"/>
  <c r="CB131" i="1"/>
  <c r="BN131" i="1"/>
  <c r="AZ131" i="1"/>
  <c r="AL131" i="1"/>
  <c r="X131" i="1"/>
  <c r="J131" i="1"/>
  <c r="CC127" i="1"/>
  <c r="BO127" i="1"/>
  <c r="BA127" i="1"/>
  <c r="AM127" i="1"/>
  <c r="Y127" i="1"/>
  <c r="K127" i="1"/>
  <c r="BU122" i="1"/>
  <c r="BG122" i="1"/>
  <c r="AS122" i="1"/>
  <c r="AE122" i="1"/>
  <c r="Q122" i="1"/>
  <c r="BV118" i="1"/>
  <c r="BH118" i="1"/>
  <c r="AT118" i="1"/>
  <c r="AF118" i="1"/>
  <c r="R118" i="1"/>
  <c r="CB113" i="1"/>
  <c r="BN113" i="1"/>
  <c r="AZ113" i="1"/>
  <c r="AL113" i="1"/>
  <c r="X113" i="1"/>
  <c r="J113" i="1"/>
  <c r="BV101" i="1"/>
  <c r="BH101" i="1"/>
  <c r="AT101" i="1"/>
  <c r="AF101" i="1"/>
  <c r="R101" i="1"/>
  <c r="X170" i="1"/>
  <c r="J170" i="1"/>
  <c r="AA162" i="1"/>
  <c r="M162" i="1"/>
  <c r="BU152" i="1"/>
  <c r="BG152" i="1"/>
  <c r="AS152" i="1"/>
  <c r="AE152" i="1"/>
  <c r="Q152" i="1"/>
  <c r="BY135" i="1"/>
  <c r="BK135" i="1"/>
  <c r="AW135" i="1"/>
  <c r="AI135" i="1"/>
  <c r="U135" i="1"/>
  <c r="BZ131" i="1"/>
  <c r="BL131" i="1"/>
  <c r="AX131" i="1"/>
  <c r="AJ131" i="1"/>
  <c r="V131" i="1"/>
  <c r="H131" i="1"/>
  <c r="CA127" i="1"/>
  <c r="BM127" i="1"/>
  <c r="AY127" i="1"/>
  <c r="AK127" i="1"/>
  <c r="W127" i="1"/>
  <c r="I127" i="1"/>
  <c r="BS122" i="1"/>
  <c r="BE122" i="1"/>
  <c r="AQ122" i="1"/>
  <c r="AC122" i="1"/>
  <c r="O122" i="1"/>
  <c r="BT118" i="1"/>
  <c r="BF118" i="1"/>
  <c r="AR118" i="1"/>
  <c r="AD118" i="1"/>
  <c r="P118" i="1"/>
  <c r="BZ113" i="1"/>
  <c r="BL113" i="1"/>
  <c r="AX113" i="1"/>
  <c r="AJ113" i="1"/>
  <c r="V113" i="1"/>
  <c r="H113" i="1"/>
  <c r="BS105" i="1"/>
  <c r="BE105" i="1"/>
  <c r="AQ105" i="1"/>
  <c r="AC105" i="1"/>
  <c r="O105" i="1"/>
  <c r="BT101" i="1"/>
  <c r="BF101" i="1"/>
  <c r="AR101" i="1"/>
  <c r="AD101" i="1"/>
  <c r="P101" i="1"/>
  <c r="AW96" i="1"/>
  <c r="CC96" i="1"/>
  <c r="BO96" i="1"/>
  <c r="BA96" i="1"/>
  <c r="AM96" i="1"/>
  <c r="BV85" i="1"/>
  <c r="BH85" i="1"/>
  <c r="AT85" i="1"/>
  <c r="AF85" i="1"/>
  <c r="R85" i="1"/>
  <c r="AP80" i="1"/>
  <c r="BW80" i="1"/>
  <c r="BI80" i="1"/>
  <c r="AU80" i="1"/>
  <c r="AG80" i="1"/>
  <c r="S80" i="1"/>
  <c r="AL229" i="1"/>
  <c r="J229" i="1"/>
  <c r="CC225" i="1"/>
  <c r="BO225" i="1"/>
  <c r="BA225" i="1"/>
  <c r="K225" i="1"/>
  <c r="BZ218" i="1"/>
  <c r="AX218" i="1"/>
  <c r="AJ218" i="1"/>
  <c r="V218" i="1"/>
  <c r="H218" i="1"/>
  <c r="BX205" i="1"/>
  <c r="BJ205" i="1"/>
  <c r="AV205" i="1"/>
  <c r="AV204" i="1" s="1"/>
  <c r="T205" i="1"/>
  <c r="T204" i="1" s="1"/>
  <c r="W170" i="1"/>
  <c r="I170" i="1"/>
  <c r="Z162" i="1"/>
  <c r="L162" i="1"/>
  <c r="BT152" i="1"/>
  <c r="BF152" i="1"/>
  <c r="AR152" i="1"/>
  <c r="AD152" i="1"/>
  <c r="P152" i="1"/>
  <c r="BX135" i="1"/>
  <c r="BJ135" i="1"/>
  <c r="AV135" i="1"/>
  <c r="AH135" i="1"/>
  <c r="T135" i="1"/>
  <c r="BY131" i="1"/>
  <c r="BK131" i="1"/>
  <c r="AW131" i="1"/>
  <c r="AI131" i="1"/>
  <c r="U131" i="1"/>
  <c r="BZ127" i="1"/>
  <c r="BL127" i="1"/>
  <c r="AX127" i="1"/>
  <c r="AJ127" i="1"/>
  <c r="V127" i="1"/>
  <c r="H127" i="1"/>
  <c r="BR122" i="1"/>
  <c r="BD122" i="1"/>
  <c r="AP122" i="1"/>
  <c r="AB122" i="1"/>
  <c r="N122" i="1"/>
  <c r="BY113" i="1"/>
  <c r="BK113" i="1"/>
  <c r="AW113" i="1"/>
  <c r="AI113" i="1"/>
  <c r="U113" i="1"/>
  <c r="BR105" i="1"/>
  <c r="BD105" i="1"/>
  <c r="AP105" i="1"/>
  <c r="AB105" i="1"/>
  <c r="N105" i="1"/>
  <c r="BS101" i="1"/>
  <c r="BE101" i="1"/>
  <c r="AQ101" i="1"/>
  <c r="AC101" i="1"/>
  <c r="O101" i="1"/>
  <c r="AD89" i="1"/>
  <c r="BU85" i="1"/>
  <c r="BG85" i="1"/>
  <c r="AS85" i="1"/>
  <c r="AE85" i="1"/>
  <c r="Q85" i="1"/>
  <c r="BV80" i="1"/>
  <c r="BH80" i="1"/>
  <c r="AT80" i="1"/>
  <c r="AF80" i="1"/>
  <c r="R80" i="1"/>
  <c r="X229" i="1"/>
  <c r="AM225" i="1"/>
  <c r="Y225" i="1"/>
  <c r="CD221" i="1"/>
  <c r="BP221" i="1"/>
  <c r="BB221" i="1"/>
  <c r="AN221" i="1"/>
  <c r="Z221" i="1"/>
  <c r="L221" i="1"/>
  <c r="BL218" i="1"/>
  <c r="AH205" i="1"/>
  <c r="AH204" i="1" s="1"/>
  <c r="BW135" i="1"/>
  <c r="BI135" i="1"/>
  <c r="AU135" i="1"/>
  <c r="AG135" i="1"/>
  <c r="S135" i="1"/>
  <c r="BX131" i="1"/>
  <c r="BJ131" i="1"/>
  <c r="AV131" i="1"/>
  <c r="AH131" i="1"/>
  <c r="T131" i="1"/>
  <c r="BY127" i="1"/>
  <c r="BK127" i="1"/>
  <c r="AW127" i="1"/>
  <c r="AI127" i="1"/>
  <c r="U127" i="1"/>
  <c r="BQ122" i="1"/>
  <c r="BC122" i="1"/>
  <c r="AO122" i="1"/>
  <c r="AA122" i="1"/>
  <c r="M122" i="1"/>
  <c r="BR118" i="1"/>
  <c r="BD118" i="1"/>
  <c r="AP118" i="1"/>
  <c r="AB118" i="1"/>
  <c r="N118" i="1"/>
  <c r="BX113" i="1"/>
  <c r="BJ113" i="1"/>
  <c r="AV113" i="1"/>
  <c r="AH113" i="1"/>
  <c r="T113" i="1"/>
  <c r="BQ105" i="1"/>
  <c r="BC105" i="1"/>
  <c r="AO105" i="1"/>
  <c r="AA105" i="1"/>
  <c r="M105" i="1"/>
  <c r="BR101" i="1"/>
  <c r="BD101" i="1"/>
  <c r="AP101" i="1"/>
  <c r="AB101" i="1"/>
  <c r="N101" i="1"/>
  <c r="CA96" i="1"/>
  <c r="BM96" i="1"/>
  <c r="AY96" i="1"/>
  <c r="AK96" i="1"/>
  <c r="AH127" i="1"/>
  <c r="T127" i="1"/>
  <c r="CD122" i="1"/>
  <c r="BP122" i="1"/>
  <c r="BB122" i="1"/>
  <c r="AN122" i="1"/>
  <c r="Z122" i="1"/>
  <c r="L122" i="1"/>
  <c r="BQ118" i="1"/>
  <c r="BC118" i="1"/>
  <c r="AO118" i="1"/>
  <c r="AA118" i="1"/>
  <c r="M118" i="1"/>
  <c r="BW113" i="1"/>
  <c r="BI113" i="1"/>
  <c r="AU113" i="1"/>
  <c r="AG113" i="1"/>
  <c r="S113" i="1"/>
  <c r="CD105" i="1"/>
  <c r="BP105" i="1"/>
  <c r="BB105" i="1"/>
  <c r="AN105" i="1"/>
  <c r="Z105" i="1"/>
  <c r="L105" i="1"/>
  <c r="BQ101" i="1"/>
  <c r="BC101" i="1"/>
  <c r="AO101" i="1"/>
  <c r="AA101" i="1"/>
  <c r="M101" i="1"/>
  <c r="BX127" i="1"/>
  <c r="BJ127" i="1"/>
  <c r="AV127" i="1"/>
  <c r="BU135" i="1"/>
  <c r="BG135" i="1"/>
  <c r="AS135" i="1"/>
  <c r="AE135" i="1"/>
  <c r="Q135" i="1"/>
  <c r="BV131" i="1"/>
  <c r="BH131" i="1"/>
  <c r="AT131" i="1"/>
  <c r="AF131" i="1"/>
  <c r="R131" i="1"/>
  <c r="BW127" i="1"/>
  <c r="BI127" i="1"/>
  <c r="AU127" i="1"/>
  <c r="AG127" i="1"/>
  <c r="S127" i="1"/>
  <c r="CC122" i="1"/>
  <c r="BO122" i="1"/>
  <c r="BA122" i="1"/>
  <c r="AM122" i="1"/>
  <c r="Y122" i="1"/>
  <c r="K122" i="1"/>
  <c r="CD118" i="1"/>
  <c r="BP118" i="1"/>
  <c r="BB118" i="1"/>
  <c r="AN118" i="1"/>
  <c r="Z118" i="1"/>
  <c r="L118" i="1"/>
  <c r="BV113" i="1"/>
  <c r="BH113" i="1"/>
  <c r="AT113" i="1"/>
  <c r="AF113" i="1"/>
  <c r="R113" i="1"/>
  <c r="CC105" i="1"/>
  <c r="BO105" i="1"/>
  <c r="BA105" i="1"/>
  <c r="AM105" i="1"/>
  <c r="Y105" i="1"/>
  <c r="K105" i="1"/>
  <c r="CD101" i="1"/>
  <c r="BP101" i="1"/>
  <c r="BB101" i="1"/>
  <c r="AN101" i="1"/>
  <c r="Z101" i="1"/>
  <c r="L101" i="1"/>
  <c r="Y162" i="1"/>
  <c r="BS152" i="1"/>
  <c r="AY229" i="1"/>
  <c r="X225" i="1"/>
  <c r="BA221" i="1"/>
  <c r="BY218" i="1"/>
  <c r="AU205" i="1"/>
  <c r="AC152" i="1"/>
  <c r="CA85" i="1"/>
  <c r="BK218" i="1"/>
  <c r="BE152" i="1"/>
  <c r="G162" i="1"/>
  <c r="G101" i="1"/>
  <c r="BY204" i="1"/>
  <c r="BK204" i="1"/>
  <c r="AW204" i="1"/>
  <c r="AI204" i="1"/>
  <c r="U204" i="1"/>
  <c r="Z89" i="1"/>
  <c r="BU89" i="1"/>
  <c r="BG89" i="1"/>
  <c r="AS89" i="1"/>
  <c r="AE89" i="1"/>
  <c r="Q89" i="1"/>
  <c r="BJ5" i="1"/>
  <c r="CB96" i="1"/>
  <c r="BN96" i="1"/>
  <c r="AZ96" i="1"/>
  <c r="AL96" i="1"/>
  <c r="CA5" i="1"/>
  <c r="AG205" i="1"/>
  <c r="AG204" i="1" s="1"/>
  <c r="K162" i="1"/>
  <c r="BT85" i="1"/>
  <c r="BF85" i="1"/>
  <c r="AR85" i="1"/>
  <c r="AD85" i="1"/>
  <c r="P85" i="1"/>
  <c r="BU80" i="1"/>
  <c r="BG80" i="1"/>
  <c r="AS80" i="1"/>
  <c r="AE80" i="1"/>
  <c r="Q80" i="1"/>
  <c r="AP197" i="1"/>
  <c r="AP193" i="1" s="1"/>
  <c r="AQ178" i="1"/>
  <c r="BO221" i="1"/>
  <c r="V229" i="1"/>
  <c r="BZ96" i="1"/>
  <c r="BL96" i="1"/>
  <c r="AX96" i="1"/>
  <c r="AJ96" i="1"/>
  <c r="BF80" i="1"/>
  <c r="AR80" i="1"/>
  <c r="AD80" i="1"/>
  <c r="P80" i="1"/>
  <c r="BD197" i="1"/>
  <c r="BD193" i="1" s="1"/>
  <c r="CA229" i="1"/>
  <c r="W229" i="1"/>
  <c r="CB225" i="1"/>
  <c r="AL225" i="1"/>
  <c r="K221" i="1"/>
  <c r="AI218" i="1"/>
  <c r="BI205" i="1"/>
  <c r="BI204" i="1" s="1"/>
  <c r="H170" i="1"/>
  <c r="AQ152" i="1"/>
  <c r="O152" i="1"/>
  <c r="AG218" i="1"/>
  <c r="BS80" i="1"/>
  <c r="BE80" i="1"/>
  <c r="AQ80" i="1"/>
  <c r="AC80" i="1"/>
  <c r="O80" i="1"/>
  <c r="BE178" i="1"/>
  <c r="BM229" i="1"/>
  <c r="I229" i="1"/>
  <c r="AZ225" i="1"/>
  <c r="AM221" i="1"/>
  <c r="U218" i="1"/>
  <c r="BW205" i="1"/>
  <c r="BW204" i="1" s="1"/>
  <c r="V170" i="1"/>
  <c r="BR197" i="1"/>
  <c r="BR193" i="1" s="1"/>
  <c r="BS178" i="1"/>
  <c r="AK229" i="1"/>
  <c r="BN225" i="1"/>
  <c r="J225" i="1"/>
  <c r="CC221" i="1"/>
  <c r="Y221" i="1"/>
  <c r="AW218" i="1"/>
  <c r="S205" i="1"/>
  <c r="S204" i="1" s="1"/>
  <c r="BB70" i="1"/>
  <c r="BX5" i="1"/>
  <c r="T5" i="1"/>
  <c r="AM5" i="1"/>
  <c r="BT5" i="1"/>
  <c r="BF5" i="1"/>
  <c r="AR5" i="1"/>
  <c r="AD5" i="1"/>
  <c r="P5" i="1"/>
  <c r="G225" i="1"/>
  <c r="AN162" i="1"/>
  <c r="AG141" i="1"/>
  <c r="BT89" i="1"/>
  <c r="BF89" i="1"/>
  <c r="AR89" i="1"/>
  <c r="P89" i="1"/>
  <c r="BY70" i="1"/>
  <c r="BK70" i="1"/>
  <c r="AW70" i="1"/>
  <c r="AI70" i="1"/>
  <c r="U70" i="1"/>
  <c r="AK19" i="1"/>
  <c r="W19" i="1"/>
  <c r="I19" i="1"/>
  <c r="AL5" i="1"/>
  <c r="X5" i="1"/>
  <c r="BX204" i="1"/>
  <c r="BJ204" i="1"/>
  <c r="BY185" i="1"/>
  <c r="CD162" i="1"/>
  <c r="BP162" i="1"/>
  <c r="BB162" i="1"/>
  <c r="BW141" i="1"/>
  <c r="BI141" i="1"/>
  <c r="AU141" i="1"/>
  <c r="S141" i="1"/>
  <c r="BQ197" i="1"/>
  <c r="BQ193" i="1" s="1"/>
  <c r="BC197" i="1"/>
  <c r="BC193" i="1" s="1"/>
  <c r="AO197" i="1"/>
  <c r="AO193" i="1" s="1"/>
  <c r="BR178" i="1"/>
  <c r="BD178" i="1"/>
  <c r="AP178" i="1"/>
  <c r="CC162" i="1"/>
  <c r="BO162" i="1"/>
  <c r="BA162" i="1"/>
  <c r="AM162" i="1"/>
  <c r="AK5" i="1"/>
  <c r="W5" i="1"/>
  <c r="G5" i="1"/>
  <c r="AX5" i="1"/>
  <c r="AJ5" i="1"/>
  <c r="AW5" i="1"/>
  <c r="AI5" i="1"/>
  <c r="CD5" i="1"/>
  <c r="BP5" i="1"/>
  <c r="Z5" i="1"/>
  <c r="L5" i="1"/>
  <c r="BC89" i="1"/>
  <c r="AO89" i="1"/>
  <c r="CB5" i="1"/>
  <c r="BN5" i="1"/>
  <c r="AZ5" i="1"/>
  <c r="J5" i="1"/>
  <c r="BQ89" i="1"/>
  <c r="AA89" i="1"/>
  <c r="AU221" i="1"/>
  <c r="M89" i="1"/>
  <c r="BM85" i="1"/>
  <c r="AY85" i="1"/>
  <c r="AK85" i="1"/>
  <c r="W85" i="1"/>
  <c r="I85" i="1"/>
  <c r="G170" i="1"/>
  <c r="G80" i="1"/>
  <c r="BR229" i="1"/>
  <c r="BD229" i="1"/>
  <c r="AP229" i="1"/>
  <c r="AB229" i="1"/>
  <c r="N229" i="1"/>
  <c r="CD218" i="1"/>
  <c r="BP218" i="1"/>
  <c r="BB218" i="1"/>
  <c r="AN218" i="1"/>
  <c r="Z218" i="1"/>
  <c r="L218" i="1"/>
  <c r="CB205" i="1"/>
  <c r="CB204" i="1" s="1"/>
  <c r="BN205" i="1"/>
  <c r="BN204" i="1" s="1"/>
  <c r="AZ205" i="1"/>
  <c r="AL205" i="1"/>
  <c r="X205" i="1"/>
  <c r="J205" i="1"/>
  <c r="AA170" i="1"/>
  <c r="M170" i="1"/>
  <c r="AD162" i="1"/>
  <c r="P162" i="1"/>
  <c r="BX152" i="1"/>
  <c r="BJ152" i="1"/>
  <c r="AV152" i="1"/>
  <c r="AH152" i="1"/>
  <c r="T152" i="1"/>
  <c r="Y5" i="1"/>
  <c r="AS5" i="1"/>
  <c r="H5" i="1"/>
  <c r="BW5" i="1"/>
  <c r="BI5" i="1"/>
  <c r="AU5" i="1"/>
  <c r="AG5" i="1"/>
  <c r="S5" i="1"/>
  <c r="BQ229" i="1"/>
  <c r="BC229" i="1"/>
  <c r="AO229" i="1"/>
  <c r="AA229" i="1"/>
  <c r="M229" i="1"/>
  <c r="CC218" i="1"/>
  <c r="BO218" i="1"/>
  <c r="BA218" i="1"/>
  <c r="AM218" i="1"/>
  <c r="Y218" i="1"/>
  <c r="K218" i="1"/>
  <c r="CA205" i="1"/>
  <c r="CA204" i="1" s="1"/>
  <c r="BM205" i="1"/>
  <c r="BM204" i="1" s="1"/>
  <c r="AY205" i="1"/>
  <c r="AY204" i="1" s="1"/>
  <c r="AK205" i="1"/>
  <c r="AK204" i="1" s="1"/>
  <c r="W205" i="1"/>
  <c r="W204" i="1" s="1"/>
  <c r="I205" i="1"/>
  <c r="I204" i="1" s="1"/>
  <c r="BH178" i="1"/>
  <c r="Z170" i="1"/>
  <c r="L170" i="1"/>
  <c r="AC162" i="1"/>
  <c r="O162" i="1"/>
  <c r="BW152" i="1"/>
  <c r="BI152" i="1"/>
  <c r="AU152" i="1"/>
  <c r="AG152" i="1"/>
  <c r="S152" i="1"/>
  <c r="BQ96" i="1"/>
  <c r="BC96" i="1"/>
  <c r="AO96" i="1"/>
  <c r="BD89" i="1"/>
  <c r="BT80" i="1"/>
  <c r="AA70" i="1"/>
  <c r="BV70" i="1"/>
  <c r="AT185" i="1"/>
  <c r="CD229" i="1"/>
  <c r="BP229" i="1"/>
  <c r="BB229" i="1"/>
  <c r="AN229" i="1"/>
  <c r="Z229" i="1"/>
  <c r="L229" i="1"/>
  <c r="BQ225" i="1"/>
  <c r="BC225" i="1"/>
  <c r="AO225" i="1"/>
  <c r="AA225" i="1"/>
  <c r="M225" i="1"/>
  <c r="BR221" i="1"/>
  <c r="BD221" i="1"/>
  <c r="AP221" i="1"/>
  <c r="AB221" i="1"/>
  <c r="N221" i="1"/>
  <c r="CB218" i="1"/>
  <c r="BN218" i="1"/>
  <c r="AZ218" i="1"/>
  <c r="AL218" i="1"/>
  <c r="X218" i="1"/>
  <c r="J218" i="1"/>
  <c r="BZ205" i="1"/>
  <c r="BZ204" i="1" s="1"/>
  <c r="BL205" i="1"/>
  <c r="BL204" i="1" s="1"/>
  <c r="AX205" i="1"/>
  <c r="AJ205" i="1"/>
  <c r="AJ204" i="1" s="1"/>
  <c r="V205" i="1"/>
  <c r="V204" i="1" s="1"/>
  <c r="H205" i="1"/>
  <c r="H204" i="1" s="1"/>
  <c r="Y170" i="1"/>
  <c r="K170" i="1"/>
  <c r="AB162" i="1"/>
  <c r="N162" i="1"/>
  <c r="BV152" i="1"/>
  <c r="BH152" i="1"/>
  <c r="AT152" i="1"/>
  <c r="AF152" i="1"/>
  <c r="R152" i="1"/>
  <c r="CD96" i="1"/>
  <c r="BP96" i="1"/>
  <c r="BB96" i="1"/>
  <c r="AN96" i="1"/>
  <c r="BW85" i="1"/>
  <c r="BI85" i="1"/>
  <c r="AU85" i="1"/>
  <c r="AG85" i="1"/>
  <c r="BX80" i="1"/>
  <c r="BJ80" i="1"/>
  <c r="AV80" i="1"/>
  <c r="AH80" i="1"/>
  <c r="T80" i="1"/>
  <c r="BY5" i="1"/>
  <c r="AN5" i="1"/>
  <c r="BU5" i="1"/>
  <c r="AE5" i="1"/>
  <c r="Q5" i="1"/>
  <c r="AI185" i="1"/>
  <c r="BM170" i="1"/>
  <c r="BS197" i="1"/>
  <c r="BS193" i="1" s="1"/>
  <c r="BE197" i="1"/>
  <c r="BE193" i="1" s="1"/>
  <c r="AQ197" i="1"/>
  <c r="AQ193" i="1" s="1"/>
  <c r="BZ185" i="1"/>
  <c r="BL185" i="1"/>
  <c r="AX185" i="1"/>
  <c r="AJ185" i="1"/>
  <c r="BT178" i="1"/>
  <c r="BF178" i="1"/>
  <c r="AR178" i="1"/>
  <c r="CB170" i="1"/>
  <c r="BN170" i="1"/>
  <c r="AZ170" i="1"/>
  <c r="AL170" i="1"/>
  <c r="BQ162" i="1"/>
  <c r="BC162" i="1"/>
  <c r="AO162" i="1"/>
  <c r="BX141" i="1"/>
  <c r="BJ141" i="1"/>
  <c r="AV141" i="1"/>
  <c r="AH141" i="1"/>
  <c r="T141" i="1"/>
  <c r="AG47" i="1"/>
  <c r="BR47" i="1"/>
  <c r="BD47" i="1"/>
  <c r="AP47" i="1"/>
  <c r="AB47" i="1"/>
  <c r="N47" i="1"/>
  <c r="CA19" i="1"/>
  <c r="BM19" i="1"/>
  <c r="AY19" i="1"/>
  <c r="AT156" i="1"/>
  <c r="G47" i="1"/>
  <c r="AU204" i="1"/>
  <c r="BL170" i="1"/>
  <c r="AJ170" i="1"/>
  <c r="BV141" i="1"/>
  <c r="BH141" i="1"/>
  <c r="AT141" i="1"/>
  <c r="AF141" i="1"/>
  <c r="R141" i="1"/>
  <c r="AX47" i="1"/>
  <c r="G152" i="1"/>
  <c r="BX185" i="1"/>
  <c r="BJ185" i="1"/>
  <c r="AV185" i="1"/>
  <c r="AH185" i="1"/>
  <c r="BZ170" i="1"/>
  <c r="AX170" i="1"/>
  <c r="BI229" i="1"/>
  <c r="BK162" i="1"/>
  <c r="BI225" i="1"/>
  <c r="AW185" i="1"/>
  <c r="AY170" i="1"/>
  <c r="AW85" i="1"/>
  <c r="BN19" i="1"/>
  <c r="AC19" i="1"/>
  <c r="AW19" i="1"/>
  <c r="L19" i="1"/>
  <c r="BT205" i="1"/>
  <c r="BT204" i="1" s="1"/>
  <c r="P47" i="1"/>
  <c r="BK185" i="1"/>
  <c r="CA170" i="1"/>
  <c r="AK170" i="1"/>
  <c r="AX204" i="1"/>
  <c r="BT197" i="1"/>
  <c r="BT193" i="1" s="1"/>
  <c r="BF197" i="1"/>
  <c r="BF193" i="1" s="1"/>
  <c r="AR197" i="1"/>
  <c r="AR193" i="1" s="1"/>
  <c r="CA185" i="1"/>
  <c r="BM185" i="1"/>
  <c r="AY185" i="1"/>
  <c r="AK185" i="1"/>
  <c r="BU178" i="1"/>
  <c r="BG178" i="1"/>
  <c r="AS178" i="1"/>
  <c r="CC170" i="1"/>
  <c r="BO170" i="1"/>
  <c r="BA170" i="1"/>
  <c r="AM170" i="1"/>
  <c r="BR162" i="1"/>
  <c r="BD162" i="1"/>
  <c r="AP162" i="1"/>
  <c r="BY141" i="1"/>
  <c r="BK141" i="1"/>
  <c r="AW141" i="1"/>
  <c r="AI141" i="1"/>
  <c r="U141" i="1"/>
  <c r="CA70" i="1"/>
  <c r="BM70" i="1"/>
  <c r="AY70" i="1"/>
  <c r="AK70" i="1"/>
  <c r="W70" i="1"/>
  <c r="I70" i="1"/>
  <c r="BT47" i="1"/>
  <c r="BF47" i="1"/>
  <c r="AR47" i="1"/>
  <c r="AD47" i="1"/>
  <c r="AQ19" i="1"/>
  <c r="CC19" i="1"/>
  <c r="BO19" i="1"/>
  <c r="BA19" i="1"/>
  <c r="AM19" i="1"/>
  <c r="Y19" i="1"/>
  <c r="K19" i="1"/>
  <c r="BZ70" i="1"/>
  <c r="BL70" i="1"/>
  <c r="AX70" i="1"/>
  <c r="AJ70" i="1"/>
  <c r="V70" i="1"/>
  <c r="H70" i="1"/>
  <c r="BS47" i="1"/>
  <c r="BE47" i="1"/>
  <c r="AQ47" i="1"/>
  <c r="AC47" i="1"/>
  <c r="O47" i="1"/>
  <c r="AP19" i="1"/>
  <c r="AB19" i="1"/>
  <c r="CB19" i="1"/>
  <c r="AZ19" i="1"/>
  <c r="AL19" i="1"/>
  <c r="X19" i="1"/>
  <c r="J19" i="1"/>
  <c r="BS89" i="1"/>
  <c r="BE89" i="1"/>
  <c r="AQ89" i="1"/>
  <c r="AC89" i="1"/>
  <c r="O89" i="1"/>
  <c r="BX70" i="1"/>
  <c r="BJ70" i="1"/>
  <c r="AV70" i="1"/>
  <c r="AH70" i="1"/>
  <c r="T70" i="1"/>
  <c r="BQ47" i="1"/>
  <c r="BC47" i="1"/>
  <c r="AO47" i="1"/>
  <c r="AA47" i="1"/>
  <c r="M47" i="1"/>
  <c r="BG19" i="1"/>
  <c r="AS19" i="1"/>
  <c r="BZ19" i="1"/>
  <c r="BL19" i="1"/>
  <c r="AX19" i="1"/>
  <c r="AJ19" i="1"/>
  <c r="V19" i="1"/>
  <c r="H19" i="1"/>
  <c r="BZ229" i="1"/>
  <c r="BL229" i="1"/>
  <c r="AX229" i="1"/>
  <c r="AJ229" i="1"/>
  <c r="H229" i="1"/>
  <c r="CA225" i="1"/>
  <c r="BM225" i="1"/>
  <c r="AY225" i="1"/>
  <c r="AK225" i="1"/>
  <c r="W225" i="1"/>
  <c r="I225" i="1"/>
  <c r="CB221" i="1"/>
  <c r="BN221" i="1"/>
  <c r="AZ221" i="1"/>
  <c r="AL221" i="1"/>
  <c r="X221" i="1"/>
  <c r="J221" i="1"/>
  <c r="BX218" i="1"/>
  <c r="BJ218" i="1"/>
  <c r="AV218" i="1"/>
  <c r="AH218" i="1"/>
  <c r="T218" i="1"/>
  <c r="BV205" i="1"/>
  <c r="BV204" i="1" s="1"/>
  <c r="BH205" i="1"/>
  <c r="BH204" i="1" s="1"/>
  <c r="AT205" i="1"/>
  <c r="AT204" i="1" s="1"/>
  <c r="AF205" i="1"/>
  <c r="AF204" i="1" s="1"/>
  <c r="R205" i="1"/>
  <c r="R204" i="1" s="1"/>
  <c r="CD197" i="1"/>
  <c r="CD193" i="1" s="1"/>
  <c r="BP197" i="1"/>
  <c r="BP193" i="1" s="1"/>
  <c r="BB197" i="1"/>
  <c r="BB193" i="1" s="1"/>
  <c r="AN197" i="1"/>
  <c r="AN193" i="1" s="1"/>
  <c r="BW185" i="1"/>
  <c r="BI185" i="1"/>
  <c r="AU185" i="1"/>
  <c r="AG185" i="1"/>
  <c r="BQ178" i="1"/>
  <c r="BC178" i="1"/>
  <c r="AO178" i="1"/>
  <c r="BY170" i="1"/>
  <c r="BK170" i="1"/>
  <c r="AW170" i="1"/>
  <c r="AI170" i="1"/>
  <c r="U170" i="1"/>
  <c r="X162" i="1"/>
  <c r="BR89" i="1"/>
  <c r="AP89" i="1"/>
  <c r="AB89" i="1"/>
  <c r="N89" i="1"/>
  <c r="BW70" i="1"/>
  <c r="BI70" i="1"/>
  <c r="BK47" i="1"/>
  <c r="AW47" i="1"/>
  <c r="CD47" i="1"/>
  <c r="BP47" i="1"/>
  <c r="BB47" i="1"/>
  <c r="AN47" i="1"/>
  <c r="Z47" i="1"/>
  <c r="L47" i="1"/>
  <c r="BY19" i="1"/>
  <c r="AI19" i="1"/>
  <c r="U19" i="1"/>
  <c r="G221" i="1"/>
  <c r="BL225" i="1"/>
  <c r="W221" i="1"/>
  <c r="BG205" i="1"/>
  <c r="BG204" i="1" s="1"/>
  <c r="CA162" i="1"/>
  <c r="BM162" i="1"/>
  <c r="AY162" i="1"/>
  <c r="W162" i="1"/>
  <c r="BQ152" i="1"/>
  <c r="BC152" i="1"/>
  <c r="AO152" i="1"/>
  <c r="AA152" i="1"/>
  <c r="M152" i="1"/>
  <c r="BT141" i="1"/>
  <c r="BF141" i="1"/>
  <c r="AR141" i="1"/>
  <c r="AD141" i="1"/>
  <c r="AD140" i="1" s="1"/>
  <c r="P141" i="1"/>
  <c r="P140" i="1" s="1"/>
  <c r="BY96" i="1"/>
  <c r="BK96" i="1"/>
  <c r="AI96" i="1"/>
  <c r="BH70" i="1"/>
  <c r="BJ47" i="1"/>
  <c r="BW218" i="1"/>
  <c r="AE205" i="1"/>
  <c r="AE204" i="1" s="1"/>
  <c r="AM197" i="1"/>
  <c r="AM193" i="1" s="1"/>
  <c r="AF185" i="1"/>
  <c r="AN178" i="1"/>
  <c r="BX170" i="1"/>
  <c r="T170" i="1"/>
  <c r="G89" i="1"/>
  <c r="BX229" i="1"/>
  <c r="BJ229" i="1"/>
  <c r="AV229" i="1"/>
  <c r="AH229" i="1"/>
  <c r="T229" i="1"/>
  <c r="BY225" i="1"/>
  <c r="BK225" i="1"/>
  <c r="AW225" i="1"/>
  <c r="AI225" i="1"/>
  <c r="U225" i="1"/>
  <c r="BZ221" i="1"/>
  <c r="BL221" i="1"/>
  <c r="AX221" i="1"/>
  <c r="AJ221" i="1"/>
  <c r="V221" i="1"/>
  <c r="H221" i="1"/>
  <c r="BV218" i="1"/>
  <c r="BH218" i="1"/>
  <c r="AT218" i="1"/>
  <c r="AF218" i="1"/>
  <c r="R218" i="1"/>
  <c r="BF205" i="1"/>
  <c r="BF204" i="1" s="1"/>
  <c r="AR205" i="1"/>
  <c r="AR204" i="1" s="1"/>
  <c r="AD205" i="1"/>
  <c r="AD204" i="1" s="1"/>
  <c r="P205" i="1"/>
  <c r="P204" i="1" s="1"/>
  <c r="CB197" i="1"/>
  <c r="CB193" i="1" s="1"/>
  <c r="BN197" i="1"/>
  <c r="BN193" i="1" s="1"/>
  <c r="AZ197" i="1"/>
  <c r="AZ193" i="1" s="1"/>
  <c r="AL197" i="1"/>
  <c r="AL193" i="1" s="1"/>
  <c r="BU185" i="1"/>
  <c r="BG185" i="1"/>
  <c r="AS185" i="1"/>
  <c r="CC178" i="1"/>
  <c r="BO178" i="1"/>
  <c r="BA178" i="1"/>
  <c r="AM178" i="1"/>
  <c r="BW170" i="1"/>
  <c r="BI170" i="1"/>
  <c r="AU170" i="1"/>
  <c r="AG170" i="1"/>
  <c r="S170" i="1"/>
  <c r="BZ162" i="1"/>
  <c r="BL162" i="1"/>
  <c r="AX162" i="1"/>
  <c r="AJ162" i="1"/>
  <c r="V162" i="1"/>
  <c r="BX96" i="1"/>
  <c r="BJ96" i="1"/>
  <c r="AV96" i="1"/>
  <c r="AH96" i="1"/>
  <c r="CD89" i="1"/>
  <c r="BP89" i="1"/>
  <c r="BB89" i="1"/>
  <c r="AN89" i="1"/>
  <c r="L89" i="1"/>
  <c r="BR80" i="1"/>
  <c r="BD80" i="1"/>
  <c r="AB80" i="1"/>
  <c r="N80" i="1"/>
  <c r="BU70" i="1"/>
  <c r="BG70" i="1"/>
  <c r="AS70" i="1"/>
  <c r="AU47" i="1"/>
  <c r="AH5" i="1"/>
  <c r="CC5" i="1"/>
  <c r="BO5" i="1"/>
  <c r="BA5" i="1"/>
  <c r="K5" i="1"/>
  <c r="AY221" i="1"/>
  <c r="BI218" i="1"/>
  <c r="AU218" i="1"/>
  <c r="S218" i="1"/>
  <c r="BB178" i="1"/>
  <c r="BJ170" i="1"/>
  <c r="AH170" i="1"/>
  <c r="G70" i="1"/>
  <c r="G218" i="1"/>
  <c r="BW229" i="1"/>
  <c r="AU229" i="1"/>
  <c r="AG229" i="1"/>
  <c r="S229" i="1"/>
  <c r="BX225" i="1"/>
  <c r="BJ225" i="1"/>
  <c r="AV225" i="1"/>
  <c r="AH225" i="1"/>
  <c r="T225" i="1"/>
  <c r="BY221" i="1"/>
  <c r="BK221" i="1"/>
  <c r="AW221" i="1"/>
  <c r="AI221" i="1"/>
  <c r="U221" i="1"/>
  <c r="BU218" i="1"/>
  <c r="BG218" i="1"/>
  <c r="AS218" i="1"/>
  <c r="AE218" i="1"/>
  <c r="Q218" i="1"/>
  <c r="BS205" i="1"/>
  <c r="BS204" i="1" s="1"/>
  <c r="BE205" i="1"/>
  <c r="BE204" i="1" s="1"/>
  <c r="AQ205" i="1"/>
  <c r="AQ204" i="1" s="1"/>
  <c r="AC205" i="1"/>
  <c r="AC204" i="1" s="1"/>
  <c r="O205" i="1"/>
  <c r="O204" i="1" s="1"/>
  <c r="CA197" i="1"/>
  <c r="CA193" i="1" s="1"/>
  <c r="BM197" i="1"/>
  <c r="BM193" i="1" s="1"/>
  <c r="AY197" i="1"/>
  <c r="AY193" i="1" s="1"/>
  <c r="AK197" i="1"/>
  <c r="AK193" i="1" s="1"/>
  <c r="BT185" i="1"/>
  <c r="BF185" i="1"/>
  <c r="AR185" i="1"/>
  <c r="CB178" i="1"/>
  <c r="BN178" i="1"/>
  <c r="AZ178" i="1"/>
  <c r="AL178" i="1"/>
  <c r="BV170" i="1"/>
  <c r="BH170" i="1"/>
  <c r="AT170" i="1"/>
  <c r="AF170" i="1"/>
  <c r="R170" i="1"/>
  <c r="BY162" i="1"/>
  <c r="AW162" i="1"/>
  <c r="AI162" i="1"/>
  <c r="U162" i="1"/>
  <c r="CC152" i="1"/>
  <c r="BO152" i="1"/>
  <c r="BA152" i="1"/>
  <c r="AM152" i="1"/>
  <c r="Y152" i="1"/>
  <c r="K152" i="1"/>
  <c r="BR141" i="1"/>
  <c r="BD141" i="1"/>
  <c r="AP141" i="1"/>
  <c r="CC89" i="1"/>
  <c r="BO89" i="1"/>
  <c r="BA89" i="1"/>
  <c r="AM89" i="1"/>
  <c r="Y89" i="1"/>
  <c r="K89" i="1"/>
  <c r="BQ80" i="1"/>
  <c r="BC80" i="1"/>
  <c r="AO80" i="1"/>
  <c r="AA80" i="1"/>
  <c r="M80" i="1"/>
  <c r="AI229" i="1"/>
  <c r="H225" i="1"/>
  <c r="AK221" i="1"/>
  <c r="I221" i="1"/>
  <c r="BU205" i="1"/>
  <c r="BU204" i="1" s="1"/>
  <c r="BV185" i="1"/>
  <c r="BP178" i="1"/>
  <c r="I162" i="1"/>
  <c r="BV229" i="1"/>
  <c r="BH229" i="1"/>
  <c r="AT229" i="1"/>
  <c r="AF229" i="1"/>
  <c r="R229" i="1"/>
  <c r="BW225" i="1"/>
  <c r="AU225" i="1"/>
  <c r="AG225" i="1"/>
  <c r="S225" i="1"/>
  <c r="BX221" i="1"/>
  <c r="BJ221" i="1"/>
  <c r="AV221" i="1"/>
  <c r="AH221" i="1"/>
  <c r="T221" i="1"/>
  <c r="BT218" i="1"/>
  <c r="BF218" i="1"/>
  <c r="AR218" i="1"/>
  <c r="AD218" i="1"/>
  <c r="P218" i="1"/>
  <c r="BR205" i="1"/>
  <c r="BR204" i="1" s="1"/>
  <c r="BD205" i="1"/>
  <c r="BD204" i="1" s="1"/>
  <c r="AP205" i="1"/>
  <c r="AP204" i="1" s="1"/>
  <c r="AB205" i="1"/>
  <c r="AB204" i="1" s="1"/>
  <c r="N205" i="1"/>
  <c r="N204" i="1" s="1"/>
  <c r="BZ197" i="1"/>
  <c r="BZ193" i="1" s="1"/>
  <c r="BL197" i="1"/>
  <c r="BL193" i="1" s="1"/>
  <c r="AX197" i="1"/>
  <c r="AX193" i="1" s="1"/>
  <c r="AJ197" i="1"/>
  <c r="AJ193" i="1" s="1"/>
  <c r="BS185" i="1"/>
  <c r="BE185" i="1"/>
  <c r="AQ185" i="1"/>
  <c r="CA178" i="1"/>
  <c r="BM178" i="1"/>
  <c r="AY178" i="1"/>
  <c r="AK178" i="1"/>
  <c r="BU170" i="1"/>
  <c r="BG170" i="1"/>
  <c r="AS170" i="1"/>
  <c r="AE170" i="1"/>
  <c r="Q170" i="1"/>
  <c r="BX162" i="1"/>
  <c r="BJ162" i="1"/>
  <c r="AV162" i="1"/>
  <c r="AH162" i="1"/>
  <c r="T162" i="1"/>
  <c r="CB152" i="1"/>
  <c r="BN152" i="1"/>
  <c r="AZ152" i="1"/>
  <c r="AL152" i="1"/>
  <c r="X152" i="1"/>
  <c r="J152" i="1"/>
  <c r="BQ141" i="1"/>
  <c r="BC141" i="1"/>
  <c r="AO141" i="1"/>
  <c r="AA141" i="1"/>
  <c r="M141" i="1"/>
  <c r="M140" i="1" s="1"/>
  <c r="CB89" i="1"/>
  <c r="BN89" i="1"/>
  <c r="AZ89" i="1"/>
  <c r="AL89" i="1"/>
  <c r="X89" i="1"/>
  <c r="J89" i="1"/>
  <c r="BZ47" i="1"/>
  <c r="BL47" i="1"/>
  <c r="AJ47" i="1"/>
  <c r="V47" i="1"/>
  <c r="H47" i="1"/>
  <c r="BU19" i="1"/>
  <c r="AE19" i="1"/>
  <c r="Q19" i="1"/>
  <c r="BM5" i="1"/>
  <c r="AY5" i="1"/>
  <c r="I5" i="1"/>
  <c r="V225" i="1"/>
  <c r="AS205" i="1"/>
  <c r="AS204" i="1" s="1"/>
  <c r="BO197" i="1"/>
  <c r="BO193" i="1" s="1"/>
  <c r="BA197" i="1"/>
  <c r="BA193" i="1" s="1"/>
  <c r="BH185" i="1"/>
  <c r="CD178" i="1"/>
  <c r="AV170" i="1"/>
  <c r="AK162" i="1"/>
  <c r="G204" i="1"/>
  <c r="G85" i="1"/>
  <c r="BU229" i="1"/>
  <c r="BG229" i="1"/>
  <c r="AS229" i="1"/>
  <c r="AE229" i="1"/>
  <c r="Q229" i="1"/>
  <c r="BV225" i="1"/>
  <c r="BH225" i="1"/>
  <c r="AT225" i="1"/>
  <c r="AF225" i="1"/>
  <c r="R225" i="1"/>
  <c r="BW221" i="1"/>
  <c r="BI221" i="1"/>
  <c r="AG221" i="1"/>
  <c r="S221" i="1"/>
  <c r="BS218" i="1"/>
  <c r="BE218" i="1"/>
  <c r="AQ218" i="1"/>
  <c r="AC218" i="1"/>
  <c r="O218" i="1"/>
  <c r="BQ205" i="1"/>
  <c r="BQ204" i="1" s="1"/>
  <c r="BC205" i="1"/>
  <c r="BC204" i="1" s="1"/>
  <c r="AO205" i="1"/>
  <c r="AO204" i="1" s="1"/>
  <c r="AA205" i="1"/>
  <c r="AA204" i="1" s="1"/>
  <c r="M205" i="1"/>
  <c r="M204" i="1" s="1"/>
  <c r="BY197" i="1"/>
  <c r="BY193" i="1" s="1"/>
  <c r="BK197" i="1"/>
  <c r="BK193" i="1" s="1"/>
  <c r="AW197" i="1"/>
  <c r="AW193" i="1" s="1"/>
  <c r="AI197" i="1"/>
  <c r="AI193" i="1" s="1"/>
  <c r="BR185" i="1"/>
  <c r="BD185" i="1"/>
  <c r="AP185" i="1"/>
  <c r="BZ178" i="1"/>
  <c r="BL178" i="1"/>
  <c r="AX178" i="1"/>
  <c r="AJ178" i="1"/>
  <c r="BF170" i="1"/>
  <c r="BW162" i="1"/>
  <c r="BI162" i="1"/>
  <c r="CA89" i="1"/>
  <c r="BM89" i="1"/>
  <c r="AY89" i="1"/>
  <c r="AY84" i="1" s="1"/>
  <c r="AK89" i="1"/>
  <c r="AK84" i="1" s="1"/>
  <c r="W89" i="1"/>
  <c r="W84" i="1" s="1"/>
  <c r="I89" i="1"/>
  <c r="BY47" i="1"/>
  <c r="AI47" i="1"/>
  <c r="U47" i="1"/>
  <c r="BT19" i="1"/>
  <c r="AD19" i="1"/>
  <c r="P19" i="1"/>
  <c r="BL5" i="1"/>
  <c r="BK229" i="1"/>
  <c r="AJ225" i="1"/>
  <c r="BM221" i="1"/>
  <c r="Q205" i="1"/>
  <c r="Q204" i="1" s="1"/>
  <c r="CC197" i="1"/>
  <c r="CC193" i="1" s="1"/>
  <c r="BF229" i="1"/>
  <c r="AD229" i="1"/>
  <c r="BG225" i="1"/>
  <c r="Q225" i="1"/>
  <c r="BV221" i="1"/>
  <c r="BH221" i="1"/>
  <c r="AF221" i="1"/>
  <c r="BR218" i="1"/>
  <c r="AP218" i="1"/>
  <c r="N218" i="1"/>
  <c r="CD205" i="1"/>
  <c r="CD204" i="1" s="1"/>
  <c r="BP205" i="1"/>
  <c r="BP204" i="1" s="1"/>
  <c r="BB205" i="1"/>
  <c r="BB204" i="1" s="1"/>
  <c r="AN205" i="1"/>
  <c r="AN204" i="1" s="1"/>
  <c r="Z205" i="1"/>
  <c r="Z204" i="1" s="1"/>
  <c r="L205" i="1"/>
  <c r="L204" i="1" s="1"/>
  <c r="BX197" i="1"/>
  <c r="BX193" i="1" s="1"/>
  <c r="BJ197" i="1"/>
  <c r="BJ193" i="1" s="1"/>
  <c r="AV197" i="1"/>
  <c r="AV193" i="1" s="1"/>
  <c r="AH197" i="1"/>
  <c r="AH193" i="1" s="1"/>
  <c r="BQ185" i="1"/>
  <c r="BC185" i="1"/>
  <c r="AO185" i="1"/>
  <c r="BY178" i="1"/>
  <c r="BK178" i="1"/>
  <c r="AW178" i="1"/>
  <c r="AI178" i="1"/>
  <c r="BS170" i="1"/>
  <c r="BE170" i="1"/>
  <c r="AQ170" i="1"/>
  <c r="AC170" i="1"/>
  <c r="O170" i="1"/>
  <c r="BV162" i="1"/>
  <c r="BH162" i="1"/>
  <c r="AT162" i="1"/>
  <c r="AF162" i="1"/>
  <c r="R162" i="1"/>
  <c r="BZ152" i="1"/>
  <c r="BL152" i="1"/>
  <c r="AX152" i="1"/>
  <c r="AJ152" i="1"/>
  <c r="V152" i="1"/>
  <c r="H152" i="1"/>
  <c r="CC141" i="1"/>
  <c r="I84" i="1"/>
  <c r="BQ70" i="1"/>
  <c r="BC70" i="1"/>
  <c r="AO70" i="1"/>
  <c r="M70" i="1"/>
  <c r="BX47" i="1"/>
  <c r="AV47" i="1"/>
  <c r="AH47" i="1"/>
  <c r="T47" i="1"/>
  <c r="BS19" i="1"/>
  <c r="BE19" i="1"/>
  <c r="O19" i="1"/>
  <c r="BK5" i="1"/>
  <c r="BY229" i="1"/>
  <c r="AW229" i="1"/>
  <c r="BZ225" i="1"/>
  <c r="AX225" i="1"/>
  <c r="CA221" i="1"/>
  <c r="BT229" i="1"/>
  <c r="AR229" i="1"/>
  <c r="P229" i="1"/>
  <c r="BU225" i="1"/>
  <c r="AS225" i="1"/>
  <c r="AE225" i="1"/>
  <c r="AT221" i="1"/>
  <c r="R221" i="1"/>
  <c r="BD218" i="1"/>
  <c r="AB218" i="1"/>
  <c r="G19" i="1"/>
  <c r="BS229" i="1"/>
  <c r="BE229" i="1"/>
  <c r="AQ229" i="1"/>
  <c r="AC229" i="1"/>
  <c r="O229" i="1"/>
  <c r="BT225" i="1"/>
  <c r="BF225" i="1"/>
  <c r="AR225" i="1"/>
  <c r="AD225" i="1"/>
  <c r="P225" i="1"/>
  <c r="BU221" i="1"/>
  <c r="BG221" i="1"/>
  <c r="AS221" i="1"/>
  <c r="AE221" i="1"/>
  <c r="Q221" i="1"/>
  <c r="BQ218" i="1"/>
  <c r="BC218" i="1"/>
  <c r="AO218" i="1"/>
  <c r="AA218" i="1"/>
  <c r="M218" i="1"/>
  <c r="CC205" i="1"/>
  <c r="CC204" i="1" s="1"/>
  <c r="BO205" i="1"/>
  <c r="BO204" i="1" s="1"/>
  <c r="BA205" i="1"/>
  <c r="BA204" i="1" s="1"/>
  <c r="AM205" i="1"/>
  <c r="AM204" i="1" s="1"/>
  <c r="Y205" i="1"/>
  <c r="Y204" i="1" s="1"/>
  <c r="K205" i="1"/>
  <c r="K204" i="1" s="1"/>
  <c r="BW197" i="1"/>
  <c r="BW193" i="1" s="1"/>
  <c r="BI197" i="1"/>
  <c r="BI193" i="1" s="1"/>
  <c r="AU197" i="1"/>
  <c r="AU193" i="1" s="1"/>
  <c r="AG197" i="1"/>
  <c r="AG193" i="1" s="1"/>
  <c r="CD185" i="1"/>
  <c r="BP185" i="1"/>
  <c r="BB185" i="1"/>
  <c r="AN185" i="1"/>
  <c r="BX178" i="1"/>
  <c r="BJ178" i="1"/>
  <c r="AV178" i="1"/>
  <c r="AH178" i="1"/>
  <c r="BR170" i="1"/>
  <c r="BG162" i="1"/>
  <c r="BZ85" i="1"/>
  <c r="BL85" i="1"/>
  <c r="AX85" i="1"/>
  <c r="AJ85" i="1"/>
  <c r="V85" i="1"/>
  <c r="H85" i="1"/>
  <c r="CD70" i="1"/>
  <c r="BP70" i="1"/>
  <c r="AN70" i="1"/>
  <c r="Z70" i="1"/>
  <c r="L70" i="1"/>
  <c r="BW47" i="1"/>
  <c r="BI47" i="1"/>
  <c r="S47" i="1"/>
  <c r="BR19" i="1"/>
  <c r="BD19" i="1"/>
  <c r="N19" i="1"/>
  <c r="AV5" i="1"/>
  <c r="BM156" i="1"/>
  <c r="AY156" i="1"/>
  <c r="BE225" i="1"/>
  <c r="AC225" i="1"/>
  <c r="AR221" i="1"/>
  <c r="P221" i="1"/>
  <c r="AZ204" i="1"/>
  <c r="AL204" i="1"/>
  <c r="X204" i="1"/>
  <c r="J204" i="1"/>
  <c r="BV197" i="1"/>
  <c r="BV193" i="1" s="1"/>
  <c r="BH197" i="1"/>
  <c r="BH193" i="1" s="1"/>
  <c r="AT197" i="1"/>
  <c r="AT193" i="1" s="1"/>
  <c r="AF197" i="1"/>
  <c r="AF193" i="1" s="1"/>
  <c r="CC185" i="1"/>
  <c r="BO185" i="1"/>
  <c r="BA185" i="1"/>
  <c r="AM185" i="1"/>
  <c r="BW178" i="1"/>
  <c r="BI178" i="1"/>
  <c r="AU178" i="1"/>
  <c r="AG178" i="1"/>
  <c r="BQ170" i="1"/>
  <c r="BC170" i="1"/>
  <c r="AO170" i="1"/>
  <c r="BT162" i="1"/>
  <c r="BF162" i="1"/>
  <c r="AR162" i="1"/>
  <c r="CA141" i="1"/>
  <c r="BM141" i="1"/>
  <c r="AY141" i="1"/>
  <c r="AK141" i="1"/>
  <c r="W141" i="1"/>
  <c r="I141" i="1"/>
  <c r="BR96" i="1"/>
  <c r="BD96" i="1"/>
  <c r="AP96" i="1"/>
  <c r="BX89" i="1"/>
  <c r="BJ89" i="1"/>
  <c r="AV89" i="1"/>
  <c r="AH89" i="1"/>
  <c r="T89" i="1"/>
  <c r="BY85" i="1"/>
  <c r="BK85" i="1"/>
  <c r="AI85" i="1"/>
  <c r="U85" i="1"/>
  <c r="BZ80" i="1"/>
  <c r="BL80" i="1"/>
  <c r="AX80" i="1"/>
  <c r="AJ80" i="1"/>
  <c r="V80" i="1"/>
  <c r="H80" i="1"/>
  <c r="CC70" i="1"/>
  <c r="BO70" i="1"/>
  <c r="BA70" i="1"/>
  <c r="AM70" i="1"/>
  <c r="Y70" i="1"/>
  <c r="K70" i="1"/>
  <c r="BV47" i="1"/>
  <c r="BH47" i="1"/>
  <c r="AT47" i="1"/>
  <c r="AF47" i="1"/>
  <c r="R47" i="1"/>
  <c r="BQ19" i="1"/>
  <c r="BC19" i="1"/>
  <c r="AO19" i="1"/>
  <c r="AA19" i="1"/>
  <c r="M19" i="1"/>
  <c r="BZ156" i="1"/>
  <c r="BL156" i="1"/>
  <c r="AX156" i="1"/>
  <c r="AJ156" i="1"/>
  <c r="J156" i="1"/>
  <c r="T156" i="1"/>
  <c r="U229" i="1"/>
  <c r="G141" i="1"/>
  <c r="BS225" i="1"/>
  <c r="AQ225" i="1"/>
  <c r="O225" i="1"/>
  <c r="BT221" i="1"/>
  <c r="BF221" i="1"/>
  <c r="AD221" i="1"/>
  <c r="G229" i="1"/>
  <c r="BR225" i="1"/>
  <c r="BD225" i="1"/>
  <c r="AP225" i="1"/>
  <c r="AB225" i="1"/>
  <c r="N225" i="1"/>
  <c r="BS221" i="1"/>
  <c r="BE221" i="1"/>
  <c r="AQ221" i="1"/>
  <c r="AC221" i="1"/>
  <c r="O221" i="1"/>
  <c r="BU197" i="1"/>
  <c r="BU193" i="1" s="1"/>
  <c r="BG197" i="1"/>
  <c r="BG193" i="1" s="1"/>
  <c r="AS197" i="1"/>
  <c r="AS193" i="1" s="1"/>
  <c r="CB185" i="1"/>
  <c r="BN185" i="1"/>
  <c r="AZ185" i="1"/>
  <c r="AL185" i="1"/>
  <c r="BV178" i="1"/>
  <c r="AT178" i="1"/>
  <c r="AF178" i="1"/>
  <c r="CD170" i="1"/>
  <c r="BP170" i="1"/>
  <c r="BB170" i="1"/>
  <c r="AN170" i="1"/>
  <c r="BS162" i="1"/>
  <c r="BE162" i="1"/>
  <c r="AQ162" i="1"/>
  <c r="BZ141" i="1"/>
  <c r="BL141" i="1"/>
  <c r="AX141" i="1"/>
  <c r="AJ141" i="1"/>
  <c r="V141" i="1"/>
  <c r="H141" i="1"/>
  <c r="BW89" i="1"/>
  <c r="BI89" i="1"/>
  <c r="BI84" i="1" s="1"/>
  <c r="AU89" i="1"/>
  <c r="AU84" i="1" s="1"/>
  <c r="AG89" i="1"/>
  <c r="AG84" i="1" s="1"/>
  <c r="S89" i="1"/>
  <c r="BX85" i="1"/>
  <c r="BJ85" i="1"/>
  <c r="AV85" i="1"/>
  <c r="AH85" i="1"/>
  <c r="T85" i="1"/>
  <c r="BY80" i="1"/>
  <c r="BK80" i="1"/>
  <c r="AW80" i="1"/>
  <c r="AI80" i="1"/>
  <c r="U80" i="1"/>
  <c r="CB70" i="1"/>
  <c r="BN70" i="1"/>
  <c r="AZ70" i="1"/>
  <c r="AL70" i="1"/>
  <c r="X70" i="1"/>
  <c r="J70" i="1"/>
  <c r="BU47" i="1"/>
  <c r="BG47" i="1"/>
  <c r="AS47" i="1"/>
  <c r="AE47" i="1"/>
  <c r="Q47" i="1"/>
  <c r="BF19" i="1"/>
  <c r="AR19" i="1"/>
  <c r="BK19" i="1"/>
  <c r="CD19" i="1"/>
  <c r="BP19" i="1"/>
  <c r="BB19" i="1"/>
  <c r="AN19" i="1"/>
  <c r="Z19" i="1"/>
  <c r="U5" i="1"/>
  <c r="BB5" i="1"/>
  <c r="BG5" i="1"/>
  <c r="BZ5" i="1"/>
  <c r="V5" i="1"/>
  <c r="BV5" i="1"/>
  <c r="BH5" i="1"/>
  <c r="AT5" i="1"/>
  <c r="AF5" i="1"/>
  <c r="R5" i="1"/>
  <c r="BY156" i="1"/>
  <c r="BK156" i="1"/>
  <c r="AW156" i="1"/>
  <c r="AI156" i="1"/>
  <c r="I156" i="1"/>
  <c r="S156" i="1"/>
  <c r="BV89" i="1"/>
  <c r="BH89" i="1"/>
  <c r="AT89" i="1"/>
  <c r="AT84" i="1" s="1"/>
  <c r="AF89" i="1"/>
  <c r="AF84" i="1" s="1"/>
  <c r="R89" i="1"/>
  <c r="BX156" i="1"/>
  <c r="BJ156" i="1"/>
  <c r="AV156" i="1"/>
  <c r="AH156" i="1"/>
  <c r="H156" i="1"/>
  <c r="BW156" i="1"/>
  <c r="BI156" i="1"/>
  <c r="AU156" i="1"/>
  <c r="AG156" i="1"/>
  <c r="AE156" i="1"/>
  <c r="BS5" i="1"/>
  <c r="BE5" i="1"/>
  <c r="AQ5" i="1"/>
  <c r="AC5" i="1"/>
  <c r="O5" i="1"/>
  <c r="BV156" i="1"/>
  <c r="BH156" i="1"/>
  <c r="AF156" i="1"/>
  <c r="AD156" i="1"/>
  <c r="BR5" i="1"/>
  <c r="BD5" i="1"/>
  <c r="AP5" i="1"/>
  <c r="AB5" i="1"/>
  <c r="N5" i="1"/>
  <c r="BU156" i="1"/>
  <c r="BG156" i="1"/>
  <c r="AS156" i="1"/>
  <c r="G156" i="1"/>
  <c r="AC156" i="1"/>
  <c r="CB162" i="1"/>
  <c r="BN162" i="1"/>
  <c r="AZ162" i="1"/>
  <c r="AL162" i="1"/>
  <c r="J162" i="1"/>
  <c r="BR152" i="1"/>
  <c r="BD152" i="1"/>
  <c r="AP152" i="1"/>
  <c r="AB152" i="1"/>
  <c r="N152" i="1"/>
  <c r="BU141" i="1"/>
  <c r="BU140" i="1" s="1"/>
  <c r="BG141" i="1"/>
  <c r="BG140" i="1" s="1"/>
  <c r="AS141" i="1"/>
  <c r="AS140" i="1" s="1"/>
  <c r="AE141" i="1"/>
  <c r="AE140" i="1" s="1"/>
  <c r="Q141" i="1"/>
  <c r="Q140" i="1" s="1"/>
  <c r="BS85" i="1"/>
  <c r="BE85" i="1"/>
  <c r="AQ85" i="1"/>
  <c r="AC85" i="1"/>
  <c r="O85" i="1"/>
  <c r="AU70" i="1"/>
  <c r="AG70" i="1"/>
  <c r="S70" i="1"/>
  <c r="BQ5" i="1"/>
  <c r="BC5" i="1"/>
  <c r="AO5" i="1"/>
  <c r="AA5" i="1"/>
  <c r="M5" i="1"/>
  <c r="BT156" i="1"/>
  <c r="BF156" i="1"/>
  <c r="AR156" i="1"/>
  <c r="R156" i="1"/>
  <c r="AB156" i="1"/>
  <c r="BR85" i="1"/>
  <c r="BD85" i="1"/>
  <c r="AP85" i="1"/>
  <c r="AB85" i="1"/>
  <c r="N85" i="1"/>
  <c r="AT70" i="1"/>
  <c r="AF70" i="1"/>
  <c r="R70" i="1"/>
  <c r="CC47" i="1"/>
  <c r="BO47" i="1"/>
  <c r="BA47" i="1"/>
  <c r="AM47" i="1"/>
  <c r="Y47" i="1"/>
  <c r="K47" i="1"/>
  <c r="BX19" i="1"/>
  <c r="BJ19" i="1"/>
  <c r="AV19" i="1"/>
  <c r="AH19" i="1"/>
  <c r="T19" i="1"/>
  <c r="BS156" i="1"/>
  <c r="BE156" i="1"/>
  <c r="AQ156" i="1"/>
  <c r="Q156" i="1"/>
  <c r="AA156" i="1"/>
  <c r="H162" i="1"/>
  <c r="CD152" i="1"/>
  <c r="BP152" i="1"/>
  <c r="BB152" i="1"/>
  <c r="AN152" i="1"/>
  <c r="Z152" i="1"/>
  <c r="L152" i="1"/>
  <c r="BS141" i="1"/>
  <c r="BS140" i="1" s="1"/>
  <c r="BE141" i="1"/>
  <c r="BE140" i="1" s="1"/>
  <c r="AQ141" i="1"/>
  <c r="AC141" i="1"/>
  <c r="O141" i="1"/>
  <c r="BQ85" i="1"/>
  <c r="BC85" i="1"/>
  <c r="AO85" i="1"/>
  <c r="AA85" i="1"/>
  <c r="M85" i="1"/>
  <c r="AE70" i="1"/>
  <c r="Q70" i="1"/>
  <c r="CB47" i="1"/>
  <c r="BN47" i="1"/>
  <c r="AZ47" i="1"/>
  <c r="AL47" i="1"/>
  <c r="X47" i="1"/>
  <c r="J47" i="1"/>
  <c r="BW19" i="1"/>
  <c r="BI19" i="1"/>
  <c r="AU19" i="1"/>
  <c r="AG19" i="1"/>
  <c r="S19" i="1"/>
  <c r="BR156" i="1"/>
  <c r="BD156" i="1"/>
  <c r="AP156" i="1"/>
  <c r="P156" i="1"/>
  <c r="AB141" i="1"/>
  <c r="N141" i="1"/>
  <c r="BW96" i="1"/>
  <c r="BI96" i="1"/>
  <c r="AU96" i="1"/>
  <c r="AG96" i="1"/>
  <c r="CD85" i="1"/>
  <c r="BP85" i="1"/>
  <c r="BB85" i="1"/>
  <c r="AN85" i="1"/>
  <c r="Z85" i="1"/>
  <c r="L85" i="1"/>
  <c r="BT70" i="1"/>
  <c r="BF70" i="1"/>
  <c r="AR70" i="1"/>
  <c r="AD70" i="1"/>
  <c r="P70" i="1"/>
  <c r="CA47" i="1"/>
  <c r="BM47" i="1"/>
  <c r="AY47" i="1"/>
  <c r="AK47" i="1"/>
  <c r="W47" i="1"/>
  <c r="I47" i="1"/>
  <c r="BV19" i="1"/>
  <c r="BH19" i="1"/>
  <c r="AT19" i="1"/>
  <c r="AF19" i="1"/>
  <c r="R19" i="1"/>
  <c r="BQ156" i="1"/>
  <c r="BC156" i="1"/>
  <c r="AO156" i="1"/>
  <c r="O156" i="1"/>
  <c r="Y156" i="1"/>
  <c r="Y155" i="1" s="1"/>
  <c r="BV96" i="1"/>
  <c r="BH96" i="1"/>
  <c r="AT96" i="1"/>
  <c r="AF96" i="1"/>
  <c r="CC85" i="1"/>
  <c r="BO85" i="1"/>
  <c r="BA85" i="1"/>
  <c r="AM85" i="1"/>
  <c r="Y85" i="1"/>
  <c r="K85" i="1"/>
  <c r="CD80" i="1"/>
  <c r="BP80" i="1"/>
  <c r="BB80" i="1"/>
  <c r="AN80" i="1"/>
  <c r="Z80" i="1"/>
  <c r="L80" i="1"/>
  <c r="BS70" i="1"/>
  <c r="BE70" i="1"/>
  <c r="AQ70" i="1"/>
  <c r="AC70" i="1"/>
  <c r="O70" i="1"/>
  <c r="CD156" i="1"/>
  <c r="BP156" i="1"/>
  <c r="BB156" i="1"/>
  <c r="BT170" i="1"/>
  <c r="AR170" i="1"/>
  <c r="AD170" i="1"/>
  <c r="P170" i="1"/>
  <c r="AU162" i="1"/>
  <c r="AG162" i="1"/>
  <c r="S162" i="1"/>
  <c r="CA152" i="1"/>
  <c r="BM152" i="1"/>
  <c r="AY152" i="1"/>
  <c r="AK152" i="1"/>
  <c r="W152" i="1"/>
  <c r="I152" i="1"/>
  <c r="CD141" i="1"/>
  <c r="BP141" i="1"/>
  <c r="BB141" i="1"/>
  <c r="AN141" i="1"/>
  <c r="Z141" i="1"/>
  <c r="L141" i="1"/>
  <c r="BU96" i="1"/>
  <c r="BG96" i="1"/>
  <c r="AS96" i="1"/>
  <c r="CB85" i="1"/>
  <c r="BN85" i="1"/>
  <c r="AZ85" i="1"/>
  <c r="AL85" i="1"/>
  <c r="X85" i="1"/>
  <c r="J85" i="1"/>
  <c r="CC80" i="1"/>
  <c r="BO80" i="1"/>
  <c r="BA80" i="1"/>
  <c r="AM80" i="1"/>
  <c r="Y80" i="1"/>
  <c r="K80" i="1"/>
  <c r="BR70" i="1"/>
  <c r="BD70" i="1"/>
  <c r="AP70" i="1"/>
  <c r="AB70" i="1"/>
  <c r="N70" i="1"/>
  <c r="CC156" i="1"/>
  <c r="BO156" i="1"/>
  <c r="BA156" i="1"/>
  <c r="M156" i="1"/>
  <c r="BO141" i="1"/>
  <c r="BA141" i="1"/>
  <c r="AM141" i="1"/>
  <c r="Y141" i="1"/>
  <c r="K141" i="1"/>
  <c r="K140" i="1" s="1"/>
  <c r="BT96" i="1"/>
  <c r="BF96" i="1"/>
  <c r="AR96" i="1"/>
  <c r="BZ89" i="1"/>
  <c r="BL89" i="1"/>
  <c r="AX89" i="1"/>
  <c r="AJ89" i="1"/>
  <c r="V89" i="1"/>
  <c r="H89" i="1"/>
  <c r="CB80" i="1"/>
  <c r="BN80" i="1"/>
  <c r="AZ80" i="1"/>
  <c r="AL80" i="1"/>
  <c r="X80" i="1"/>
  <c r="J80" i="1"/>
  <c r="CB156" i="1"/>
  <c r="BN156" i="1"/>
  <c r="AZ156" i="1"/>
  <c r="BD170" i="1"/>
  <c r="AP170" i="1"/>
  <c r="AB170" i="1"/>
  <c r="N170" i="1"/>
  <c r="N155" i="1" s="1"/>
  <c r="BU162" i="1"/>
  <c r="AS162" i="1"/>
  <c r="AE162" i="1"/>
  <c r="Q162" i="1"/>
  <c r="BY152" i="1"/>
  <c r="BK152" i="1"/>
  <c r="AW152" i="1"/>
  <c r="AI152" i="1"/>
  <c r="U152" i="1"/>
  <c r="CB141" i="1"/>
  <c r="BN141" i="1"/>
  <c r="AZ141" i="1"/>
  <c r="AL141" i="1"/>
  <c r="X141" i="1"/>
  <c r="J141" i="1"/>
  <c r="BS96" i="1"/>
  <c r="BE96" i="1"/>
  <c r="AQ96" i="1"/>
  <c r="BY89" i="1"/>
  <c r="BK89" i="1"/>
  <c r="AW89" i="1"/>
  <c r="AI89" i="1"/>
  <c r="U89" i="1"/>
  <c r="CA80" i="1"/>
  <c r="BM80" i="1"/>
  <c r="AY80" i="1"/>
  <c r="AK80" i="1"/>
  <c r="W80" i="1"/>
  <c r="I80" i="1"/>
  <c r="CA156" i="1"/>
  <c r="AK156" i="1"/>
  <c r="U156" i="1"/>
  <c r="AN156" i="1"/>
  <c r="X156" i="1"/>
  <c r="AM156" i="1"/>
  <c r="W156" i="1"/>
  <c r="AL156" i="1"/>
  <c r="V156" i="1"/>
  <c r="BD100" i="1" l="1"/>
  <c r="BQ84" i="1"/>
  <c r="BN217" i="1"/>
  <c r="BW100" i="1"/>
  <c r="P100" i="1"/>
  <c r="AD84" i="1"/>
  <c r="AJ100" i="1"/>
  <c r="AK100" i="1"/>
  <c r="AM217" i="1"/>
  <c r="BU84" i="1"/>
  <c r="BT140" i="1"/>
  <c r="Q84" i="1"/>
  <c r="S4" i="1"/>
  <c r="I217" i="1"/>
  <c r="AP100" i="1"/>
  <c r="H100" i="1"/>
  <c r="AD100" i="1"/>
  <c r="BM100" i="1"/>
  <c r="AR100" i="1"/>
  <c r="X155" i="1"/>
  <c r="BO217" i="1"/>
  <c r="V100" i="1"/>
  <c r="AY100" i="1"/>
  <c r="CD84" i="1"/>
  <c r="CC217" i="1"/>
  <c r="L100" i="1"/>
  <c r="K217" i="1"/>
  <c r="CA100" i="1"/>
  <c r="BY100" i="1"/>
  <c r="BF100" i="1"/>
  <c r="Q155" i="1"/>
  <c r="AE84" i="1"/>
  <c r="BH100" i="1"/>
  <c r="CD100" i="1"/>
  <c r="M100" i="1"/>
  <c r="BA217" i="1"/>
  <c r="AX100" i="1"/>
  <c r="BO100" i="1"/>
  <c r="AL100" i="1"/>
  <c r="I100" i="1"/>
  <c r="BI4" i="1"/>
  <c r="BI3" i="1" s="1"/>
  <c r="U155" i="1"/>
  <c r="Y217" i="1"/>
  <c r="BE100" i="1"/>
  <c r="J100" i="1"/>
  <c r="W100" i="1"/>
  <c r="X140" i="1"/>
  <c r="AL140" i="1"/>
  <c r="AN217" i="1"/>
  <c r="BW4" i="1"/>
  <c r="G155" i="1"/>
  <c r="R84" i="1"/>
  <c r="CC100" i="1"/>
  <c r="AH100" i="1"/>
  <c r="Z100" i="1"/>
  <c r="BR100" i="1"/>
  <c r="S100" i="1"/>
  <c r="BU100" i="1"/>
  <c r="AV100" i="1"/>
  <c r="T100" i="1"/>
  <c r="BT100" i="1"/>
  <c r="AE100" i="1"/>
  <c r="U100" i="1"/>
  <c r="BQ100" i="1"/>
  <c r="K100" i="1"/>
  <c r="AS100" i="1"/>
  <c r="AN100" i="1"/>
  <c r="BV100" i="1"/>
  <c r="AA100" i="1"/>
  <c r="O100" i="1"/>
  <c r="Z155" i="1"/>
  <c r="BL100" i="1"/>
  <c r="AG100" i="1"/>
  <c r="BJ100" i="1"/>
  <c r="AB100" i="1"/>
  <c r="AZ100" i="1"/>
  <c r="AI100" i="1"/>
  <c r="Y100" i="1"/>
  <c r="BG100" i="1"/>
  <c r="AW100" i="1"/>
  <c r="AE155" i="1"/>
  <c r="AE139" i="1" s="1"/>
  <c r="BB217" i="1"/>
  <c r="AR84" i="1"/>
  <c r="BG84" i="1"/>
  <c r="BB100" i="1"/>
  <c r="AO100" i="1"/>
  <c r="AC100" i="1"/>
  <c r="BS100" i="1"/>
  <c r="BZ100" i="1"/>
  <c r="AT100" i="1"/>
  <c r="AU100" i="1"/>
  <c r="BX100" i="1"/>
  <c r="BN100" i="1"/>
  <c r="X100" i="1"/>
  <c r="AM100" i="1"/>
  <c r="Q100" i="1"/>
  <c r="AS84" i="1"/>
  <c r="AB140" i="1"/>
  <c r="AH140" i="1"/>
  <c r="BP217" i="1"/>
  <c r="BF84" i="1"/>
  <c r="BP100" i="1"/>
  <c r="BC100" i="1"/>
  <c r="AQ100" i="1"/>
  <c r="R100" i="1"/>
  <c r="BI100" i="1"/>
  <c r="CB100" i="1"/>
  <c r="BK100" i="1"/>
  <c r="BA100" i="1"/>
  <c r="AA140" i="1"/>
  <c r="AA139" i="1" s="1"/>
  <c r="AO140" i="1"/>
  <c r="AV140" i="1"/>
  <c r="AF100" i="1"/>
  <c r="BD84" i="1"/>
  <c r="BJ140" i="1"/>
  <c r="AL217" i="1"/>
  <c r="L217" i="1"/>
  <c r="BO140" i="1"/>
  <c r="Z217" i="1"/>
  <c r="AO217" i="1"/>
  <c r="M217" i="1"/>
  <c r="N140" i="1"/>
  <c r="N139" i="1" s="1"/>
  <c r="AM84" i="1"/>
  <c r="AA217" i="1"/>
  <c r="AR140" i="1"/>
  <c r="K155" i="1"/>
  <c r="N100" i="1"/>
  <c r="BR84" i="1"/>
  <c r="BA84" i="1"/>
  <c r="AO84" i="1"/>
  <c r="BC84" i="1"/>
  <c r="BW84" i="1"/>
  <c r="BF140" i="1"/>
  <c r="AC140" i="1"/>
  <c r="AA155" i="1"/>
  <c r="P84" i="1"/>
  <c r="BH84" i="1"/>
  <c r="BX140" i="1"/>
  <c r="AZ217" i="1"/>
  <c r="CD217" i="1"/>
  <c r="BV84" i="1"/>
  <c r="AQ140" i="1"/>
  <c r="AG4" i="1"/>
  <c r="AG3" i="1" s="1"/>
  <c r="AS155" i="1"/>
  <c r="AS139" i="1" s="1"/>
  <c r="AY217" i="1"/>
  <c r="BN140" i="1"/>
  <c r="AC84" i="1"/>
  <c r="S84" i="1"/>
  <c r="BU155" i="1"/>
  <c r="BU139" i="1" s="1"/>
  <c r="BM84" i="1"/>
  <c r="AI217" i="1"/>
  <c r="G100" i="1"/>
  <c r="X84" i="1"/>
  <c r="AL84" i="1"/>
  <c r="BX4" i="1"/>
  <c r="Z84" i="1"/>
  <c r="L155" i="1"/>
  <c r="BL217" i="1"/>
  <c r="BQ155" i="1"/>
  <c r="AZ140" i="1"/>
  <c r="AZ84" i="1"/>
  <c r="L84" i="1"/>
  <c r="CB140" i="1"/>
  <c r="AA84" i="1"/>
  <c r="BE84" i="1"/>
  <c r="BK217" i="1"/>
  <c r="J84" i="1"/>
  <c r="AQ84" i="1"/>
  <c r="BS84" i="1"/>
  <c r="CA84" i="1"/>
  <c r="BQ140" i="1"/>
  <c r="BO84" i="1"/>
  <c r="M84" i="1"/>
  <c r="R155" i="1"/>
  <c r="AD155" i="1"/>
  <c r="AD139" i="1" s="1"/>
  <c r="AY155" i="1"/>
  <c r="V155" i="1"/>
  <c r="CC84" i="1"/>
  <c r="BY155" i="1"/>
  <c r="BM155" i="1"/>
  <c r="BC217" i="1"/>
  <c r="CB217" i="1"/>
  <c r="BT84" i="1"/>
  <c r="BJ4" i="1"/>
  <c r="AV155" i="1"/>
  <c r="R4" i="1"/>
  <c r="CD4" i="1"/>
  <c r="BQ217" i="1"/>
  <c r="BI217" i="1"/>
  <c r="W217" i="1"/>
  <c r="AS4" i="1"/>
  <c r="AG140" i="1"/>
  <c r="S155" i="1"/>
  <c r="AU4" i="1"/>
  <c r="AU3" i="1" s="1"/>
  <c r="BJ155" i="1"/>
  <c r="AF4" i="1"/>
  <c r="AF3" i="1" s="1"/>
  <c r="AX217" i="1"/>
  <c r="T155" i="1"/>
  <c r="AF140" i="1"/>
  <c r="AT4" i="1"/>
  <c r="AT3" i="1" s="1"/>
  <c r="I140" i="1"/>
  <c r="G4" i="1"/>
  <c r="AW217" i="1"/>
  <c r="AT140" i="1"/>
  <c r="AB217" i="1"/>
  <c r="AE217" i="1"/>
  <c r="BZ217" i="1"/>
  <c r="BH140" i="1"/>
  <c r="AN155" i="1"/>
  <c r="W140" i="1"/>
  <c r="AN4" i="1"/>
  <c r="AO4" i="1"/>
  <c r="BD217" i="1"/>
  <c r="BV140" i="1"/>
  <c r="AB155" i="1"/>
  <c r="O4" i="1"/>
  <c r="O155" i="1"/>
  <c r="BC4" i="1"/>
  <c r="Q4" i="1"/>
  <c r="J217" i="1"/>
  <c r="CA155" i="1"/>
  <c r="T4" i="1"/>
  <c r="BQ4" i="1"/>
  <c r="BQ3" i="1" s="1"/>
  <c r="CC155" i="1"/>
  <c r="AE4" i="1"/>
  <c r="X217" i="1"/>
  <c r="L140" i="1"/>
  <c r="O140" i="1"/>
  <c r="AC4" i="1"/>
  <c r="J140" i="1"/>
  <c r="M155" i="1"/>
  <c r="M139" i="1" s="1"/>
  <c r="BC155" i="1"/>
  <c r="AZ4" i="1"/>
  <c r="U217" i="1"/>
  <c r="AW4" i="1"/>
  <c r="T140" i="1"/>
  <c r="BY4" i="1"/>
  <c r="BG155" i="1"/>
  <c r="BG139" i="1" s="1"/>
  <c r="BA140" i="1"/>
  <c r="AH155" i="1"/>
  <c r="AH139" i="1" s="1"/>
  <c r="BP4" i="1"/>
  <c r="AJ217" i="1"/>
  <c r="BI140" i="1"/>
  <c r="Y4" i="1"/>
  <c r="BW140" i="1"/>
  <c r="AM4" i="1"/>
  <c r="BN4" i="1"/>
  <c r="AS217" i="1"/>
  <c r="AG217" i="1"/>
  <c r="BU4" i="1"/>
  <c r="BU3" i="1" s="1"/>
  <c r="AI4" i="1"/>
  <c r="BM217" i="1"/>
  <c r="AH84" i="1"/>
  <c r="N217" i="1"/>
  <c r="AJ4" i="1"/>
  <c r="BF4" i="1"/>
  <c r="BF3" i="1" s="1"/>
  <c r="AK4" i="1"/>
  <c r="AK3" i="1" s="1"/>
  <c r="AP155" i="1"/>
  <c r="AP217" i="1"/>
  <c r="AK217" i="1"/>
  <c r="J4" i="1"/>
  <c r="BD155" i="1"/>
  <c r="R140" i="1"/>
  <c r="AR4" i="1"/>
  <c r="AR3" i="1" s="1"/>
  <c r="P155" i="1"/>
  <c r="P139" i="1" s="1"/>
  <c r="Y84" i="1"/>
  <c r="H84" i="1"/>
  <c r="BR217" i="1"/>
  <c r="P4" i="1"/>
  <c r="BY217" i="1"/>
  <c r="H4" i="1"/>
  <c r="X4" i="1"/>
  <c r="AX4" i="1"/>
  <c r="BF155" i="1"/>
  <c r="CA4" i="1"/>
  <c r="W4" i="1"/>
  <c r="W3" i="1" s="1"/>
  <c r="H140" i="1"/>
  <c r="K139" i="1"/>
  <c r="BR155" i="1"/>
  <c r="N84" i="1"/>
  <c r="Z4" i="1"/>
  <c r="Z3" i="1" s="1"/>
  <c r="U84" i="1"/>
  <c r="V84" i="1"/>
  <c r="CA217" i="1"/>
  <c r="AD4" i="1"/>
  <c r="AD3" i="1" s="1"/>
  <c r="AL4" i="1"/>
  <c r="AC155" i="1"/>
  <c r="AC139" i="1" s="1"/>
  <c r="BN84" i="1"/>
  <c r="CB84" i="1"/>
  <c r="BP84" i="1"/>
  <c r="AI84" i="1"/>
  <c r="AV4" i="1"/>
  <c r="AJ84" i="1"/>
  <c r="BT4" i="1"/>
  <c r="BT3" i="1" s="1"/>
  <c r="H217" i="1"/>
  <c r="S140" i="1"/>
  <c r="CB4" i="1"/>
  <c r="H155" i="1"/>
  <c r="AU217" i="1"/>
  <c r="V217" i="1"/>
  <c r="L4" i="1"/>
  <c r="L3" i="1" s="1"/>
  <c r="AU140" i="1"/>
  <c r="AG155" i="1"/>
  <c r="K4" i="1"/>
  <c r="W155" i="1"/>
  <c r="AM140" i="1"/>
  <c r="AO155" i="1"/>
  <c r="AO139" i="1" s="1"/>
  <c r="AP84" i="1"/>
  <c r="AA4" i="1"/>
  <c r="BK155" i="1"/>
  <c r="BZ140" i="1"/>
  <c r="BL155" i="1"/>
  <c r="BV155" i="1"/>
  <c r="BS217" i="1"/>
  <c r="BM4" i="1"/>
  <c r="BT217" i="1"/>
  <c r="S217" i="1"/>
  <c r="AH217" i="1"/>
  <c r="BY140" i="1"/>
  <c r="BY139" i="1" s="1"/>
  <c r="BZ155" i="1"/>
  <c r="G84" i="1"/>
  <c r="AV217" i="1"/>
  <c r="AQ155" i="1"/>
  <c r="AQ139" i="1" s="1"/>
  <c r="BK84" i="1"/>
  <c r="Q217" i="1"/>
  <c r="BX217" i="1"/>
  <c r="AR155" i="1"/>
  <c r="BS155" i="1"/>
  <c r="BS139" i="1" s="1"/>
  <c r="BA4" i="1"/>
  <c r="BT155" i="1"/>
  <c r="AW84" i="1"/>
  <c r="BL84" i="1"/>
  <c r="Z140" i="1"/>
  <c r="Z139" i="1" s="1"/>
  <c r="AQ4" i="1"/>
  <c r="AQ3" i="1" s="1"/>
  <c r="BV4" i="1"/>
  <c r="BV3" i="1" s="1"/>
  <c r="AK140" i="1"/>
  <c r="BZ84" i="1"/>
  <c r="BI155" i="1"/>
  <c r="BL4" i="1"/>
  <c r="BG217" i="1"/>
  <c r="BO4" i="1"/>
  <c r="BJ217" i="1"/>
  <c r="AX84" i="1"/>
  <c r="AK155" i="1"/>
  <c r="BH4" i="1"/>
  <c r="AU155" i="1"/>
  <c r="AN140" i="1"/>
  <c r="O84" i="1"/>
  <c r="BE4" i="1"/>
  <c r="V4" i="1"/>
  <c r="AY140" i="1"/>
  <c r="BW155" i="1"/>
  <c r="BA155" i="1"/>
  <c r="BU217" i="1"/>
  <c r="CC4" i="1"/>
  <c r="AM155" i="1"/>
  <c r="Q139" i="1"/>
  <c r="BN155" i="1"/>
  <c r="BX155" i="1"/>
  <c r="BS4" i="1"/>
  <c r="BS3" i="1" s="1"/>
  <c r="BZ4" i="1"/>
  <c r="T84" i="1"/>
  <c r="G140" i="1"/>
  <c r="BM140" i="1"/>
  <c r="BO155" i="1"/>
  <c r="G217" i="1"/>
  <c r="AH4" i="1"/>
  <c r="CB155" i="1"/>
  <c r="N4" i="1"/>
  <c r="CA140" i="1"/>
  <c r="BK4" i="1"/>
  <c r="R217" i="1"/>
  <c r="BW217" i="1"/>
  <c r="AZ155" i="1"/>
  <c r="BG4" i="1"/>
  <c r="BG3" i="1" s="1"/>
  <c r="BB155" i="1"/>
  <c r="AB4" i="1"/>
  <c r="BB4" i="1"/>
  <c r="AV84" i="1"/>
  <c r="V140" i="1"/>
  <c r="O217" i="1"/>
  <c r="P217" i="1"/>
  <c r="AF217" i="1"/>
  <c r="U140" i="1"/>
  <c r="BE155" i="1"/>
  <c r="BE139" i="1" s="1"/>
  <c r="BY84" i="1"/>
  <c r="BB140" i="1"/>
  <c r="CD140" i="1"/>
  <c r="K84" i="1"/>
  <c r="BP155" i="1"/>
  <c r="AP4" i="1"/>
  <c r="I155" i="1"/>
  <c r="U4" i="1"/>
  <c r="BJ84" i="1"/>
  <c r="AJ140" i="1"/>
  <c r="J155" i="1"/>
  <c r="J139" i="1" s="1"/>
  <c r="AF155" i="1"/>
  <c r="AC217" i="1"/>
  <c r="AD217" i="1"/>
  <c r="AP140" i="1"/>
  <c r="AT217" i="1"/>
  <c r="AI140" i="1"/>
  <c r="CD155" i="1"/>
  <c r="BD4" i="1"/>
  <c r="BD3" i="1" s="1"/>
  <c r="AI155" i="1"/>
  <c r="BX84" i="1"/>
  <c r="AX140" i="1"/>
  <c r="AJ155" i="1"/>
  <c r="AT155" i="1"/>
  <c r="CC140" i="1"/>
  <c r="AQ217" i="1"/>
  <c r="I4" i="1"/>
  <c r="I3" i="1" s="1"/>
  <c r="AR217" i="1"/>
  <c r="BD140" i="1"/>
  <c r="BH217" i="1"/>
  <c r="AW140" i="1"/>
  <c r="BC140" i="1"/>
  <c r="AN84" i="1"/>
  <c r="BB84" i="1"/>
  <c r="BP140" i="1"/>
  <c r="AL155" i="1"/>
  <c r="AL139" i="1" s="1"/>
  <c r="X139" i="1"/>
  <c r="Y140" i="1"/>
  <c r="Y139" i="1" s="1"/>
  <c r="AB84" i="1"/>
  <c r="M4" i="1"/>
  <c r="BR4" i="1"/>
  <c r="BR3" i="1" s="1"/>
  <c r="AW155" i="1"/>
  <c r="BL140" i="1"/>
  <c r="AX155" i="1"/>
  <c r="BH155" i="1"/>
  <c r="BE217" i="1"/>
  <c r="AY4" i="1"/>
  <c r="AY3" i="1" s="1"/>
  <c r="BF217" i="1"/>
  <c r="BR140" i="1"/>
  <c r="BV217" i="1"/>
  <c r="T217" i="1"/>
  <c r="BK140" i="1"/>
  <c r="AG139" i="1" l="1"/>
  <c r="J3" i="1"/>
  <c r="Q3" i="1"/>
  <c r="AS3" i="1"/>
  <c r="BT139" i="1"/>
  <c r="BT232" i="1" s="1"/>
  <c r="S3" i="1"/>
  <c r="U139" i="1"/>
  <c r="AR139" i="1"/>
  <c r="AB139" i="1"/>
  <c r="BX139" i="1"/>
  <c r="AV139" i="1"/>
  <c r="AV232" i="1" s="1"/>
  <c r="AT139" i="1"/>
  <c r="AT232" i="1" s="1"/>
  <c r="BW139" i="1"/>
  <c r="BW232" i="1" s="1"/>
  <c r="BO139" i="1"/>
  <c r="AY139" i="1"/>
  <c r="CB139" i="1"/>
  <c r="BM3" i="1"/>
  <c r="BH3" i="1"/>
  <c r="AM3" i="1"/>
  <c r="CC3" i="1"/>
  <c r="BV139" i="1"/>
  <c r="CD3" i="1"/>
  <c r="R3" i="1"/>
  <c r="G139" i="1"/>
  <c r="G232" i="1" s="1"/>
  <c r="BE3" i="1"/>
  <c r="BE232" i="1" s="1"/>
  <c r="AA3" i="1"/>
  <c r="AA232" i="1" s="1"/>
  <c r="BJ3" i="1"/>
  <c r="AE3" i="1"/>
  <c r="AE232" i="1" s="1"/>
  <c r="AI3" i="1"/>
  <c r="V3" i="1"/>
  <c r="AV3" i="1"/>
  <c r="BQ139" i="1"/>
  <c r="AN3" i="1"/>
  <c r="BZ3" i="1"/>
  <c r="BY3" i="1"/>
  <c r="BY232" i="1" s="1"/>
  <c r="AF139" i="1"/>
  <c r="AF232" i="1" s="1"/>
  <c r="T139" i="1"/>
  <c r="BJ139" i="1"/>
  <c r="AO3" i="1"/>
  <c r="AO232" i="1" s="1"/>
  <c r="R232" i="1"/>
  <c r="BN139" i="1"/>
  <c r="H139" i="1"/>
  <c r="R139" i="1"/>
  <c r="AG232" i="1"/>
  <c r="AW3" i="1"/>
  <c r="M3" i="1"/>
  <c r="M232" i="1" s="1"/>
  <c r="K3" i="1"/>
  <c r="K232" i="1" s="1"/>
  <c r="AL232" i="1"/>
  <c r="BF139" i="1"/>
  <c r="BA3" i="1"/>
  <c r="BC3" i="1"/>
  <c r="Z232" i="1"/>
  <c r="I139" i="1"/>
  <c r="I232" i="1" s="1"/>
  <c r="BF232" i="1"/>
  <c r="BO3" i="1"/>
  <c r="BO232" i="1" s="1"/>
  <c r="AL3" i="1"/>
  <c r="X3" i="1"/>
  <c r="O139" i="1"/>
  <c r="BW3" i="1"/>
  <c r="AQ232" i="1"/>
  <c r="X232" i="1"/>
  <c r="AY232" i="1"/>
  <c r="T3" i="1"/>
  <c r="T232" i="1" s="1"/>
  <c r="N3" i="1"/>
  <c r="N232" i="1" s="1"/>
  <c r="AS232" i="1"/>
  <c r="AP3" i="1"/>
  <c r="BB3" i="1"/>
  <c r="CA3" i="1"/>
  <c r="BN3" i="1"/>
  <c r="AZ3" i="1"/>
  <c r="J232" i="1"/>
  <c r="U3" i="1"/>
  <c r="AB3" i="1"/>
  <c r="AB232" i="1" s="1"/>
  <c r="BX3" i="1"/>
  <c r="AX3" i="1"/>
  <c r="BA139" i="1"/>
  <c r="BA232" i="1" s="1"/>
  <c r="BS232" i="1"/>
  <c r="Y3" i="1"/>
  <c r="Y232" i="1" s="1"/>
  <c r="BK3" i="1"/>
  <c r="AH3" i="1"/>
  <c r="AH232" i="1" s="1"/>
  <c r="BG232" i="1"/>
  <c r="H3" i="1"/>
  <c r="AC3" i="1"/>
  <c r="AC232" i="1" s="1"/>
  <c r="O3" i="1"/>
  <c r="G3" i="1"/>
  <c r="BQ232" i="1"/>
  <c r="BV232" i="1"/>
  <c r="BU232" i="1"/>
  <c r="AR232" i="1"/>
  <c r="AP139" i="1"/>
  <c r="AZ139" i="1"/>
  <c r="BL3" i="1"/>
  <c r="BB139" i="1"/>
  <c r="AD232" i="1"/>
  <c r="BI139" i="1"/>
  <c r="BI232" i="1" s="1"/>
  <c r="Q232" i="1"/>
  <c r="CB3" i="1"/>
  <c r="CB232" i="1" s="1"/>
  <c r="P3" i="1"/>
  <c r="P232" i="1" s="1"/>
  <c r="AJ3" i="1"/>
  <c r="BP3" i="1"/>
  <c r="L139" i="1"/>
  <c r="L232" i="1" s="1"/>
  <c r="W139" i="1"/>
  <c r="W232" i="1" s="1"/>
  <c r="BM139" i="1"/>
  <c r="BM232" i="1" s="1"/>
  <c r="BZ139" i="1"/>
  <c r="BZ232" i="1" s="1"/>
  <c r="BR139" i="1"/>
  <c r="BR232" i="1" s="1"/>
  <c r="AK139" i="1"/>
  <c r="AK232" i="1" s="1"/>
  <c r="BH139" i="1"/>
  <c r="CA139" i="1"/>
  <c r="S139" i="1"/>
  <c r="CC139" i="1"/>
  <c r="CC232" i="1" s="1"/>
  <c r="V139" i="1"/>
  <c r="V232" i="1" s="1"/>
  <c r="AN139" i="1"/>
  <c r="AN232" i="1" s="1"/>
  <c r="BC139" i="1"/>
  <c r="BC232" i="1" s="1"/>
  <c r="CD139" i="1"/>
  <c r="AU139" i="1"/>
  <c r="AU232" i="1" s="1"/>
  <c r="AX139" i="1"/>
  <c r="BD139" i="1"/>
  <c r="BD232" i="1" s="1"/>
  <c r="AW139" i="1"/>
  <c r="AW232" i="1" s="1"/>
  <c r="AJ139" i="1"/>
  <c r="AM139" i="1"/>
  <c r="BK139" i="1"/>
  <c r="BL139" i="1"/>
  <c r="AI139" i="1"/>
  <c r="BP139" i="1"/>
  <c r="BX232" i="1" l="1"/>
  <c r="S232" i="1"/>
  <c r="U232" i="1"/>
  <c r="CA232" i="1"/>
  <c r="O232" i="1"/>
  <c r="BK232" i="1"/>
  <c r="BH232" i="1"/>
  <c r="AM232" i="1"/>
  <c r="BJ232" i="1"/>
  <c r="AI232" i="1"/>
  <c r="AP232" i="1"/>
  <c r="CD232" i="1"/>
  <c r="BP232" i="1"/>
  <c r="BN232" i="1"/>
  <c r="AJ232" i="1"/>
  <c r="H232" i="1"/>
  <c r="AX232" i="1"/>
  <c r="BL232" i="1"/>
  <c r="AZ232" i="1"/>
  <c r="BB232" i="1"/>
</calcChain>
</file>

<file path=xl/sharedStrings.xml><?xml version="1.0" encoding="utf-8"?>
<sst xmlns="http://schemas.openxmlformats.org/spreadsheetml/2006/main" count="1670" uniqueCount="380">
  <si>
    <t>1 - Energy</t>
  </si>
  <si>
    <t>1.A - Fuel Combustion Activities</t>
  </si>
  <si>
    <t>1.A.1 - Energy Industries</t>
  </si>
  <si>
    <t>1.A.1.a - Main Activity Electricity and Heat Production</t>
  </si>
  <si>
    <t>1.A.1.a.i - Electricity Generation</t>
  </si>
  <si>
    <t>Electricity and Heat Generation</t>
  </si>
  <si>
    <t>ch4</t>
  </si>
  <si>
    <t>co2</t>
  </si>
  <si>
    <t>n2o</t>
  </si>
  <si>
    <t>1.A.1.b - Petroleum Refining</t>
  </si>
  <si>
    <t>Fuel Production</t>
  </si>
  <si>
    <t>1.A.1.c - Manufacture of Solid Fuels and Other Energy Industries</t>
  </si>
  <si>
    <t>1.A.1.c.i - Manufacture of Solid Fuels</t>
  </si>
  <si>
    <t>1.A.1.c.ii - Other Energy Industries</t>
  </si>
  <si>
    <t>1.A.2 - Manufacturing Industries and Construction</t>
  </si>
  <si>
    <t>1.A.2.a - Iron and Steel|1.A.2.b - Non-Ferrous Metals</t>
  </si>
  <si>
    <t>Industrial Combustion</t>
  </si>
  <si>
    <t>1.A.2.c - Chemicals</t>
  </si>
  <si>
    <t>1.A.2.d - Pulp, Paper and Print</t>
  </si>
  <si>
    <t>1.A.2.e - Food Processing, Beverages and Tobacco|1.A.2.g - Transport Equipment|1.A.2.m - Non-specified Industry</t>
  </si>
  <si>
    <t>1.A.2.f - Non-Metallic Minerals</t>
  </si>
  <si>
    <t>1.A.2.i - Mining (excluding fuels) and Quarrying</t>
  </si>
  <si>
    <t>1.A.2.j - Wood and wood products</t>
  </si>
  <si>
    <t>1.A.2.k - Construction</t>
  </si>
  <si>
    <t>1.A.2.l - Textile and Leather</t>
  </si>
  <si>
    <t>1.A.3 - Transport</t>
  </si>
  <si>
    <t>1.A.3.a - Civil Aviation|1.A.3.a.i - International Aviation (International Bunkers) (1)</t>
  </si>
  <si>
    <t>Transportation</t>
  </si>
  <si>
    <t>1.A.3.b - Road Transportation</t>
  </si>
  <si>
    <t>1.A.3.b.i - Cars|1.A.3.b.ii - Light-duty trucks</t>
  </si>
  <si>
    <t>1.A.3.b.iii - Heavy-duty trucks and buses</t>
  </si>
  <si>
    <t>1.A.3.b.iv - Motorcycles</t>
  </si>
  <si>
    <t>1.A.3.c - Railways</t>
  </si>
  <si>
    <t>1.A.3.d - Water-borne Navigation</t>
  </si>
  <si>
    <t>1.A.3.e - Other Transportation</t>
  </si>
  <si>
    <t>1.A.4 - Other Sectors</t>
  </si>
  <si>
    <t>1.A.4.a - Commercial/Institutional</t>
  </si>
  <si>
    <t>Buildings</t>
  </si>
  <si>
    <t>1.A.4.b - Residential</t>
  </si>
  <si>
    <t>1.A.4.c - Agriculture/Forestry/Fishing/Fish Farms</t>
  </si>
  <si>
    <t>1.A.5 - Non-Specified</t>
  </si>
  <si>
    <t>Other  Combustion</t>
  </si>
  <si>
    <t>1.B - Fugitive emissions from fuels</t>
  </si>
  <si>
    <t>1.B.1 - Solid Fuels</t>
  </si>
  <si>
    <t>Fugitive Emissions</t>
  </si>
  <si>
    <t>1.B.2 - Oil and Natural Gas</t>
  </si>
  <si>
    <t>1.B.2.a - Oil</t>
  </si>
  <si>
    <t>1.B.2.b - Natural Gas</t>
  </si>
  <si>
    <t>Carbon Capture Industries</t>
  </si>
  <si>
    <t xml:space="preserve">2 - Industrial Processes and Product Use </t>
  </si>
  <si>
    <t xml:space="preserve">2.A - Mineral Industry </t>
  </si>
  <si>
    <t xml:space="preserve">2.A.1 - Cement production </t>
  </si>
  <si>
    <t>IPPU</t>
  </si>
  <si>
    <t xml:space="preserve">2.A.2 - Lime production </t>
  </si>
  <si>
    <t xml:space="preserve">2.A.3 - Glass Production </t>
  </si>
  <si>
    <t xml:space="preserve">2.B - Chemical Industry </t>
  </si>
  <si>
    <t>hfcs</t>
  </si>
  <si>
    <t>nf3</t>
  </si>
  <si>
    <t>pfcs</t>
  </si>
  <si>
    <t>sf6</t>
  </si>
  <si>
    <t xml:space="preserve">2.C - Metal Industry </t>
  </si>
  <si>
    <t>2.D - Non-Energy Products from Fuels and Solvent Use  (6)</t>
  </si>
  <si>
    <t xml:space="preserve">2.D.1 - Lubricant Use </t>
  </si>
  <si>
    <t xml:space="preserve">2.D.2 - Paraffin Wax Use </t>
  </si>
  <si>
    <t>2.D.3 - Solvent Use  (7)</t>
  </si>
  <si>
    <t xml:space="preserve">2.E - Electronics Industry </t>
  </si>
  <si>
    <t xml:space="preserve">2.F - Product Uses as Substitutes for Ozone Depleting Substances </t>
  </si>
  <si>
    <t xml:space="preserve">2.F.1 - Refrigeration and Air Conditioning </t>
  </si>
  <si>
    <t>2.F.2 - Foam Blowing Agents|2.F.3 - Fire Protection|2.F.4 - Aerosols|2.F.5 - Solvents|2.F.6 - Other Applications (please specify)  (3)</t>
  </si>
  <si>
    <t xml:space="preserve">2.G - Other Product Manufacture and Use </t>
  </si>
  <si>
    <t xml:space="preserve">2.H - Other </t>
  </si>
  <si>
    <t xml:space="preserve"> 2.H.1 - Pulp and Paper Industry </t>
  </si>
  <si>
    <t xml:space="preserve">3 - Agriculture, Forestry, and Other Land Use </t>
  </si>
  <si>
    <t xml:space="preserve">3.A - Livestock </t>
  </si>
  <si>
    <t xml:space="preserve">3.A.1 - Enteric Fermentation </t>
  </si>
  <si>
    <t xml:space="preserve">3.A.1.a - Cattle </t>
  </si>
  <si>
    <t>3.A.1.a.i - Dairy Cows</t>
  </si>
  <si>
    <t>Livestock</t>
  </si>
  <si>
    <t>3.A.1.a.ii - Other Cattle</t>
  </si>
  <si>
    <t xml:space="preserve">3.A.1.b - Buffalo </t>
  </si>
  <si>
    <t xml:space="preserve">3.A.1.c - Sheep </t>
  </si>
  <si>
    <t xml:space="preserve">3.A.1.d - Goats </t>
  </si>
  <si>
    <t>3.A.1.e - Camels|3.A.1.f - Horses</t>
  </si>
  <si>
    <t xml:space="preserve">3.A.1.g - Mules and Asses </t>
  </si>
  <si>
    <t xml:space="preserve">3.A.1.h - Swine </t>
  </si>
  <si>
    <t xml:space="preserve">3.A.1.i - Poultry </t>
  </si>
  <si>
    <t>3.A.2 - Manure Management  (1)</t>
  </si>
  <si>
    <t>3.B - Land</t>
  </si>
  <si>
    <t>3.B.1 - Forest land</t>
  </si>
  <si>
    <t>3.B.1.a - Forest land Remaining Forest land</t>
  </si>
  <si>
    <t>Forest Land - Removals</t>
  </si>
  <si>
    <t>Forest Land - Sequestration</t>
  </si>
  <si>
    <t>Forest Land Methane</t>
  </si>
  <si>
    <t>3.B.2 - Cropland</t>
  </si>
  <si>
    <t>3.B.2.a - Cropland Remaining Cropland</t>
  </si>
  <si>
    <t>Cropland</t>
  </si>
  <si>
    <t>Agriculture and Managed Soil</t>
  </si>
  <si>
    <t>3.B.2.b - Land Converted to Cropland</t>
  </si>
  <si>
    <t>3.B.2.b.i - Forest Land converted to Cropland</t>
  </si>
  <si>
    <t>Deforestation</t>
  </si>
  <si>
    <t>3.B.2.b.ii - Grassland converted to Cropland</t>
  </si>
  <si>
    <t>Other Not Estimated Conversion</t>
  </si>
  <si>
    <t>Other Land Use Conversion</t>
  </si>
  <si>
    <t>3.B.2.b.iii - Wetlands converted to Cropland</t>
  </si>
  <si>
    <t>3.B.2.b.iv - Settlements converted to Cropland</t>
  </si>
  <si>
    <t>3.B.2.b.v - Other Land converted to Cropland</t>
  </si>
  <si>
    <t>3.B.3 - Grassland</t>
  </si>
  <si>
    <t>3.B.3.a - Grassland Remaining Grassland</t>
  </si>
  <si>
    <t>Grassland</t>
  </si>
  <si>
    <t>3.B.3.b - Land Converted to Grassland</t>
  </si>
  <si>
    <t>3.B.3.b.i - Forest Land converted to Grassland</t>
  </si>
  <si>
    <t>3.B.3.b.ii - Cropland converted to Grassland</t>
  </si>
  <si>
    <t>3.B.3.b.iii - Wetlands converted to Grassland</t>
  </si>
  <si>
    <t>3.B.3.b.iv - Settlements converted to Grassland</t>
  </si>
  <si>
    <t>3.B.3.b.v - Other Land converted to Grassland</t>
  </si>
  <si>
    <t>3.B.4 - Wetlands</t>
  </si>
  <si>
    <t>3.B.4.a - Wetlands Remaining Wetlands</t>
  </si>
  <si>
    <t>3.B.4.a.i - Peat Extraction remaining Peat Extraction|3.B.4.a.iii - Other Wetlands Remaining Other Wetlands</t>
  </si>
  <si>
    <t>Wetlands</t>
  </si>
  <si>
    <t>3.B.4.a.ii - Flooded Land remaining Flooded Land</t>
  </si>
  <si>
    <t>3.B.4.b - Land Converted to Wetlands</t>
  </si>
  <si>
    <t>3.B.4.b.i - Land converted for Peat Extraction|3.B.4.b.iii - Land converted to Other Wetlands</t>
  </si>
  <si>
    <t>3.B.4.b.ii - Land converted to Flooded Land</t>
  </si>
  <si>
    <t>3.B.5 - Settlements</t>
  </si>
  <si>
    <t>3.B.5.a - Settlements Remaining Settlements</t>
  </si>
  <si>
    <t>Other Not Estimated Sequestration</t>
  </si>
  <si>
    <t>3.B.5.b - Land Converted to Settlements</t>
  </si>
  <si>
    <t>3.B.5.b.i - Forest Land converted to Settlements</t>
  </si>
  <si>
    <t>3.B.5.b.ii - Cropland converted to Settlements</t>
  </si>
  <si>
    <t>3.B.5.b.iii - Grassland converted to Settlements</t>
  </si>
  <si>
    <t>3.B.5.b.iv - Wetlands converted to Settlements</t>
  </si>
  <si>
    <t>3.B.5.b.v - Other Land converted to Settlements</t>
  </si>
  <si>
    <t>3.B.6 - Other Land</t>
  </si>
  <si>
    <t>3.B.6.a - Other land Remaining Other land</t>
  </si>
  <si>
    <t>3.B.6.b - Land Converted to Other land</t>
  </si>
  <si>
    <t>3.B.6.b.i - Forest Land converted to Other Land</t>
  </si>
  <si>
    <t>3.B.6.b.ii - Cropland converted to Other Land</t>
  </si>
  <si>
    <t>3.B.6.b.iii - Grassland converted to Other Land</t>
  </si>
  <si>
    <t>3.B.6.b.iv - Wetlands converted to Other Land</t>
  </si>
  <si>
    <t>3.B.6.b.v - Settlements converted to Other Land</t>
  </si>
  <si>
    <t>3.C - Aggregate sources and non-CO2 emissions sources on land  (2)</t>
  </si>
  <si>
    <t xml:space="preserve">3.C.1 - Burning </t>
  </si>
  <si>
    <t xml:space="preserve"> 3.C.1.b - Burning in Cropland </t>
  </si>
  <si>
    <t xml:space="preserve">3.C.1.b - Burning in Cropland </t>
  </si>
  <si>
    <t xml:space="preserve">3.C.2 - Liming </t>
  </si>
  <si>
    <t xml:space="preserve">3.C.3 - Urea application </t>
  </si>
  <si>
    <t xml:space="preserve">3.C.4 - Direct N2O Emissions from managed soils  (3)|3.C.5 - Indirect N2O Emissions from managed soils </t>
  </si>
  <si>
    <t xml:space="preserve">3.C.6 - Indirect N2O Emissions from manure management </t>
  </si>
  <si>
    <t xml:space="preserve">3.C.7 - Rice cultivation </t>
  </si>
  <si>
    <t>Other Soils</t>
  </si>
  <si>
    <t>Other Not Estimated Soils</t>
  </si>
  <si>
    <t>CH4 from Wetlands</t>
  </si>
  <si>
    <t xml:space="preserve">3.D - Other </t>
  </si>
  <si>
    <t xml:space="preserve">3.D.1 - Harvested Wood Products </t>
  </si>
  <si>
    <t>Forest Land - HWP</t>
  </si>
  <si>
    <t xml:space="preserve">4 - Waste </t>
  </si>
  <si>
    <t xml:space="preserve">   4.A - Solid Waste Disposal </t>
  </si>
  <si>
    <t>4.A.1 - Managed Waste Disposal Sites</t>
  </si>
  <si>
    <t>Solid Waste</t>
  </si>
  <si>
    <t>4.A.2 - Unmanaged Waste Disposal Sites|4.A.3 - Uncategorised Waste Disposal Sites</t>
  </si>
  <si>
    <t xml:space="preserve">   4.B - Biological Treatment of Solid Waste </t>
  </si>
  <si>
    <t>Anaerobic digestion at biogas facilities</t>
  </si>
  <si>
    <t>Composting</t>
  </si>
  <si>
    <t xml:space="preserve">   4.C - Incineration and Open Burning of Waste </t>
  </si>
  <si>
    <t>4.C.1 - Waste Incineration|4.C.2 - Open Burning of Waste</t>
  </si>
  <si>
    <t xml:space="preserve">   4.D - Wastewater Treatment and Discharge </t>
  </si>
  <si>
    <t>4.D.1 - Domestic Wastewater Treatment and Discharge|4.D.2 - Industrial Wastewater Treatment and Discharge</t>
  </si>
  <si>
    <t>Wastewater Treatment</t>
  </si>
  <si>
    <t>3.B - Land*</t>
  </si>
  <si>
    <t>NOTES:</t>
  </si>
  <si>
    <t>FLAGS:</t>
  </si>
  <si>
    <t>MISSING:</t>
  </si>
  <si>
    <t xml:space="preserve">3.B.1.b - Land Converted to Forest land </t>
  </si>
  <si>
    <t>-9,393.875</t>
  </si>
  <si>
    <t>-7,178.033</t>
  </si>
  <si>
    <t>-6,318.289</t>
  </si>
  <si>
    <t>-8,954.605</t>
  </si>
  <si>
    <t>-3,163.409</t>
  </si>
  <si>
    <t>-2,947.088</t>
  </si>
  <si>
    <t>-3,906.959</t>
  </si>
  <si>
    <t>-3,430.530</t>
  </si>
  <si>
    <t>-2,477.380</t>
  </si>
  <si>
    <t>-903.358</t>
  </si>
  <si>
    <t>-1,285.727</t>
  </si>
  <si>
    <t>-1,543.769</t>
  </si>
  <si>
    <t>-2,020.109</t>
  </si>
  <si>
    <t>-441.010</t>
  </si>
  <si>
    <t>(OTHER, NOT IN IPCC-Forest Land Methane)</t>
  </si>
  <si>
    <t>3.B.2.a - Cropland Remaining Cropland**</t>
  </si>
  <si>
    <t>*  - The WB team uses transition estimates for deforestation from the National Communication 3 and BUR2, which reflect emissions comensurate with extensive deforestation and land use change noted between 2000 and 2020. Emissions classified as deforestation (e.g., forestland converted to cropland or grasslands) are on the order of 13 MT in these documents, but dissapate in the inventories. Additionally, conversion to forest is accounted differently in SISEPUEDE; conversion to forest is not accounted as a complete sink in the year of conversion; instead, there's an annual sequestration factor per area of forest.
**  - SISEPUEDE includes drained organic soils CO2 in croplands remaining croplands</t>
  </si>
  <si>
    <t>ALL NUMBERS ARE CO2E: FACTORS (AR6 100-yr GWP; CH4--27.9, N2O, 273)</t>
  </si>
  <si>
    <t>(NE) SOIL ORGANIC CARBON FROM CONVERSION</t>
  </si>
  <si>
    <t>(NE) OTHER LAND USE SEQUESTRATION (annual, including shrublands)</t>
  </si>
  <si>
    <t>(NE) OTHER LAND USE CONVERTED TO OTHER (within 11 SISEPUEDE categories)</t>
  </si>
  <si>
    <t>(NE) OTHER NOT ESTIMATED SOILS (Paddock, Pasture, Range)</t>
  </si>
  <si>
    <t>(NE) CH4 FROM WETLANDS</t>
  </si>
  <si>
    <t>1.X (NE) OTHER NON-SPECIFIED ENERGY</t>
  </si>
  <si>
    <t>Carbon Capture and Sequestration Industries</t>
  </si>
  <si>
    <t>Gas</t>
  </si>
  <si>
    <t>1.A.3 - Transport (including bunkers)</t>
  </si>
  <si>
    <t>Total Emissions (Kt CO2e)</t>
  </si>
  <si>
    <t>Enter values below IN EXACT FORMAT</t>
  </si>
  <si>
    <t>emission_co2e_ch4_entc_generation_pp_biogas|emission_co2e_ch4_entc_generation_pp_biomass|emission_co2e_ch4_entc_generation_pp_coal|emission_co2e_ch4_entc_generation_pp_coal_ccs|emission_co2e_ch4_entc_generation_pp_gas|emission_co2e_ch4_entc_generation_pp_gas_ccs|emission_co2e_ch4_entc_generation_pp_geothermal|emission_co2e_ch4_entc_generation_pp_hydropower|emission_co2e_ch4_entc_generation_pp_nuclear|emission_co2e_ch4_entc_generation_pp_ocean|emission_co2e_ch4_entc_generation_pp_oil|emission_co2e_ch4_entc_generation_pp_solar|emission_co2e_ch4_entc_generation_pp_waste_incineration|emission_co2e_ch4_entc_generation_pp_wind</t>
  </si>
  <si>
    <t>emission_co2e_co2_entc_generation_pp_biogas|emission_co2e_co2_entc_generation_pp_coal|emission_co2e_co2_entc_generation_pp_coal_ccs|emission_co2e_co2_entc_generation_pp_gas|emission_co2e_co2_entc_generation_pp_gas_ccs|emission_co2e_co2_entc_generation_pp_geothermal|emission_co2e_co2_entc_generation_pp_hydropower|emission_co2e_co2_entc_generation_pp_nuclear|emission_co2e_co2_entc_generation_pp_ocean|emission_co2e_co2_entc_generation_pp_oil|emission_co2e_co2_entc_generation_pp_solar|emission_co2e_co2_entc_generation_pp_waste_incineration|emission_co2e_co2_entc_generation_pp_wind</t>
  </si>
  <si>
    <t>emission_co2e_n2o_entc_generation_pp_biogas|emission_co2e_n2o_entc_generation_pp_biomass|emission_co2e_n2o_entc_generation_pp_coal|emission_co2e_n2o_entc_generation_pp_coal_ccs|emission_co2e_n2o_entc_generation_pp_gas|emission_co2e_n2o_entc_generation_pp_gas_ccs|emission_co2e_n2o_entc_generation_pp_geothermal|emission_co2e_n2o_entc_generation_pp_hydropower|emission_co2e_n2o_entc_generation_pp_nuclear|emission_co2e_n2o_entc_generation_pp_ocean|emission_co2e_n2o_entc_generation_pp_oil|emission_co2e_n2o_entc_generation_pp_solar|emission_co2e_n2o_entc_generation_pp_waste_incineration|emission_co2e_n2o_entc_generation_pp_wind</t>
  </si>
  <si>
    <t>emission_co2e_ch4_entc_processing_and_refinement_fp_petroleum_refinement</t>
  </si>
  <si>
    <t>emission_co2e_co2_entc_nbmass_processing_and_refinement_fp_petroleum_refinement</t>
  </si>
  <si>
    <t>emission_co2e_n2o_entc_processing_and_refinement_fp_petroleum_refinement</t>
  </si>
  <si>
    <t>emission_co2e_ch4_entc_fuel_mining_and_extraction_me_coal</t>
  </si>
  <si>
    <t>emission_co2e_co2_entc_mining_and_extraction_me_coal</t>
  </si>
  <si>
    <t>emission_co2e_n2o_entc_fuel_mining_and_extraction_me_coal</t>
  </si>
  <si>
    <t>emission_co2e_ch4_entc_fuel_mining_and_extraction_me_crude|emission_co2e_ch4_entc_fuel_mining_and_extraction_me_natural_gas|emission_co2e_ch4_entc_processing_and_refinement_fp_ammonia_production|emission_co2e_ch4_entc_processing_and_refinement_fp_hydrogen_electrolysis|emission_co2e_ch4_entc_processing_and_refinement_fp_hydrogen_gasification|emission_co2e_ch4_entc_processing_and_refinement_fp_hydrogen_reformation|emission_co2e_ch4_entc_processing_and_refinement_fp_hydrogen_reformation_ccs|emission_co2e_ch4_entc_processing_and_refinement_fp_natural_gas|emission_co2e_ch4_entc_processing_and_refinement_fp_natural_gas_liquefaction</t>
  </si>
  <si>
    <t>emission_co2e_co2_entc_mining_and_extraction_me_crude|emission_co2e_co2_entc_mining_and_extraction_me_natural_gas|emission_co2e_co2_entc_nbmass_processing_and_refinement_fp_ammonia_production|emission_co2e_co2_entc_nbmass_processing_and_refinement_fp_hydrogen_electrolysis|emission_co2e_co2_entc_nbmass_processing_and_refinement_fp_hydrogen_gasification|emission_co2e_co2_entc_nbmass_processing_and_refinement_fp_hydrogen_reformation|emission_co2e_co2_entc_nbmass_processing_and_refinement_fp_hydrogen_reformation_ccs|emission_co2e_co2_entc_nbmass_processing_and_refinement_fp_natural_gas|emission_co2e_co2_entc_nbmass_processing_and_refinement_fp_natural_gas_liquefaction</t>
  </si>
  <si>
    <t>emission_co2e_n2o_entc_fuel_mining_and_extraction_me_crude|emission_co2e_n2o_entc_fuel_mining_and_extraction_me_natural_gas|emission_co2e_n2o_entc_processing_and_refinement_fp_ammonia_production|emission_co2e_n2o_entc_processing_and_refinement_fp_hydrogen_electrolysis|emission_co2e_n2o_entc_processing_and_refinement_fp_hydrogen_gasification|emission_co2e_n2o_entc_processing_and_refinement_fp_hydrogen_reformation|emission_co2e_n2o_entc_processing_and_refinement_fp_hydrogen_reformation_ccs|emission_co2e_n2o_entc_processing_and_refinement_fp_natural_gas|emission_co2e_n2o_entc_processing_and_refinement_fp_natural_gas_liquefaction</t>
  </si>
  <si>
    <t>emission_co2e_ch4_inen_metals</t>
  </si>
  <si>
    <t>emission_co2e_co2_inen_nbmass_metals</t>
  </si>
  <si>
    <t>emission_co2e_n2o_inen_metals</t>
  </si>
  <si>
    <t>emission_co2e_ch4_inen_chemicals|emission_co2e_ch4_inen_plastic</t>
  </si>
  <si>
    <t>emission_co2e_co2_inen_nbmass_chemicals|emission_co2e_co2_inen_nbmass_plastic</t>
  </si>
  <si>
    <t>emission_co2e_n2o_inen_chemicals|emission_co2e_n2o_inen_plastic</t>
  </si>
  <si>
    <t>emission_co2e_ch4_inen_paper</t>
  </si>
  <si>
    <t>emission_co2e_co2_inen_nbmass_paper</t>
  </si>
  <si>
    <t>emission_co2e_n2o_inen_paper</t>
  </si>
  <si>
    <t>emission_co2e_ch4_inen_electronics|emission_co2e_ch4_inen_glass|emission_co2e_ch4_inen_other_product_manufacturing|emission_co2e_ch4_inen_recycled_glass|emission_co2e_ch4_inen_recycled_metals|emission_co2e_ch4_inen_recycled_paper|emission_co2e_ch4_inen_recycled_plastic|emission_co2e_ch4_inen_recycled_rubber_and_leather|emission_co2e_ch4_inen_recycled_textiles|emission_co2e_ch4_inen_recycled_wood</t>
  </si>
  <si>
    <t>emission_co2e_co2_inen_nbmass_electronics|emission_co2e_co2_inen_nbmass_glass|emission_co2e_co2_inen_nbmass_other_product_manufacturing|emission_co2e_co2_inen_nbmass_recycled_glass|emission_co2e_co2_inen_nbmass_recycled_metals|emission_co2e_co2_inen_nbmass_recycled_paper|emission_co2e_co2_inen_nbmass_recycled_plastic|emission_co2e_co2_inen_nbmass_recycled_rubber_and_leather|emission_co2e_co2_inen_nbmass_recycled_textiles|emission_co2e_co2_inen_nbmass_recycled_wood</t>
  </si>
  <si>
    <t>emission_co2e_n2o_inen_electronics|emission_co2e_n2o_inen_glass|emission_co2e_n2o_inen_other_product_manufacturing|emission_co2e_n2o_inen_recycled_glass|emission_co2e_n2o_inen_recycled_metals|emission_co2e_n2o_inen_recycled_paper|emission_co2e_n2o_inen_recycled_plastic|emission_co2e_n2o_inen_recycled_rubber_and_leather|emission_co2e_n2o_inen_recycled_textiles|emission_co2e_n2o_inen_recycled_wood</t>
  </si>
  <si>
    <t>emission_co2e_ch4_inen_lime_and_carbonite</t>
  </si>
  <si>
    <t>emission_co2e_co2_inen_nbmass_lime_and_carbonite</t>
  </si>
  <si>
    <t>emission_co2e_n2o_inen_lime_and_carbonite</t>
  </si>
  <si>
    <t>emission_co2e_ch4_inen_mining</t>
  </si>
  <si>
    <t>emission_co2e_co2_inen_nbmass_mining</t>
  </si>
  <si>
    <t>emission_co2e_n2o_inen_mining</t>
  </si>
  <si>
    <t>emission_co2e_ch4_inen_wood</t>
  </si>
  <si>
    <t>emission_co2e_co2_inen_nbmass_wood</t>
  </si>
  <si>
    <t>emission_co2e_n2o_inen_wood</t>
  </si>
  <si>
    <t>emission_co2e_ch4_inen_cement</t>
  </si>
  <si>
    <t>emission_co2e_co2_inen_nbmass_cement</t>
  </si>
  <si>
    <t>emission_co2e_n2o_inen_cement</t>
  </si>
  <si>
    <t>emission_co2e_ch4_inen_rubber_and_leather|emission_co2e_ch4_inen_textiles</t>
  </si>
  <si>
    <t>emission_co2e_co2_inen_nbmass_rubber_and_leather|emission_co2e_co2_inen_nbmass_textiles</t>
  </si>
  <si>
    <t>emission_co2e_n2o_inen_rubber_and_leather|emission_co2e_n2o_inen_textiles</t>
  </si>
  <si>
    <t>emission_co2e_ch4_trns_aviation</t>
  </si>
  <si>
    <t>emission_co2e_co2_trns_aviation</t>
  </si>
  <si>
    <t>emission_co2e_n2o_trns_aviation</t>
  </si>
  <si>
    <t>emission_co2e_ch4_trns_road_light</t>
  </si>
  <si>
    <t>emission_co2e_co2_trns_road_light</t>
  </si>
  <si>
    <t>emission_co2e_n2o_trns_road_light</t>
  </si>
  <si>
    <t>emission_co2e_ch4_trns_public|emission_co2e_ch4_trns_road_heavy_freight|emission_co2e_ch4_trns_road_heavy_regional</t>
  </si>
  <si>
    <t>emission_co2e_co2_trns_public|emission_co2e_co2_trns_road_heavy_freight|emission_co2e_co2_trns_road_heavy_regional</t>
  </si>
  <si>
    <t>emission_co2e_n2o_trns_public|emission_co2e_n2o_trns_road_heavy_freight|emission_co2e_n2o_trns_road_heavy_regional</t>
  </si>
  <si>
    <t>emission_co2e_ch4_trns_powered_bikes</t>
  </si>
  <si>
    <t>emission_co2e_co2_trns_powered_bikes</t>
  </si>
  <si>
    <t>emission_co2e_n2o_trns_powered_bikes</t>
  </si>
  <si>
    <t>emission_co2e_ch4_trns_rail_freight|emission_co2e_ch4_trns_rail_passenger</t>
  </si>
  <si>
    <t>emission_co2e_co2_trns_rail_freight|emission_co2e_co2_trns_rail_passenger</t>
  </si>
  <si>
    <t>emission_co2e_n2o_trns_rail_freight|emission_co2e_n2o_trns_rail_passenger</t>
  </si>
  <si>
    <t>emission_co2e_ch4_trns_water_borne</t>
  </si>
  <si>
    <t>emission_co2e_co2_trns_water_borne</t>
  </si>
  <si>
    <t>emission_co2e_n2o_trns_water_borne</t>
  </si>
  <si>
    <t>emission_co2e_ch4_trns_human_powered</t>
  </si>
  <si>
    <t>emission_co2e_co2_trns_human_powered</t>
  </si>
  <si>
    <t>emission_co2e_n2o_trns_human_powered</t>
  </si>
  <si>
    <t>emission_co2e_ch4_scoe_commercial_municipal</t>
  </si>
  <si>
    <t>emission_co2e_co2_scoe_nbmass_commercial_municipal</t>
  </si>
  <si>
    <t>emission_co2e_n2o_scoe_commercial_municipal</t>
  </si>
  <si>
    <t>emission_co2e_ch4_scoe_residential</t>
  </si>
  <si>
    <t>emission_co2e_co2_scoe_nbmass_residential</t>
  </si>
  <si>
    <t>emission_co2e_n2o_scoe_residential</t>
  </si>
  <si>
    <t>emission_co2e_ch4_inen_agriculture_and_livestock</t>
  </si>
  <si>
    <t>emission_co2e_co2_inen_nbmass_agriculture_and_livestock</t>
  </si>
  <si>
    <t>emission_co2e_n2o_inen_agriculture_and_livestock</t>
  </si>
  <si>
    <t>emission_co2e_ch4_scoe_other_se</t>
  </si>
  <si>
    <t>emission_co2e_co2_scoe_nbmass_other_se</t>
  </si>
  <si>
    <t>emission_co2e_n2o_scoe_other_se</t>
  </si>
  <si>
    <t>emission_co2e_ch4_fgtv_dtp_fuel_coal|emission_co2e_ch4_fgtv_flaring_fuel_coal|emission_co2e_ch4_fgtv_venting_fuel_coal</t>
  </si>
  <si>
    <t>emission_co2e_co2_fgtv_dtp_fuel_coal|emission_co2e_co2_fgtv_flaring_fuel_coal|emission_co2e_co2_fgtv_venting_fuel_coal</t>
  </si>
  <si>
    <t>emission_co2e_n2o_fgtv_dtp_fuel_coal|emission_co2e_n2o_fgtv_flaring_fuel_coal|emission_co2e_n2o_fgtv_venting_fuel_coal</t>
  </si>
  <si>
    <t>emission_co2e_ch4_fgtv_dtp_fuel_crude|emission_co2e_ch4_fgtv_dtp_fuel_oil|emission_co2e_ch4_fgtv_flaring_fuel_crude|emission_co2e_ch4_fgtv_flaring_fuel_oil|emission_co2e_ch4_fgtv_venting_fuel_crude|emission_co2e_ch4_fgtv_venting_fuel_oil</t>
  </si>
  <si>
    <t>emission_co2e_co2_fgtv_dtp_fuel_crude|emission_co2e_co2_fgtv_dtp_fuel_oil|emission_co2e_co2_fgtv_flaring_fuel_crude|emission_co2e_co2_fgtv_flaring_fuel_oil|emission_co2e_co2_fgtv_venting_fuel_crude|emission_co2e_co2_fgtv_venting_fuel_oil</t>
  </si>
  <si>
    <t>emission_co2e_n2o_fgtv_dtp_fuel_crude|emission_co2e_n2o_fgtv_dtp_fuel_oil|emission_co2e_n2o_fgtv_flaring_fuel_crude|emission_co2e_n2o_fgtv_flaring_fuel_oil|emission_co2e_n2o_fgtv_venting_fuel_crude|emission_co2e_n2o_fgtv_venting_fuel_oil</t>
  </si>
  <si>
    <t>emission_co2e_ch4_fgtv_dtp_fuel_natural_gas|emission_co2e_ch4_fgtv_flaring_fuel_natural_gas|emission_co2e_ch4_fgtv_venting_fuel_natural_gas</t>
  </si>
  <si>
    <t>emission_co2e_co2_fgtv_dtp_fuel_natural_gas|emission_co2e_co2_fgtv_flaring_fuel_natural_gas|emission_co2e_co2_fgtv_venting_fuel_natural_gas</t>
  </si>
  <si>
    <t>emission_co2e_n2o_fgtv_dtp_fuel_natural_gas|emission_co2e_n2o_fgtv_flaring_fuel_natural_gas|emission_co2e_n2o_fgtv_venting_fuel_natural_gas</t>
  </si>
  <si>
    <t>emission_co2e_ch4_ccsq_direct_air_capture</t>
  </si>
  <si>
    <t>emission_co2e_co2_ccsq_direct_air_capture</t>
  </si>
  <si>
    <t>emission_co2e_n2o_ccsq_direct_air_capture</t>
  </si>
  <si>
    <t>emission_co2e_co2_ippu_production_cement</t>
  </si>
  <si>
    <t>emission_co2e_co2_ippu_production_lime_and_carbonite</t>
  </si>
  <si>
    <t>emission_co2e_co2_ippu_production_glass</t>
  </si>
  <si>
    <t>emission_co2e_ch4_ippu_production_chemicals|emission_co2e_ch4_ippu_production_plastic</t>
  </si>
  <si>
    <t>emission_co2e_co2_ippu_production_chemicals|emission_co2e_co2_ippu_production_plastic</t>
  </si>
  <si>
    <t>emission_co2e_hfcs_ippu_production_chemicals</t>
  </si>
  <si>
    <t>emission_co2e_n2o_ippu_production_chemicals|emission_co2e_n2o_ippu_production_plastic</t>
  </si>
  <si>
    <t>emission_co2e_nf3_ippu_production_chemicals</t>
  </si>
  <si>
    <t>emission_co2e_pfcs_ippu_production_chemicals</t>
  </si>
  <si>
    <t>emission_co2e_sf6_ippu_production_chemicals</t>
  </si>
  <si>
    <t>emission_co2e_ch4_ippu_production_metals</t>
  </si>
  <si>
    <t>emission_co2e_co2_ippu_production_metals</t>
  </si>
  <si>
    <t>emission_co2e_hfcs_ippu_production_metals</t>
  </si>
  <si>
    <t>emission_co2e_sf6_ippu_production_metals</t>
  </si>
  <si>
    <t>emission_co2e_co2_ippu_production_product_use_lubricants|emission_co2e_co2_ippu_product_use_product_use_lubricants</t>
  </si>
  <si>
    <t>emission_co2e_co2_ippu_production_product_use_paraffin_wax|emission_co2e_co2_ippu_product_use_product_use_paraffin_wax</t>
  </si>
  <si>
    <t>emission_co2e_co2_ippu_product_use_product_use_other</t>
  </si>
  <si>
    <t>emission_co2e_hfcs_ippu_production_electronics</t>
  </si>
  <si>
    <t>emission_co2e_nf3_ippu_production_electronics</t>
  </si>
  <si>
    <t>emission_co2e_pfcs_ippu_production_electronics</t>
  </si>
  <si>
    <t>emission_co2e_sf6_ippu_production_electronics</t>
  </si>
  <si>
    <t>emission_co2e_hfcs_ippu_product_use_product_use_ods_refrigeration</t>
  </si>
  <si>
    <t>emission_co2e_hfcs_ippu_product_use_product_use_ods_other</t>
  </si>
  <si>
    <t>emission_co2e_pfcs_ippu_product_use_product_use_ods_other</t>
  </si>
  <si>
    <t>emission_co2e_sf6_ippu_production_other_product_manufacturing</t>
  </si>
  <si>
    <t>emission_co2e_n2o_ippu_production_other_product_manufacturing</t>
  </si>
  <si>
    <t>emission_co2e_pfcs_ippu_production_other_product_manufacturing</t>
  </si>
  <si>
    <t>emission_co2e_ch4_ippu_production_paper</t>
  </si>
  <si>
    <t>emission_co2e_co2_ippu_production_paper</t>
  </si>
  <si>
    <t>emission_co2e_n2o_ippu_production_paper</t>
  </si>
  <si>
    <t>emission_co2e_ch4_lvst_entferm_cattle_dairy</t>
  </si>
  <si>
    <t>emission_co2e_ch4_lvst_entferm_cattle_nondairy</t>
  </si>
  <si>
    <t>emission_co2e_ch4_lvst_entferm_buffalo</t>
  </si>
  <si>
    <t>emission_co2e_ch4_lvst_entferm_sheep</t>
  </si>
  <si>
    <t>emission_co2e_ch4_lvst_entferm_goats</t>
  </si>
  <si>
    <t>emission_co2e_ch4_lvst_entferm_horses</t>
  </si>
  <si>
    <t>emission_co2e_ch4_lvst_entferm_mules</t>
  </si>
  <si>
    <t>emission_co2e_ch4_lvst_entferm_pigs</t>
  </si>
  <si>
    <t>emission_co2e_ch4_lvst_entferm_chickens</t>
  </si>
  <si>
    <t>emission_co2e_ch4_lsmm_anaerobic_digester|emission_co2e_ch4_lsmm_anaerobic_lagoon|emission_co2e_ch4_lsmm_composting|emission_co2e_ch4_lsmm_daily_spread|emission_co2e_ch4_lsmm_deep_bedding|emission_co2e_ch4_lsmm_dry_lot|emission_co2e_ch4_lsmm_incineration|emission_co2e_ch4_lsmm_liquid_slurry|emission_co2e_ch4_lsmm_paddock_pasture_range|emission_co2e_ch4_lsmm_poultry_manure|emission_co2e_ch4_lsmm_storage_solid</t>
  </si>
  <si>
    <t>emission_co2e_n2o_lsmm_direct_anaerobic_digester|emission_co2e_n2o_lsmm_direct_anaerobic_lagoon|emission_co2e_n2o_lsmm_direct_composting|emission_co2e_n2o_lsmm_direct_daily_spread|emission_co2e_n2o_lsmm_direct_deep_bedding|emission_co2e_n2o_lsmm_direct_dry_lot|emission_co2e_n2o_lsmm_direct_incineration|emission_co2e_n2o_lsmm_direct_liquid_slurry|emission_co2e_n2o_lsmm_direct_paddock_pasture_range|emission_co2e_n2o_lsmm_direct_poultry_manure|emission_co2e_n2o_lsmm_direct_storage_solid</t>
  </si>
  <si>
    <t>emission_co2e_co2_entc_bmass_processing_and_refinement_fp_hydrogen_gasification|emission_co2e_co2_entc_generation_pp_biomass|emission_co2e_co2_frst_forest_fires|emission_co2e_co2_inen_bmass_agriculture_and_livestock|emission_co2e_co2_inen_bmass_cement|emission_co2e_co2_inen_bmass_chemicals|emission_co2e_co2_inen_bmass_electronics|emission_co2e_co2_inen_bmass_glass|emission_co2e_co2_inen_bmass_lime_and_carbonite|emission_co2e_co2_inen_bmass_metals|emission_co2e_co2_inen_bmass_mining|emission_co2e_co2_inen_bmass_other_product_manufacturing|emission_co2e_co2_inen_bmass_paper|emission_co2e_co2_inen_bmass_plastic|emission_co2e_co2_inen_bmass_recycled_glass|emission_co2e_co2_inen_bmass_recycled_metals|emission_co2e_co2_inen_bmass_recycled_paper|emission_co2e_co2_inen_bmass_recycled_plastic|emission_co2e_co2_inen_bmass_recycled_rubber_and_leather|emission_co2e_co2_inen_bmass_recycled_textiles|emission_co2e_co2_inen_bmass_recycled_wood|emission_co2e_co2_inen_bmass_rubber_and_leather|emission_co2e_co2_inen_bmass_textiles|emission_co2e_co2_inen_bmass_wood|emission_co2e_co2_scoe_bmass_commercial_municipal|emission_co2e_co2_scoe_bmass_other_se|emission_co2e_co2_scoe_bmass_residential</t>
  </si>
  <si>
    <t>emission_co2e_co2_frst_sequestration_mangroves|emission_co2e_co2_frst_sequestration_primary|emission_co2e_co2_frst_sequestration_secondary</t>
  </si>
  <si>
    <t>emission_co2e_ch4_frst_methane_mangroves|emission_co2e_ch4_frst_methane_primary|emission_co2e_ch4_frst_methane_secondary</t>
  </si>
  <si>
    <t>emission_co2e_co2_agrc_biomass_bevs_and_spices|emission_co2e_co2_agrc_biomass_fruits|emission_co2e_co2_agrc_biomass_nuts|emission_co2e_co2_agrc_biomass_other_woody_perennial|emission_co2e_co2_lndu_conversion_croplands_to_croplands|emission_co2e_co2_lndu_drained_organic_soils_croplands</t>
  </si>
  <si>
    <t>emission_co2e_co2_lndu_conversion_forests_mangroves_to_croplands|emission_co2e_co2_lndu_conversion_forests_primary_to_croplands|emission_co2e_co2_lndu_conversion_forests_secondary_to_croplands</t>
  </si>
  <si>
    <t>emission_co2e_co2_lndu_conversion_grasslands_to_croplands|emission_co2e_co2_lndu_conversion_pastures_to_croplands</t>
  </si>
  <si>
    <t>emission_co2e_co2_lndu_conversion_flooded_to_croplands|emission_co2e_co2_lndu_conversion_wetlands_to_croplands</t>
  </si>
  <si>
    <t>emission_co2e_co2_lndu_conversion_settlements_to_croplands</t>
  </si>
  <si>
    <t>emission_co2e_co2_lndu_conversion_other_to_croplands|emission_co2e_co2_lndu_conversion_shrublands_to_croplands</t>
  </si>
  <si>
    <t>emission_co2e_co2_lndu_drained_organic_soils_pastures|emission_co2e_co2_lndu_conversion_grasslands_to_grasslands|emission_co2e_co2_lndu_conversion_grasslands_to_pastures|emission_co2e_co2_lndu_conversion_pastures_to_grasslands|emission_co2e_co2_lndu_conversion_pastures_to_pastures|emission_co2e_co2_lndu_biomass_sequestration_grasslands|emission_co2e_co2_lndu_biomass_sequestration_pastures</t>
  </si>
  <si>
    <t>emission_co2e_co2_lndu_conversion_forests_mangroves_to_grasslands|emission_co2e_co2_lndu_conversion_forests_mangroves_to_pastures|emission_co2e_co2_lndu_conversion_forests_primary_to_grasslands|emission_co2e_co2_lndu_conversion_forests_primary_to_pastures|emission_co2e_co2_lndu_conversion_forests_secondary_to_grasslands|emission_co2e_co2_lndu_conversion_forests_secondary_to_pastures</t>
  </si>
  <si>
    <t>emission_co2e_co2_lndu_conversion_croplands_to_grasslands|emission_co2e_co2_lndu_conversion_croplands_to_pastures</t>
  </si>
  <si>
    <t>emission_co2e_co2_lndu_conversion_flooded_to_grasslands|emission_co2e_co2_lndu_conversion_flooded_to_pastures|emission_co2e_co2_lndu_conversion_wetlands_to_grasslands|emission_co2e_co2_lndu_conversion_wetlands_to_pastures</t>
  </si>
  <si>
    <t>emission_co2e_co2_lndu_conversion_settlements_to_grasslands|emission_co2e_co2_lndu_conversion_settlements_to_pastures</t>
  </si>
  <si>
    <t>emission_co2e_co2_lndu_conversion_other_to_grasslands|emission_co2e_co2_lndu_conversion_other_to_pastures|emission_co2e_co2_lndu_conversion_shrublands_to_grasslands|emission_co2e_co2_lndu_conversion_shrublands_to_pastures</t>
  </si>
  <si>
    <t>emission_co2e_co2_lndu_biomass_sequestration_wetlands|emission_co2e_co2_lndu_conversion_wetlands_to_wetlands</t>
  </si>
  <si>
    <t>emission_co2e_co2_lndu_conversion_flooded_to_flooded</t>
  </si>
  <si>
    <t>emission_co2e_co2_lndu_conversion_croplands_to_wetlands|emission_co2e_co2_lndu_conversion_flooded_to_wetlands|emission_co2e_co2_lndu_conversion_grasslands_to_wetlands|emission_co2e_co2_lndu_conversion_other_to_wetlands|emission_co2e_co2_lndu_conversion_pastures_to_wetlands|emission_co2e_co2_lndu_conversion_settlements_to_wetlands|emission_co2e_co2_lndu_conversion_shrublands_to_wetlands</t>
  </si>
  <si>
    <t>emission_co2e_co2_lndu_conversion_croplands_to_flooded|emission_co2e_co2_lndu_conversion_grasslands_to_flooded|emission_co2e_co2_lndu_conversion_other_to_flooded|emission_co2e_co2_lndu_conversion_pastures_to_flooded|emission_co2e_co2_lndu_conversion_settlements_to_flooded|emission_co2e_co2_lndu_conversion_shrublands_to_flooded|emission_co2e_co2_lndu_conversion_wetlands_to_flooded</t>
  </si>
  <si>
    <t>emission_co2e_co2_lndu_biomass_sequestration_settlements|emission_co2e_co2_lndu_conversion_settlements_to_settlements</t>
  </si>
  <si>
    <t>emission_co2e_co2_lndu_conversion_forests_mangroves_to_settlements|emission_co2e_co2_lndu_conversion_forests_primary_to_settlements|emission_co2e_co2_lndu_conversion_forests_secondary_to_settlements</t>
  </si>
  <si>
    <t>emission_co2e_co2_lndu_conversion_croplands_to_settlements</t>
  </si>
  <si>
    <t>emission_co2e_co2_lndu_conversion_grasslands_to_settlements|emission_co2e_co2_lndu_conversion_pastures_to_settlements</t>
  </si>
  <si>
    <t>emission_co2e_co2_lndu_conversion_flooded_to_settlements|emission_co2e_co2_lndu_conversion_wetlands_to_settlements</t>
  </si>
  <si>
    <t>emission_co2e_co2_lndu_conversion_other_to_settlements|emission_co2e_co2_lndu_conversion_shrublands_to_settlements</t>
  </si>
  <si>
    <t>emission_co2e_co2_lndu_conversion_other_to_other|emission_co2e_co2_lndu_conversion_other_to_shrublands|emission_co2e_co2_lndu_conversion_shrublands_to_other|emission_co2e_co2_lndu_conversion_shrublands_to_shrublands</t>
  </si>
  <si>
    <t>emission_co2e_co2_lndu_biomass_sequestration_other|emission_co2e_co2_lndu_biomass_sequestration_shrublands</t>
  </si>
  <si>
    <t>emission_co2e_co2_lndu_conversion_forests_mangroves_to_flooded|emission_co2e_co2_lndu_conversion_forests_mangroves_to_other|emission_co2e_co2_lndu_conversion_forests_mangroves_to_shrublands|emission_co2e_co2_lndu_conversion_forests_mangroves_to_wetlands|emission_co2e_co2_lndu_conversion_forests_primary_to_flooded|emission_co2e_co2_lndu_conversion_forests_primary_to_other|emission_co2e_co2_lndu_conversion_forests_primary_to_shrublands|emission_co2e_co2_lndu_conversion_forests_primary_to_wetlands|emission_co2e_co2_lndu_conversion_forests_secondary_to_flooded|emission_co2e_co2_lndu_conversion_forests_secondary_to_other|emission_co2e_co2_lndu_conversion_forests_secondary_to_shrublands|emission_co2e_co2_lndu_conversion_forests_secondary_to_wetlands</t>
  </si>
  <si>
    <t>emission_co2e_co2_lndu_conversion_croplands_to_other|emission_co2e_co2_lndu_conversion_croplands_to_shrublands</t>
  </si>
  <si>
    <t>emission_co2e_co2_lndu_conversion_grasslands_to_other|emission_co2e_co2_lndu_conversion_grasslands_to_shrublands|emission_co2e_co2_lndu_conversion_pastures_to_other|emission_co2e_co2_lndu_conversion_pastures_to_shrublands</t>
  </si>
  <si>
    <t>emission_co2e_co2_lndu_conversion_flooded_to_other|emission_co2e_co2_lndu_conversion_flooded_to_shrublands|emission_co2e_co2_lndu_conversion_wetlands_to_other|emission_co2e_co2_lndu_conversion_wetlands_to_shrublands</t>
  </si>
  <si>
    <t>emission_co2e_co2_lndu_conversion_settlements_to_other|emission_co2e_co2_lndu_conversion_settlements_to_shrublands</t>
  </si>
  <si>
    <t>emission_co2e_co2_soil_soc_mineral_soils</t>
  </si>
  <si>
    <t>emission_co2e_ch4_agrc_biomass_burning</t>
  </si>
  <si>
    <t>emission_co2e_n2o_agrc_biomass_burning</t>
  </si>
  <si>
    <t>emission_co2e_co2_soil_lime_use</t>
  </si>
  <si>
    <t>emission_co2e_co2_soil_urea_use</t>
  </si>
  <si>
    <t>emission_co2e_n2o_agrc_crop_residues|emission_co2e_n2o_soil_fertilizer|emission_co2e_n2o_soil_mineral_soils|emission_co2e_n2o_soil_organic_soils</t>
  </si>
  <si>
    <t>emission_co2e_n2o_lsmm_indirect_anaerobic_digester|emission_co2e_n2o_lsmm_indirect_anaerobic_lagoon|emission_co2e_n2o_lsmm_indirect_composting|emission_co2e_n2o_lsmm_indirect_daily_spread|emission_co2e_n2o_lsmm_indirect_deep_bedding|emission_co2e_n2o_lsmm_indirect_dry_lot|emission_co2e_n2o_lsmm_indirect_incineration|emission_co2e_n2o_lsmm_indirect_liquid_slurry|emission_co2e_n2o_lsmm_indirect_paddock_pasture_range|emission_co2e_n2o_lsmm_indirect_poultry_manure|emission_co2e_n2o_lsmm_indirect_storage_solid</t>
  </si>
  <si>
    <t>emission_co2e_ch4_agrc_anaerobicdom_rice</t>
  </si>
  <si>
    <t>emission_co2e_n2o_soil_paddock_pasture_range</t>
  </si>
  <si>
    <t>emission_co2e_ch4_lndu_wetlands</t>
  </si>
  <si>
    <t>emission_co2e_co2_frst_harvested_wood_products</t>
  </si>
  <si>
    <t>emission_co2e_ch4_waso_landfilled_chemical_industrial|emission_co2e_ch4_waso_landfilled_food|emission_co2e_ch4_waso_landfilled_glass|emission_co2e_ch4_waso_landfilled_metal|emission_co2e_ch4_waso_landfilled_nappies|emission_co2e_ch4_waso_landfilled_other|emission_co2e_ch4_waso_landfilled_paper|emission_co2e_ch4_waso_landfilled_plastic|emission_co2e_ch4_waso_landfilled_rubber_leather|emission_co2e_ch4_waso_landfilled_sludge|emission_co2e_ch4_waso_landfilled_textiles|emission_co2e_ch4_waso_landfilled_wood|emission_co2e_ch4_waso_landfilled_yard</t>
  </si>
  <si>
    <t>emission_co2e_ch4_waso_open_dump_chemical_industrial|emission_co2e_ch4_waso_open_dump_food|emission_co2e_ch4_waso_open_dump_glass|emission_co2e_ch4_waso_open_dump_metal|emission_co2e_ch4_waso_open_dump_nappies|emission_co2e_ch4_waso_open_dump_other|emission_co2e_ch4_waso_open_dump_paper|emission_co2e_ch4_waso_open_dump_plastic|emission_co2e_ch4_waso_open_dump_rubber_leather|emission_co2e_ch4_waso_open_dump_sludge|emission_co2e_ch4_waso_open_dump_textiles|emission_co2e_ch4_waso_open_dump_wood|emission_co2e_ch4_waso_open_dump_yard</t>
  </si>
  <si>
    <t>emission_co2e_ch4_waso_biogas_food|emission_co2e_ch4_waso_biogas_sludge|emission_co2e_ch4_waso_biogas_yard</t>
  </si>
  <si>
    <t>emission_co2e_ch4_waso_compost_food|emission_co2e_ch4_waso_compost_sludge|emission_co2e_ch4_waso_compost_yard</t>
  </si>
  <si>
    <t>emission_co2e_n2o_waso_compost_food|emission_co2e_n2o_waso_compost_sludge|emission_co2e_n2o_waso_compost_yard</t>
  </si>
  <si>
    <t>emission_co2e_ch4_waso_incineration</t>
  </si>
  <si>
    <t>emission_co2e_co2_waso_incineration</t>
  </si>
  <si>
    <t>emission_co2e_n2o_waso_incineration</t>
  </si>
  <si>
    <t>emission_co2e_ch4_trww_treated_advanced_aerobic_treatment|emission_co2e_ch4_trww_treated_advanced_anaerobic_treatment|emission_co2e_ch4_trww_treated_latrine_improved_treatment|emission_co2e_ch4_trww_treated_latrine_unimproved_treatment|emission_co2e_ch4_trww_treated_primary_treatment|emission_co2e_ch4_trww_treated_secondary_aerobic_treatment|emission_co2e_ch4_trww_treated_secondary_anaerobic_treatment|emission_co2e_ch4_trww_treated_septic_treatment|emission_co2e_ch4_trww_untreated_no_sewerage_treatment|emission_co2e_ch4_trww_untreated_with_sewerage_treatment</t>
  </si>
  <si>
    <t>emission_co2e_n2o_trww_treated_advanced_aerobic_effluent|emission_co2e_n2o_trww_treated_advanced_aerobic_treatment|emission_co2e_n2o_trww_treated_advanced_anaerobic_effluent|emission_co2e_n2o_trww_treated_advanced_anaerobic_treatment|emission_co2e_n2o_trww_treated_latrine_improved_effluent|emission_co2e_n2o_trww_treated_latrine_improved_treatment|emission_co2e_n2o_trww_treated_latrine_unimproved_effluent|emission_co2e_n2o_trww_treated_latrine_unimproved_treatment|emission_co2e_n2o_trww_treated_primary_effluent|emission_co2e_n2o_trww_treated_primary_treatment|emission_co2e_n2o_trww_treated_secondary_aerobic_effluent|emission_co2e_n2o_trww_treated_secondary_aerobic_treatment|emission_co2e_n2o_trww_treated_secondary_anaerobic_effluent|emission_co2e_n2o_trww_treated_secondary_anaerobic_treatment|emission_co2e_n2o_trww_treated_septic_effluent|emission_co2e_n2o_trww_treated_septic_treatment|emission_co2e_n2o_trww_untreated_no_sewerage_effluent|emission_co2e_n2o_trww_untreated_no_sewerage_treatment|emission_co2e_n2o_trww_untreated_with_sewerage_effluent|emission_co2e_n2o_trww_untreated_with_sewerage_trea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</si>
</sst>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sz val="8"/>
      <color rgb="FF000000"/>
      <name val="Microsoft Sans Serif"/>
      <family val="2"/>
    </font>
    <font>
      <b/>
      <sz val="12"/>
      <color theme="1"/>
      <name val="Aptos Narrow"/>
      <scheme val="minor"/>
    </font>
    <font>
      <b/>
      <sz val="16"/>
      <color theme="0"/>
      <name val="Aptos Narrow"/>
      <scheme val="minor"/>
    </font>
    <font>
      <b/>
      <sz val="18"/>
      <color theme="0"/>
      <name val="Aptos Narrow"/>
      <scheme val="minor"/>
    </font>
  </fonts>
  <fills count="9">
    <fill>
      <patternFill patternType="none"/>
    </fill>
    <fill>
      <patternFill patternType="gray125"/>
    </fill>
    <fill>
      <patternFill patternType="solid">
        <fgColor theme="3" tint="9.9978637043366805E-2"/>
        <bgColor indexed="64"/>
      </patternFill>
    </fill>
    <fill>
      <patternFill patternType="solid">
        <fgColor theme="3" tint="0.499984740745262"/>
        <bgColor indexed="64"/>
      </patternFill>
    </fill>
    <fill>
      <patternFill patternType="solid">
        <fgColor theme="0"/>
        <bgColor indexed="64"/>
      </patternFill>
    </fill>
    <fill>
      <patternFill patternType="solid">
        <fgColor theme="3" tint="0.749992370372631"/>
        <bgColor indexed="64"/>
      </patternFill>
    </fill>
    <fill>
      <patternFill patternType="solid">
        <fgColor theme="3" tint="0.89999084444715716"/>
        <bgColor indexed="64"/>
      </patternFill>
    </fill>
    <fill>
      <patternFill patternType="solid">
        <fgColor theme="3"/>
        <bgColor indexed="64"/>
      </patternFill>
    </fill>
    <fill>
      <patternFill patternType="solid">
        <fgColor theme="2"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3" fillId="2" borderId="0" xfId="0" applyFont="1" applyFill="1"/>
    <xf numFmtId="0" fontId="0" fillId="4" borderId="0" xfId="0" applyFill="1"/>
    <xf numFmtId="0" fontId="0" fillId="5" borderId="0" xfId="0" applyFill="1"/>
    <xf numFmtId="0" fontId="0" fillId="6" borderId="0" xfId="0" applyFill="1"/>
    <xf numFmtId="0" fontId="1" fillId="4" borderId="1" xfId="0" applyFont="1" applyFill="1" applyBorder="1" applyAlignment="1">
      <alignment horizontal="right" vertical="top"/>
    </xf>
    <xf numFmtId="0" fontId="0" fillId="7" borderId="0" xfId="0" applyFill="1"/>
    <xf numFmtId="0" fontId="2" fillId="3" borderId="0" xfId="0" applyFont="1" applyFill="1"/>
    <xf numFmtId="0" fontId="0" fillId="8" borderId="0" xfId="0" applyFill="1"/>
    <xf numFmtId="0" fontId="4" fillId="7" borderId="0" xfId="0" applyFont="1" applyFill="1" applyAlignment="1">
      <alignment horizontal="center" vertical="center"/>
    </xf>
    <xf numFmtId="0" fontId="4" fillId="7" borderId="0" xfId="0" applyFont="1" applyFill="1" applyAlignment="1">
      <alignment horizontal="left" vertical="center"/>
    </xf>
    <xf numFmtId="0" fontId="3" fillId="7" borderId="0" xfId="0" applyFont="1" applyFill="1"/>
    <xf numFmtId="0" fontId="0" fillId="0" borderId="0" xfId="0" applyAlignment="1">
      <alignment horizontal="left" wrapText="1"/>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280EC-8DD9-9C42-8ABC-32E320F5C74A}">
  <dimension ref="A1:CP431"/>
  <sheetViews>
    <sheetView tabSelected="1" topLeftCell="A249" workbookViewId="0">
      <selection activeCell="D254" sqref="D254:CP431"/>
    </sheetView>
  </sheetViews>
  <sheetFormatPr baseColWidth="10" defaultRowHeight="16" x14ac:dyDescent="0.2"/>
  <cols>
    <col min="1" max="4" width="2.6640625" customWidth="1"/>
    <col min="5" max="5" width="67.1640625" customWidth="1"/>
    <col min="6" max="6" width="8.83203125" customWidth="1"/>
    <col min="8" max="81" width="10.83203125" customWidth="1"/>
  </cols>
  <sheetData>
    <row r="1" spans="1:82" x14ac:dyDescent="0.2">
      <c r="A1" t="s">
        <v>190</v>
      </c>
    </row>
    <row r="2" spans="1:82" s="6" customFormat="1" ht="29" customHeight="1" x14ac:dyDescent="0.3">
      <c r="F2" s="11" t="s">
        <v>198</v>
      </c>
      <c r="G2" s="11">
        <v>1995</v>
      </c>
      <c r="H2" s="11">
        <v>1996</v>
      </c>
      <c r="I2" s="11">
        <v>1997</v>
      </c>
      <c r="J2" s="11">
        <v>1998</v>
      </c>
      <c r="K2" s="11">
        <v>1999</v>
      </c>
      <c r="L2" s="11">
        <v>2000</v>
      </c>
      <c r="M2" s="11">
        <v>2001</v>
      </c>
      <c r="N2" s="11">
        <v>2002</v>
      </c>
      <c r="O2" s="11">
        <v>2003</v>
      </c>
      <c r="P2" s="11">
        <v>2004</v>
      </c>
      <c r="Q2" s="11">
        <v>2005</v>
      </c>
      <c r="R2" s="11">
        <v>2006</v>
      </c>
      <c r="S2" s="11">
        <v>2007</v>
      </c>
      <c r="T2" s="11">
        <v>2008</v>
      </c>
      <c r="U2" s="11">
        <v>2009</v>
      </c>
      <c r="V2" s="11">
        <v>2010</v>
      </c>
      <c r="W2" s="11">
        <v>2011</v>
      </c>
      <c r="X2" s="11">
        <v>2012</v>
      </c>
      <c r="Y2" s="11">
        <v>2013</v>
      </c>
      <c r="Z2" s="11">
        <v>2014</v>
      </c>
      <c r="AA2" s="11">
        <v>2015</v>
      </c>
      <c r="AB2" s="11">
        <v>2016</v>
      </c>
      <c r="AC2" s="11">
        <v>2017</v>
      </c>
      <c r="AD2" s="11">
        <v>2018</v>
      </c>
      <c r="AE2" s="11">
        <v>2019</v>
      </c>
      <c r="AF2" s="11">
        <v>2020</v>
      </c>
      <c r="AG2" s="11">
        <v>2021</v>
      </c>
      <c r="AH2" s="11">
        <v>2022</v>
      </c>
      <c r="AI2" s="11">
        <v>2023</v>
      </c>
      <c r="AJ2" s="11">
        <v>2024</v>
      </c>
      <c r="AK2" s="11">
        <v>2025</v>
      </c>
      <c r="AL2" s="11">
        <v>2026</v>
      </c>
      <c r="AM2" s="11">
        <v>2027</v>
      </c>
      <c r="AN2" s="11">
        <v>2028</v>
      </c>
      <c r="AO2" s="11">
        <v>2029</v>
      </c>
      <c r="AP2" s="11">
        <v>2030</v>
      </c>
      <c r="AQ2" s="11">
        <v>2031</v>
      </c>
      <c r="AR2" s="11">
        <v>2032</v>
      </c>
      <c r="AS2" s="11">
        <v>2033</v>
      </c>
      <c r="AT2" s="11">
        <v>2034</v>
      </c>
      <c r="AU2" s="11">
        <v>2035</v>
      </c>
      <c r="AV2" s="11">
        <v>2036</v>
      </c>
      <c r="AW2" s="11">
        <v>2037</v>
      </c>
      <c r="AX2" s="11">
        <v>2038</v>
      </c>
      <c r="AY2" s="11">
        <v>2039</v>
      </c>
      <c r="AZ2" s="11">
        <v>2040</v>
      </c>
      <c r="BA2" s="11">
        <v>2041</v>
      </c>
      <c r="BB2" s="11">
        <v>2042</v>
      </c>
      <c r="BC2" s="11">
        <v>2043</v>
      </c>
      <c r="BD2" s="11">
        <v>2044</v>
      </c>
      <c r="BE2" s="11">
        <v>2045</v>
      </c>
      <c r="BF2" s="11">
        <v>2046</v>
      </c>
      <c r="BG2" s="11">
        <v>2047</v>
      </c>
      <c r="BH2" s="11">
        <v>2048</v>
      </c>
      <c r="BI2" s="11">
        <v>2049</v>
      </c>
      <c r="BJ2" s="11">
        <v>2050</v>
      </c>
      <c r="BK2" s="11">
        <v>2051</v>
      </c>
      <c r="BL2" s="11">
        <v>2052</v>
      </c>
      <c r="BM2" s="11">
        <v>2053</v>
      </c>
      <c r="BN2" s="11">
        <v>2054</v>
      </c>
      <c r="BO2" s="11">
        <v>2055</v>
      </c>
      <c r="BP2" s="11">
        <v>2056</v>
      </c>
      <c r="BQ2" s="11">
        <v>2057</v>
      </c>
      <c r="BR2" s="11">
        <v>2058</v>
      </c>
      <c r="BS2" s="11">
        <v>2059</v>
      </c>
      <c r="BT2" s="11">
        <v>2060</v>
      </c>
      <c r="BU2" s="11">
        <v>2061</v>
      </c>
      <c r="BV2" s="11">
        <v>2062</v>
      </c>
      <c r="BW2" s="11">
        <v>2063</v>
      </c>
      <c r="BX2" s="11">
        <v>2064</v>
      </c>
      <c r="BY2" s="11">
        <v>2065</v>
      </c>
      <c r="BZ2" s="11">
        <v>2066</v>
      </c>
      <c r="CA2" s="11">
        <v>2067</v>
      </c>
      <c r="CB2" s="11">
        <v>2068</v>
      </c>
      <c r="CC2" s="11">
        <v>2069</v>
      </c>
      <c r="CD2" s="11">
        <v>2070</v>
      </c>
    </row>
    <row r="3" spans="1:82" s="1" customFormat="1" ht="22" x14ac:dyDescent="0.3">
      <c r="A3" s="1" t="s">
        <v>0</v>
      </c>
      <c r="G3" s="1">
        <f>SUM(G4,G84,G96)</f>
        <v>80.001000000000005</v>
      </c>
      <c r="H3" s="1">
        <f t="shared" ref="H3:BS3" si="0">SUM(H4,H84,H96)</f>
        <v>0</v>
      </c>
      <c r="I3" s="1">
        <f t="shared" si="0"/>
        <v>0</v>
      </c>
      <c r="J3" s="1">
        <f t="shared" si="0"/>
        <v>0</v>
      </c>
      <c r="K3" s="1">
        <f t="shared" si="0"/>
        <v>3037.8213000000005</v>
      </c>
      <c r="L3" s="1">
        <f t="shared" si="0"/>
        <v>3037.8213000000005</v>
      </c>
      <c r="M3" s="1">
        <f t="shared" si="0"/>
        <v>3309.6647000000003</v>
      </c>
      <c r="N3" s="1">
        <f t="shared" si="0"/>
        <v>3569.3178000000003</v>
      </c>
      <c r="O3" s="1">
        <f t="shared" si="0"/>
        <v>3626.5111999999999</v>
      </c>
      <c r="P3" s="1">
        <f t="shared" si="0"/>
        <v>3716.2582999999995</v>
      </c>
      <c r="Q3" s="1">
        <f t="shared" si="0"/>
        <v>4048.9882000000002</v>
      </c>
      <c r="R3" s="1">
        <f t="shared" si="0"/>
        <v>4299.8744000000006</v>
      </c>
      <c r="S3" s="1">
        <f t="shared" si="0"/>
        <v>4444.8482999999997</v>
      </c>
      <c r="T3" s="1">
        <f t="shared" si="0"/>
        <v>4585.4283999999989</v>
      </c>
      <c r="U3" s="1">
        <f t="shared" si="0"/>
        <v>4799.4894999999997</v>
      </c>
      <c r="V3" s="1">
        <f t="shared" si="0"/>
        <v>5179.6650000000009</v>
      </c>
      <c r="W3" s="1">
        <f t="shared" si="0"/>
        <v>5412.9075000000003</v>
      </c>
      <c r="X3" s="1">
        <f t="shared" si="0"/>
        <v>5839.1768999999995</v>
      </c>
      <c r="Y3" s="1">
        <f t="shared" si="0"/>
        <v>6834.6412</v>
      </c>
      <c r="Z3" s="1">
        <f t="shared" si="0"/>
        <v>6717.8518999999997</v>
      </c>
      <c r="AA3" s="1">
        <f t="shared" si="0"/>
        <v>6974.5753999999997</v>
      </c>
      <c r="AB3" s="1">
        <f t="shared" si="0"/>
        <v>7542.8891000000003</v>
      </c>
      <c r="AC3" s="1">
        <f t="shared" si="0"/>
        <v>7106.1514000000006</v>
      </c>
      <c r="AD3" s="1">
        <f t="shared" si="0"/>
        <v>7578.4705999999996</v>
      </c>
      <c r="AE3" s="1">
        <f t="shared" si="0"/>
        <v>8908.7505000000019</v>
      </c>
      <c r="AF3" s="1">
        <f t="shared" si="0"/>
        <v>-291265.7389</v>
      </c>
      <c r="AG3" s="1">
        <f t="shared" si="0"/>
        <v>-290935.73450000002</v>
      </c>
      <c r="AH3" s="1">
        <f t="shared" si="0"/>
        <v>-290080.96140000003</v>
      </c>
      <c r="AI3" s="1">
        <f t="shared" si="0"/>
        <v>-287644.39490000001</v>
      </c>
      <c r="AJ3" s="1">
        <f t="shared" si="0"/>
        <v>12251.345539587785</v>
      </c>
      <c r="AK3" s="1">
        <f t="shared" si="0"/>
        <v>12493.798762228662</v>
      </c>
      <c r="AL3" s="1">
        <f t="shared" si="0"/>
        <v>12952.619355499335</v>
      </c>
      <c r="AM3" s="1">
        <f t="shared" si="0"/>
        <v>13462.843459254169</v>
      </c>
      <c r="AN3" s="1">
        <f t="shared" si="0"/>
        <v>13979.895875220827</v>
      </c>
      <c r="AO3" s="1">
        <f t="shared" si="0"/>
        <v>14559.055297348985</v>
      </c>
      <c r="AP3" s="1">
        <f t="shared" si="0"/>
        <v>15225.518646444234</v>
      </c>
      <c r="AQ3" s="1">
        <f t="shared" si="0"/>
        <v>16216.802768166419</v>
      </c>
      <c r="AR3" s="1">
        <f t="shared" si="0"/>
        <v>17425.542953528729</v>
      </c>
      <c r="AS3" s="1">
        <f t="shared" si="0"/>
        <v>18897.571671485497</v>
      </c>
      <c r="AT3" s="1">
        <f t="shared" si="0"/>
        <v>20640.003466417522</v>
      </c>
      <c r="AU3" s="1">
        <f t="shared" si="0"/>
        <v>22542.070620190501</v>
      </c>
      <c r="AV3" s="1">
        <f t="shared" si="0"/>
        <v>24878.289752095483</v>
      </c>
      <c r="AW3" s="1">
        <f t="shared" si="0"/>
        <v>27745.633159514917</v>
      </c>
      <c r="AX3" s="1">
        <f t="shared" si="0"/>
        <v>31205.878958205729</v>
      </c>
      <c r="AY3" s="1">
        <f t="shared" si="0"/>
        <v>35247.391645257791</v>
      </c>
      <c r="AZ3" s="1">
        <f t="shared" si="0"/>
        <v>39766.252154095593</v>
      </c>
      <c r="BA3" s="1">
        <f t="shared" si="0"/>
        <v>44590.32244239698</v>
      </c>
      <c r="BB3" s="1">
        <f t="shared" si="0"/>
        <v>49539.070418410702</v>
      </c>
      <c r="BC3" s="1">
        <f t="shared" si="0"/>
        <v>54482.227915006071</v>
      </c>
      <c r="BD3" s="1">
        <f t="shared" si="0"/>
        <v>59151.172016346791</v>
      </c>
      <c r="BE3" s="1">
        <f t="shared" si="0"/>
        <v>63492.283203552011</v>
      </c>
      <c r="BF3" s="1">
        <f t="shared" si="0"/>
        <v>67479.900235628636</v>
      </c>
      <c r="BG3" s="1">
        <f t="shared" si="0"/>
        <v>71133.195035579382</v>
      </c>
      <c r="BH3" s="1">
        <f t="shared" si="0"/>
        <v>74459.813874366329</v>
      </c>
      <c r="BI3" s="1">
        <f t="shared" si="0"/>
        <v>77456.277021514034</v>
      </c>
      <c r="BJ3" s="1">
        <f t="shared" si="0"/>
        <v>79880.766554797694</v>
      </c>
      <c r="BK3" s="1">
        <f t="shared" si="0"/>
        <v>82276.686761300705</v>
      </c>
      <c r="BL3" s="1">
        <f t="shared" si="0"/>
        <v>84631.816127079859</v>
      </c>
      <c r="BM3" s="1">
        <f t="shared" si="0"/>
        <v>86933.084675812992</v>
      </c>
      <c r="BN3" s="1">
        <f t="shared" si="0"/>
        <v>89167.871524359958</v>
      </c>
      <c r="BO3" s="1">
        <f t="shared" si="0"/>
        <v>91322.722807758284</v>
      </c>
      <c r="BP3" s="1">
        <f t="shared" si="0"/>
        <v>93386.310170587822</v>
      </c>
      <c r="BQ3" s="1">
        <f t="shared" si="0"/>
        <v>95347.53657627877</v>
      </c>
      <c r="BR3" s="1">
        <f t="shared" si="0"/>
        <v>97195.439949465726</v>
      </c>
      <c r="BS3" s="1">
        <f t="shared" si="0"/>
        <v>98919.955188967506</v>
      </c>
      <c r="BT3" s="1">
        <f t="shared" ref="BT3:CD3" si="1">SUM(BT4,BT84,BT96)</f>
        <v>100512.2615095605</v>
      </c>
      <c r="BU3" s="1">
        <f t="shared" si="1"/>
        <v>102127.60611568326</v>
      </c>
      <c r="BV3" s="1">
        <f t="shared" si="1"/>
        <v>103766.5263834746</v>
      </c>
      <c r="BW3" s="1">
        <f t="shared" si="1"/>
        <v>105429.28542852482</v>
      </c>
      <c r="BX3" s="1">
        <f t="shared" si="1"/>
        <v>107116.16844951731</v>
      </c>
      <c r="BY3" s="1">
        <f t="shared" si="1"/>
        <v>108828.80578371347</v>
      </c>
      <c r="BZ3" s="1">
        <f t="shared" si="1"/>
        <v>110568.49831543407</v>
      </c>
      <c r="CA3" s="1">
        <f t="shared" si="1"/>
        <v>112335.73580577569</v>
      </c>
      <c r="CB3" s="1">
        <f t="shared" si="1"/>
        <v>114132.54532655296</v>
      </c>
      <c r="CC3" s="1">
        <f t="shared" si="1"/>
        <v>115960.89351889132</v>
      </c>
      <c r="CD3" s="1">
        <f t="shared" si="1"/>
        <v>117823.41226761547</v>
      </c>
    </row>
    <row r="4" spans="1:82" s="7" customFormat="1" x14ac:dyDescent="0.2">
      <c r="B4" s="7" t="s">
        <v>1</v>
      </c>
      <c r="G4" s="7">
        <f>SUM(G5,G19,G47,G70,G80)</f>
        <v>71.001000000000005</v>
      </c>
      <c r="H4" s="7">
        <f t="shared" ref="H4:BS4" si="2">SUM(H5,H19,H47,H70,H80)</f>
        <v>0</v>
      </c>
      <c r="I4" s="7">
        <f t="shared" si="2"/>
        <v>0</v>
      </c>
      <c r="J4" s="7">
        <f t="shared" si="2"/>
        <v>0</v>
      </c>
      <c r="K4" s="7">
        <f t="shared" si="2"/>
        <v>3037.8213000000005</v>
      </c>
      <c r="L4" s="7">
        <f t="shared" si="2"/>
        <v>3037.8213000000005</v>
      </c>
      <c r="M4" s="7">
        <f t="shared" si="2"/>
        <v>3309.6647000000003</v>
      </c>
      <c r="N4" s="7">
        <f t="shared" si="2"/>
        <v>3569.3178000000003</v>
      </c>
      <c r="O4" s="7">
        <f t="shared" si="2"/>
        <v>3626.5111999999999</v>
      </c>
      <c r="P4" s="7">
        <f t="shared" si="2"/>
        <v>3716.2582999999995</v>
      </c>
      <c r="Q4" s="7">
        <f t="shared" si="2"/>
        <v>4048.9882000000002</v>
      </c>
      <c r="R4" s="7">
        <f t="shared" si="2"/>
        <v>4299.8744000000006</v>
      </c>
      <c r="S4" s="7">
        <f t="shared" si="2"/>
        <v>4444.8482999999997</v>
      </c>
      <c r="T4" s="7">
        <f t="shared" si="2"/>
        <v>4585.4283999999989</v>
      </c>
      <c r="U4" s="7">
        <f t="shared" si="2"/>
        <v>4799.4894999999997</v>
      </c>
      <c r="V4" s="7">
        <f t="shared" si="2"/>
        <v>5179.6650000000009</v>
      </c>
      <c r="W4" s="7">
        <f t="shared" si="2"/>
        <v>5412.9075000000003</v>
      </c>
      <c r="X4" s="7">
        <f t="shared" si="2"/>
        <v>5839.1768999999995</v>
      </c>
      <c r="Y4" s="7">
        <f t="shared" si="2"/>
        <v>6834.6412</v>
      </c>
      <c r="Z4" s="7">
        <f t="shared" si="2"/>
        <v>6717.8518999999997</v>
      </c>
      <c r="AA4" s="7">
        <f t="shared" si="2"/>
        <v>6974.5753999999997</v>
      </c>
      <c r="AB4" s="7">
        <f t="shared" si="2"/>
        <v>7542.8891000000003</v>
      </c>
      <c r="AC4" s="7">
        <f t="shared" si="2"/>
        <v>7106.1514000000006</v>
      </c>
      <c r="AD4" s="7">
        <f t="shared" si="2"/>
        <v>7578.4705999999996</v>
      </c>
      <c r="AE4" s="7">
        <f t="shared" si="2"/>
        <v>8908.7505000000019</v>
      </c>
      <c r="AF4" s="7">
        <f t="shared" si="2"/>
        <v>8731.2611000000015</v>
      </c>
      <c r="AG4" s="7">
        <f t="shared" si="2"/>
        <v>9061.2655000000013</v>
      </c>
      <c r="AH4" s="7">
        <f t="shared" si="2"/>
        <v>9916.0385999999999</v>
      </c>
      <c r="AI4" s="7">
        <f t="shared" si="2"/>
        <v>12352.605099999999</v>
      </c>
      <c r="AJ4" s="7">
        <f t="shared" si="2"/>
        <v>12251.15644550111</v>
      </c>
      <c r="AK4" s="7">
        <f t="shared" si="2"/>
        <v>12493.608087810995</v>
      </c>
      <c r="AL4" s="7">
        <f t="shared" si="2"/>
        <v>12952.42725639759</v>
      </c>
      <c r="AM4" s="7">
        <f t="shared" si="2"/>
        <v>13462.64958318302</v>
      </c>
      <c r="AN4" s="7">
        <f t="shared" si="2"/>
        <v>13979.700615086163</v>
      </c>
      <c r="AO4" s="7">
        <f t="shared" si="2"/>
        <v>14558.858668312932</v>
      </c>
      <c r="AP4" s="7">
        <f t="shared" si="2"/>
        <v>15225.320711899119</v>
      </c>
      <c r="AQ4" s="7">
        <f t="shared" si="2"/>
        <v>16216.530895760308</v>
      </c>
      <c r="AR4" s="7">
        <f t="shared" si="2"/>
        <v>17425.171740444639</v>
      </c>
      <c r="AS4" s="7">
        <f t="shared" si="2"/>
        <v>18897.06586668397</v>
      </c>
      <c r="AT4" s="7">
        <f t="shared" si="2"/>
        <v>20639.315351176017</v>
      </c>
      <c r="AU4" s="7">
        <f t="shared" si="2"/>
        <v>22537.354760175898</v>
      </c>
      <c r="AV4" s="7">
        <f t="shared" si="2"/>
        <v>24869.389663247668</v>
      </c>
      <c r="AW4" s="7">
        <f t="shared" si="2"/>
        <v>27732.336328340789</v>
      </c>
      <c r="AX4" s="7">
        <f t="shared" si="2"/>
        <v>31187.923844500743</v>
      </c>
      <c r="AY4" s="7">
        <f t="shared" si="2"/>
        <v>35224.494701033356</v>
      </c>
      <c r="AZ4" s="7">
        <f t="shared" si="2"/>
        <v>39738.150988997571</v>
      </c>
      <c r="BA4" s="7">
        <f t="shared" si="2"/>
        <v>44556.817919276844</v>
      </c>
      <c r="BB4" s="7">
        <f t="shared" si="2"/>
        <v>49500.047196766762</v>
      </c>
      <c r="BC4" s="7">
        <f t="shared" si="2"/>
        <v>54437.646274552513</v>
      </c>
      <c r="BD4" s="7">
        <f t="shared" si="2"/>
        <v>59101.06070621845</v>
      </c>
      <c r="BE4" s="7">
        <f t="shared" si="2"/>
        <v>63436.696917894871</v>
      </c>
      <c r="BF4" s="7">
        <f t="shared" si="2"/>
        <v>67418.901757219282</v>
      </c>
      <c r="BG4" s="7">
        <f t="shared" si="2"/>
        <v>71066.844667109253</v>
      </c>
      <c r="BH4" s="7">
        <f t="shared" si="2"/>
        <v>74388.161098888668</v>
      </c>
      <c r="BI4" s="7">
        <f t="shared" si="2"/>
        <v>77379.365924592814</v>
      </c>
      <c r="BJ4" s="7">
        <f t="shared" si="2"/>
        <v>79803.497933868261</v>
      </c>
      <c r="BK4" s="7">
        <f t="shared" si="2"/>
        <v>82199.061865192998</v>
      </c>
      <c r="BL4" s="7">
        <f t="shared" si="2"/>
        <v>84553.838031714346</v>
      </c>
      <c r="BM4" s="7">
        <f t="shared" si="2"/>
        <v>86854.758275329979</v>
      </c>
      <c r="BN4" s="7">
        <f t="shared" si="2"/>
        <v>89089.203605532966</v>
      </c>
      <c r="BO4" s="7">
        <f t="shared" si="2"/>
        <v>91243.721107508638</v>
      </c>
      <c r="BP4" s="7">
        <f t="shared" si="2"/>
        <v>93306.985291673016</v>
      </c>
      <c r="BQ4" s="7">
        <f t="shared" si="2"/>
        <v>95267.901017762779</v>
      </c>
      <c r="BR4" s="7">
        <f t="shared" si="2"/>
        <v>97115.508021649017</v>
      </c>
      <c r="BS4" s="7">
        <f t="shared" si="2"/>
        <v>98839.742993485153</v>
      </c>
      <c r="BT4" s="7">
        <f t="shared" ref="BT4:CD4" si="3">SUM(BT5,BT19,BT47,BT70,BT80)</f>
        <v>100431.78693820047</v>
      </c>
      <c r="BU4" s="7">
        <f t="shared" si="3"/>
        <v>102046.86184218116</v>
      </c>
      <c r="BV4" s="7">
        <f t="shared" si="3"/>
        <v>103685.50493704629</v>
      </c>
      <c r="BW4" s="7">
        <f t="shared" si="3"/>
        <v>105347.9791592994</v>
      </c>
      <c r="BX4" s="7">
        <f t="shared" si="3"/>
        <v>107034.56952235344</v>
      </c>
      <c r="BY4" s="7">
        <f t="shared" si="3"/>
        <v>108746.90627496867</v>
      </c>
      <c r="BZ4" s="7">
        <f t="shared" si="3"/>
        <v>110486.29016904459</v>
      </c>
      <c r="CA4" s="7">
        <f t="shared" si="3"/>
        <v>112253.21071597631</v>
      </c>
      <c r="CB4" s="7">
        <f t="shared" si="3"/>
        <v>114049.69483507521</v>
      </c>
      <c r="CC4" s="7">
        <f t="shared" si="3"/>
        <v>115877.70896020631</v>
      </c>
      <c r="CD4" s="7">
        <f t="shared" si="3"/>
        <v>117739.88478039333</v>
      </c>
    </row>
    <row r="5" spans="1:82" s="3" customFormat="1" x14ac:dyDescent="0.2">
      <c r="C5" s="3" t="s">
        <v>2</v>
      </c>
      <c r="G5" s="3">
        <f>SUM(G6:G18)</f>
        <v>11.000999999999999</v>
      </c>
      <c r="H5" s="3">
        <f t="shared" ref="H5:BS5" si="4">SUM(H6:H18)</f>
        <v>0</v>
      </c>
      <c r="I5" s="3">
        <f t="shared" si="4"/>
        <v>0</v>
      </c>
      <c r="J5" s="3">
        <f t="shared" si="4"/>
        <v>0</v>
      </c>
      <c r="K5" s="3">
        <f t="shared" si="4"/>
        <v>66.344500000000011</v>
      </c>
      <c r="L5" s="3">
        <f t="shared" si="4"/>
        <v>66.344500000000011</v>
      </c>
      <c r="M5" s="3">
        <f t="shared" si="4"/>
        <v>72.512600000000006</v>
      </c>
      <c r="N5" s="3">
        <f t="shared" si="4"/>
        <v>75.683999999999997</v>
      </c>
      <c r="O5" s="3">
        <f t="shared" si="4"/>
        <v>93.884799999999998</v>
      </c>
      <c r="P5" s="3">
        <f t="shared" si="4"/>
        <v>94.170799999999986</v>
      </c>
      <c r="Q5" s="3">
        <f t="shared" si="4"/>
        <v>107.9734</v>
      </c>
      <c r="R5" s="3">
        <f t="shared" si="4"/>
        <v>127.62470000000002</v>
      </c>
      <c r="S5" s="3">
        <f t="shared" si="4"/>
        <v>137.65390000000002</v>
      </c>
      <c r="T5" s="3">
        <f t="shared" si="4"/>
        <v>147.60610000000003</v>
      </c>
      <c r="U5" s="3">
        <f t="shared" si="4"/>
        <v>260.16629999999998</v>
      </c>
      <c r="V5" s="3">
        <f t="shared" si="4"/>
        <v>275.79819999999995</v>
      </c>
      <c r="W5" s="3">
        <f t="shared" si="4"/>
        <v>340.58899999999994</v>
      </c>
      <c r="X5" s="3">
        <f t="shared" si="4"/>
        <v>376.58539999999994</v>
      </c>
      <c r="Y5" s="3">
        <f t="shared" si="4"/>
        <v>332.39339999999999</v>
      </c>
      <c r="Z5" s="3">
        <f t="shared" si="4"/>
        <v>399.96049999999991</v>
      </c>
      <c r="AA5" s="3">
        <f t="shared" si="4"/>
        <v>470.63219999999995</v>
      </c>
      <c r="AB5" s="3">
        <f t="shared" si="4"/>
        <v>428.19939999999997</v>
      </c>
      <c r="AC5" s="3">
        <f t="shared" si="4"/>
        <v>323.66519999999997</v>
      </c>
      <c r="AD5" s="3">
        <f t="shared" si="4"/>
        <v>192.82589999999999</v>
      </c>
      <c r="AE5" s="3">
        <f t="shared" si="4"/>
        <v>605.00659999999993</v>
      </c>
      <c r="AF5" s="3">
        <f t="shared" si="4"/>
        <v>413.43799999999999</v>
      </c>
      <c r="AG5" s="3">
        <f t="shared" si="4"/>
        <v>493.1497</v>
      </c>
      <c r="AH5" s="3">
        <f t="shared" si="4"/>
        <v>1506.5996</v>
      </c>
      <c r="AI5" s="3">
        <f t="shared" si="4"/>
        <v>1678.0684999999999</v>
      </c>
      <c r="AJ5" s="3">
        <f t="shared" si="4"/>
        <v>16.00250174716961</v>
      </c>
      <c r="AK5" s="3">
        <f t="shared" si="4"/>
        <v>19.100852934713743</v>
      </c>
      <c r="AL5" s="3">
        <f t="shared" si="4"/>
        <v>21.354648172819122</v>
      </c>
      <c r="AM5" s="3">
        <f t="shared" si="4"/>
        <v>20.641607549585942</v>
      </c>
      <c r="AN5" s="3">
        <f t="shared" si="4"/>
        <v>19.996325522515079</v>
      </c>
      <c r="AO5" s="3">
        <f t="shared" si="4"/>
        <v>21.016133243552087</v>
      </c>
      <c r="AP5" s="3">
        <f t="shared" si="4"/>
        <v>22.153298684457194</v>
      </c>
      <c r="AQ5" s="3">
        <f t="shared" si="4"/>
        <v>23.867728452209377</v>
      </c>
      <c r="AR5" s="3">
        <f t="shared" si="4"/>
        <v>28.454672602637476</v>
      </c>
      <c r="AS5" s="3">
        <f t="shared" si="4"/>
        <v>34.818296851249308</v>
      </c>
      <c r="AT5" s="3">
        <f t="shared" si="4"/>
        <v>40.110939805720477</v>
      </c>
      <c r="AU5" s="3">
        <f t="shared" si="4"/>
        <v>42.274481894184042</v>
      </c>
      <c r="AV5" s="3">
        <f t="shared" si="4"/>
        <v>43.455450993364842</v>
      </c>
      <c r="AW5" s="3">
        <f t="shared" si="4"/>
        <v>43.7245119802514</v>
      </c>
      <c r="AX5" s="3">
        <f t="shared" si="4"/>
        <v>43.497212537531141</v>
      </c>
      <c r="AY5" s="3">
        <f t="shared" si="4"/>
        <v>42.920957172352864</v>
      </c>
      <c r="AZ5" s="3">
        <f t="shared" si="4"/>
        <v>42.167675399548507</v>
      </c>
      <c r="BA5" s="3">
        <f t="shared" si="4"/>
        <v>41.292678249413768</v>
      </c>
      <c r="BB5" s="3">
        <f t="shared" si="4"/>
        <v>40.347666375870908</v>
      </c>
      <c r="BC5" s="3">
        <f t="shared" si="4"/>
        <v>39.423073365574453</v>
      </c>
      <c r="BD5" s="3">
        <f t="shared" si="4"/>
        <v>38.523680319694343</v>
      </c>
      <c r="BE5" s="3">
        <f t="shared" si="4"/>
        <v>37.264375163608719</v>
      </c>
      <c r="BF5" s="3">
        <f t="shared" si="4"/>
        <v>35.772688999491201</v>
      </c>
      <c r="BG5" s="3">
        <f t="shared" si="4"/>
        <v>34.049401742965351</v>
      </c>
      <c r="BH5" s="3">
        <f t="shared" si="4"/>
        <v>32.159263553342157</v>
      </c>
      <c r="BI5" s="3">
        <f t="shared" si="4"/>
        <v>30.170057984321577</v>
      </c>
      <c r="BJ5" s="3">
        <f t="shared" si="4"/>
        <v>28.046419416513775</v>
      </c>
      <c r="BK5" s="3">
        <f t="shared" si="4"/>
        <v>26.045331312929623</v>
      </c>
      <c r="BL5" s="3">
        <f t="shared" si="4"/>
        <v>24.199002395788295</v>
      </c>
      <c r="BM5" s="3">
        <f t="shared" si="4"/>
        <v>22.550099998181718</v>
      </c>
      <c r="BN5" s="3">
        <f t="shared" si="4"/>
        <v>21.092619650268368</v>
      </c>
      <c r="BO5" s="3">
        <f t="shared" si="4"/>
        <v>21.584479977439244</v>
      </c>
      <c r="BP5" s="3">
        <f t="shared" si="4"/>
        <v>22.073664470379622</v>
      </c>
      <c r="BQ5" s="3">
        <f t="shared" si="4"/>
        <v>22.560244858991656</v>
      </c>
      <c r="BR5" s="3">
        <f t="shared" si="4"/>
        <v>23.043741082836426</v>
      </c>
      <c r="BS5" s="3">
        <f t="shared" si="4"/>
        <v>23.52352453000092</v>
      </c>
      <c r="BT5" s="3">
        <f t="shared" ref="BT5:CD5" si="5">SUM(BT6:BT18)</f>
        <v>23.999196157637741</v>
      </c>
      <c r="BU5" s="3">
        <f t="shared" si="5"/>
        <v>24.473635816079735</v>
      </c>
      <c r="BV5" s="3">
        <f t="shared" si="5"/>
        <v>24.947282795809301</v>
      </c>
      <c r="BW5" s="3">
        <f t="shared" si="5"/>
        <v>25.420220372009986</v>
      </c>
      <c r="BX5" s="3">
        <f t="shared" si="5"/>
        <v>25.892220170634513</v>
      </c>
      <c r="BY5" s="3">
        <f t="shared" si="5"/>
        <v>26.364022891648549</v>
      </c>
      <c r="BZ5" s="3">
        <f t="shared" si="5"/>
        <v>26.835768991232584</v>
      </c>
      <c r="CA5" s="3">
        <f t="shared" si="5"/>
        <v>27.307073175547764</v>
      </c>
      <c r="CB5" s="3">
        <f t="shared" si="5"/>
        <v>27.77790760619158</v>
      </c>
      <c r="CC5" s="3">
        <f t="shared" si="5"/>
        <v>28.24807894140439</v>
      </c>
      <c r="CD5" s="3">
        <f t="shared" si="5"/>
        <v>28.717499268436264</v>
      </c>
    </row>
    <row r="6" spans="1:82" s="2" customFormat="1" x14ac:dyDescent="0.2">
      <c r="E6" s="2" t="s">
        <v>3</v>
      </c>
    </row>
    <row r="7" spans="1:82" s="2" customFormat="1" x14ac:dyDescent="0.2">
      <c r="E7" s="2" t="s">
        <v>4</v>
      </c>
      <c r="F7" s="2" t="s">
        <v>6</v>
      </c>
      <c r="G7" s="2">
        <f>O254/1000</f>
        <v>1E-3</v>
      </c>
      <c r="H7" s="2">
        <f t="shared" ref="H7:BS8" si="6">P254</f>
        <v>0</v>
      </c>
      <c r="I7" s="2" t="str">
        <f t="shared" si="6"/>
        <v>emission_co2e_ch4_entc_generation_pp_biogas|emission_co2e_ch4_entc_generation_pp_biomass|emission_co2e_ch4_entc_generation_pp_coal|emission_co2e_ch4_entc_generation_pp_coal_ccs|emission_co2e_ch4_entc_generation_pp_gas|emission_co2e_ch4_entc_generation_pp_gas_ccs|emission_co2e_ch4_entc_generation_pp_geothermal|emission_co2e_ch4_entc_generation_pp_hydropower|emission_co2e_ch4_entc_generation_pp_nuclear|emission_co2e_ch4_entc_generation_pp_ocean|emission_co2e_ch4_entc_generation_pp_oil|emission_co2e_ch4_entc_generation_pp_solar|emission_co2e_ch4_entc_generation_pp_waste_incineration|emission_co2e_ch4_entc_generation_pp_wind</v>
      </c>
      <c r="J7" s="2">
        <f t="shared" si="6"/>
        <v>0</v>
      </c>
      <c r="K7" s="2">
        <f t="shared" si="6"/>
        <v>0</v>
      </c>
      <c r="L7" s="2">
        <f t="shared" si="6"/>
        <v>0</v>
      </c>
      <c r="M7" s="2">
        <f t="shared" si="6"/>
        <v>0</v>
      </c>
      <c r="N7" s="2">
        <f t="shared" si="6"/>
        <v>0</v>
      </c>
      <c r="O7" s="2">
        <f t="shared" si="6"/>
        <v>0</v>
      </c>
      <c r="P7" s="2">
        <f t="shared" si="6"/>
        <v>0</v>
      </c>
      <c r="Q7" s="2">
        <f t="shared" si="6"/>
        <v>0</v>
      </c>
      <c r="R7" s="2">
        <f t="shared" si="6"/>
        <v>0</v>
      </c>
      <c r="S7" s="2">
        <f t="shared" si="6"/>
        <v>0</v>
      </c>
      <c r="T7" s="2">
        <f t="shared" si="6"/>
        <v>0</v>
      </c>
      <c r="U7" s="2">
        <f t="shared" si="6"/>
        <v>0.1116</v>
      </c>
      <c r="V7" s="2">
        <f t="shared" si="6"/>
        <v>0.13950000000000001</v>
      </c>
      <c r="W7" s="2">
        <f t="shared" si="6"/>
        <v>0.1953</v>
      </c>
      <c r="X7" s="2">
        <f t="shared" si="6"/>
        <v>0.22320000000000001</v>
      </c>
      <c r="Y7" s="2">
        <f t="shared" si="6"/>
        <v>0.16739999999999999</v>
      </c>
      <c r="Z7" s="2">
        <f t="shared" si="6"/>
        <v>0.22320000000000001</v>
      </c>
      <c r="AA7" s="2">
        <f t="shared" si="6"/>
        <v>0.30690000000000001</v>
      </c>
      <c r="AB7" s="2">
        <f t="shared" si="6"/>
        <v>0.25109999999999999</v>
      </c>
      <c r="AC7" s="2">
        <f t="shared" si="6"/>
        <v>8.3699999999999997E-2</v>
      </c>
      <c r="AD7" s="2">
        <f t="shared" si="6"/>
        <v>5.5800000000000002E-2</v>
      </c>
      <c r="AE7" s="2">
        <f t="shared" si="6"/>
        <v>5.5800000000000002E-2</v>
      </c>
      <c r="AF7" s="2">
        <f t="shared" si="6"/>
        <v>5.5800000000000002E-2</v>
      </c>
      <c r="AG7" s="2">
        <f t="shared" si="6"/>
        <v>0.13950000000000001</v>
      </c>
      <c r="AH7" s="2">
        <f t="shared" si="6"/>
        <v>0.25109999999999999</v>
      </c>
      <c r="AI7" s="2">
        <f t="shared" si="6"/>
        <v>8.3699999999999997E-2</v>
      </c>
      <c r="AJ7" s="2">
        <f t="shared" si="6"/>
        <v>5.0827729859672776E-3</v>
      </c>
      <c r="AK7" s="2">
        <f t="shared" si="6"/>
        <v>7.5252518774540592E-3</v>
      </c>
      <c r="AL7" s="2">
        <f t="shared" si="6"/>
        <v>1.005044366061705E-2</v>
      </c>
      <c r="AM7" s="2">
        <f t="shared" si="6"/>
        <v>1.111249430745692E-2</v>
      </c>
      <c r="AN7" s="2">
        <f t="shared" si="6"/>
        <v>1.0314072744763449E-2</v>
      </c>
      <c r="AO7" s="2">
        <f t="shared" si="6"/>
        <v>1.3145013936798461E-2</v>
      </c>
      <c r="AP7" s="2">
        <f t="shared" si="6"/>
        <v>1.625290078970747E-2</v>
      </c>
      <c r="AQ7" s="2">
        <f t="shared" si="6"/>
        <v>2.0342772698929E-2</v>
      </c>
      <c r="AR7" s="2">
        <f t="shared" si="6"/>
        <v>2.9379078674063318E-2</v>
      </c>
      <c r="AS7" s="2">
        <f t="shared" si="6"/>
        <v>4.2949620456377013E-2</v>
      </c>
      <c r="AT7" s="2">
        <f t="shared" si="6"/>
        <v>5.6219254677135212E-2</v>
      </c>
      <c r="AU7" s="2">
        <f t="shared" si="6"/>
        <v>6.1854643085101482E-2</v>
      </c>
      <c r="AV7" s="2">
        <f t="shared" si="6"/>
        <v>6.6034961207793674E-2</v>
      </c>
      <c r="AW7" s="2">
        <f t="shared" si="6"/>
        <v>6.8765128450689397E-2</v>
      </c>
      <c r="AX7" s="2">
        <f t="shared" si="6"/>
        <v>7.0817087675793033E-2</v>
      </c>
      <c r="AY7" s="2">
        <f t="shared" si="6"/>
        <v>7.2457464762102089E-2</v>
      </c>
      <c r="AZ7" s="2">
        <f t="shared" si="6"/>
        <v>7.4067473878103557E-2</v>
      </c>
      <c r="BA7" s="2">
        <f t="shared" si="6"/>
        <v>7.5799578008568749E-2</v>
      </c>
      <c r="BB7" s="2">
        <f t="shared" si="6"/>
        <v>7.7835826621123164E-2</v>
      </c>
      <c r="BC7" s="2">
        <f t="shared" si="6"/>
        <v>8.0545663903872716E-2</v>
      </c>
      <c r="BD7" s="2">
        <f t="shared" si="6"/>
        <v>8.4148703864237645E-2</v>
      </c>
      <c r="BE7" s="2">
        <f t="shared" si="6"/>
        <v>8.7331314831973428E-2</v>
      </c>
      <c r="BF7" s="2">
        <f t="shared" si="6"/>
        <v>9.046313190012778E-2</v>
      </c>
      <c r="BG7" s="2">
        <f t="shared" si="6"/>
        <v>9.3343061430901514E-2</v>
      </c>
      <c r="BH7" s="2">
        <f t="shared" si="6"/>
        <v>9.6005532380208453E-2</v>
      </c>
      <c r="BI7" s="2">
        <f t="shared" si="6"/>
        <v>9.848968617488249E-2</v>
      </c>
      <c r="BJ7" s="2">
        <f t="shared" si="6"/>
        <v>9.9723803374540079E-2</v>
      </c>
      <c r="BK7" s="2">
        <f t="shared" si="6"/>
        <v>0.1012141818690705</v>
      </c>
      <c r="BL7" s="2">
        <f t="shared" si="6"/>
        <v>0.10299779915039831</v>
      </c>
      <c r="BM7" s="2">
        <f t="shared" si="6"/>
        <v>0.1057376210953537</v>
      </c>
      <c r="BN7" s="2">
        <f t="shared" si="6"/>
        <v>0.1100261492518064</v>
      </c>
      <c r="BO7" s="2">
        <f t="shared" si="6"/>
        <v>0.1111778570146527</v>
      </c>
      <c r="BP7" s="2">
        <f t="shared" si="6"/>
        <v>0.1119110768434879</v>
      </c>
      <c r="BQ7" s="2">
        <f t="shared" si="6"/>
        <v>0.1122891651692849</v>
      </c>
      <c r="BR7" s="2">
        <f t="shared" si="6"/>
        <v>0.1123188304821864</v>
      </c>
      <c r="BS7" s="2">
        <f t="shared" si="6"/>
        <v>0.1119747336927189</v>
      </c>
      <c r="BT7" s="2">
        <f t="shared" ref="BT7:CD11" si="7">CB254</f>
        <v>0.11124072090842391</v>
      </c>
      <c r="BU7" s="2">
        <f t="shared" si="7"/>
        <v>0.1101961190798266</v>
      </c>
      <c r="BV7" s="2">
        <f t="shared" si="7"/>
        <v>0.1088455284481962</v>
      </c>
      <c r="BW7" s="2">
        <f t="shared" si="7"/>
        <v>0.107193555836343</v>
      </c>
      <c r="BX7" s="2">
        <f t="shared" si="7"/>
        <v>0.1051986070752023</v>
      </c>
      <c r="BY7" s="2">
        <f t="shared" si="7"/>
        <v>0.102979406238937</v>
      </c>
      <c r="BZ7" s="2">
        <f t="shared" si="7"/>
        <v>0.1003744731246881</v>
      </c>
      <c r="CA7" s="2">
        <f t="shared" si="7"/>
        <v>9.7418383718633095E-2</v>
      </c>
      <c r="CB7" s="2">
        <f t="shared" si="7"/>
        <v>9.4013184007269227E-2</v>
      </c>
      <c r="CC7" s="2">
        <f t="shared" si="7"/>
        <v>9.0128477857667713E-2</v>
      </c>
      <c r="CD7" s="2">
        <f t="shared" si="7"/>
        <v>8.573258013604193E-2</v>
      </c>
    </row>
    <row r="8" spans="1:82" s="2" customFormat="1" x14ac:dyDescent="0.2">
      <c r="E8" s="2" t="s">
        <v>4</v>
      </c>
      <c r="F8" s="2" t="s">
        <v>7</v>
      </c>
      <c r="G8" s="2">
        <f t="shared" ref="G8:V8" si="8">O255</f>
        <v>1</v>
      </c>
      <c r="H8" s="2">
        <f t="shared" si="8"/>
        <v>0</v>
      </c>
      <c r="I8" s="2" t="str">
        <f t="shared" si="8"/>
        <v>emission_co2e_co2_entc_generation_pp_biogas|emission_co2e_co2_entc_generation_pp_coal|emission_co2e_co2_entc_generation_pp_coal_ccs|emission_co2e_co2_entc_generation_pp_gas|emission_co2e_co2_entc_generation_pp_gas_ccs|emission_co2e_co2_entc_generation_pp_geothermal|emission_co2e_co2_entc_generation_pp_hydropower|emission_co2e_co2_entc_generation_pp_nuclear|emission_co2e_co2_entc_generation_pp_ocean|emission_co2e_co2_entc_generation_pp_oil|emission_co2e_co2_entc_generation_pp_solar|emission_co2e_co2_entc_generation_pp_waste_incineration|emission_co2e_co2_entc_generation_pp_wind</v>
      </c>
      <c r="J8" s="2">
        <f t="shared" si="8"/>
        <v>0</v>
      </c>
      <c r="K8" s="2">
        <f t="shared" si="8"/>
        <v>0.874</v>
      </c>
      <c r="L8" s="2">
        <f t="shared" si="8"/>
        <v>0.874</v>
      </c>
      <c r="M8" s="2">
        <f t="shared" si="8"/>
        <v>0.95599999999999996</v>
      </c>
      <c r="N8" s="2">
        <f t="shared" si="8"/>
        <v>0.90300000000000002</v>
      </c>
      <c r="O8" s="2">
        <f t="shared" si="8"/>
        <v>0.97899999999999998</v>
      </c>
      <c r="P8" s="2">
        <f t="shared" si="8"/>
        <v>0.98599999999999999</v>
      </c>
      <c r="Q8" s="2">
        <f t="shared" si="8"/>
        <v>1.054</v>
      </c>
      <c r="R8" s="2">
        <f t="shared" si="8"/>
        <v>1.052</v>
      </c>
      <c r="S8" s="2">
        <f t="shared" si="8"/>
        <v>1.129</v>
      </c>
      <c r="T8" s="2">
        <f t="shared" si="8"/>
        <v>1.129</v>
      </c>
      <c r="U8" s="2">
        <f t="shared" si="8"/>
        <v>105.96299999999999</v>
      </c>
      <c r="V8" s="2">
        <f t="shared" si="8"/>
        <v>121.288</v>
      </c>
      <c r="W8" s="2">
        <f t="shared" si="6"/>
        <v>171.29</v>
      </c>
      <c r="X8" s="2">
        <f t="shared" si="6"/>
        <v>199.06399999999999</v>
      </c>
      <c r="Y8" s="2">
        <f t="shared" si="6"/>
        <v>147.363</v>
      </c>
      <c r="Z8" s="2">
        <f t="shared" si="6"/>
        <v>207.17599999999999</v>
      </c>
      <c r="AA8" s="2">
        <f t="shared" si="6"/>
        <v>277.76400000000001</v>
      </c>
      <c r="AB8" s="2">
        <f t="shared" si="6"/>
        <v>235.387</v>
      </c>
      <c r="AC8" s="2">
        <f t="shared" si="6"/>
        <v>84.366</v>
      </c>
      <c r="AD8" s="2">
        <f t="shared" si="6"/>
        <v>42.957000000000001</v>
      </c>
      <c r="AE8" s="2">
        <f t="shared" si="6"/>
        <v>52.786999999999999</v>
      </c>
      <c r="AF8" s="2">
        <f t="shared" si="6"/>
        <v>43.420999999999999</v>
      </c>
      <c r="AG8" s="2">
        <f t="shared" si="6"/>
        <v>122.776</v>
      </c>
      <c r="AH8" s="2">
        <f t="shared" si="6"/>
        <v>223.33699999999999</v>
      </c>
      <c r="AI8" s="2">
        <f t="shared" si="6"/>
        <v>74.471000000000004</v>
      </c>
      <c r="AJ8" s="2">
        <f t="shared" si="6"/>
        <v>15.9948909576151</v>
      </c>
      <c r="AK8" s="2">
        <f t="shared" si="6"/>
        <v>19.089689515657799</v>
      </c>
      <c r="AL8" s="2">
        <f t="shared" si="6"/>
        <v>21.3397730891176</v>
      </c>
      <c r="AM8" s="2">
        <f t="shared" si="6"/>
        <v>20.625235950758199</v>
      </c>
      <c r="AN8" s="2">
        <f t="shared" si="6"/>
        <v>19.9811435227641</v>
      </c>
      <c r="AO8" s="2">
        <f t="shared" si="6"/>
        <v>20.996841632012899</v>
      </c>
      <c r="AP8" s="2">
        <f t="shared" si="6"/>
        <v>22.129494151730199</v>
      </c>
      <c r="AQ8" s="2">
        <f t="shared" si="6"/>
        <v>23.837974130222101</v>
      </c>
      <c r="AR8" s="2">
        <f t="shared" si="6"/>
        <v>28.411726011210899</v>
      </c>
      <c r="AS8" s="2">
        <f t="shared" si="6"/>
        <v>34.7555482664891</v>
      </c>
      <c r="AT8" s="2">
        <f t="shared" si="6"/>
        <v>40.028861161688397</v>
      </c>
      <c r="AU8" s="2">
        <f t="shared" si="6"/>
        <v>42.184208253368404</v>
      </c>
      <c r="AV8" s="2">
        <f t="shared" si="6"/>
        <v>43.3591185556634</v>
      </c>
      <c r="AW8" s="2">
        <f t="shared" si="6"/>
        <v>43.624247462786499</v>
      </c>
      <c r="AX8" s="2">
        <f t="shared" si="6"/>
        <v>43.394013352651413</v>
      </c>
      <c r="AY8" s="2">
        <f t="shared" si="6"/>
        <v>42.815430564104901</v>
      </c>
      <c r="AZ8" s="2">
        <f t="shared" si="6"/>
        <v>42.059872066847703</v>
      </c>
      <c r="BA8" s="2">
        <f t="shared" si="6"/>
        <v>41.1824267825383</v>
      </c>
      <c r="BB8" s="2">
        <f t="shared" si="6"/>
        <v>40.234530637514503</v>
      </c>
      <c r="BC8" s="2">
        <f t="shared" si="6"/>
        <v>39.306080451120799</v>
      </c>
      <c r="BD8" s="2">
        <f t="shared" si="6"/>
        <v>38.401539254813002</v>
      </c>
      <c r="BE8" s="2">
        <f t="shared" si="6"/>
        <v>37.137705705251598</v>
      </c>
      <c r="BF8" s="2">
        <f t="shared" si="6"/>
        <v>35.641571927921099</v>
      </c>
      <c r="BG8" s="2">
        <f t="shared" si="6"/>
        <v>33.914208565945202</v>
      </c>
      <c r="BH8" s="2">
        <f t="shared" si="6"/>
        <v>32.020313701933098</v>
      </c>
      <c r="BI8" s="2">
        <f t="shared" si="6"/>
        <v>30.027611891033899</v>
      </c>
      <c r="BJ8" s="2">
        <f t="shared" si="6"/>
        <v>27.9022867781229</v>
      </c>
      <c r="BK8" s="2">
        <f t="shared" si="6"/>
        <v>25.899137647129098</v>
      </c>
      <c r="BL8" s="2">
        <f t="shared" si="6"/>
        <v>24.050318686847099</v>
      </c>
      <c r="BM8" s="2">
        <f t="shared" si="6"/>
        <v>22.3975379640389</v>
      </c>
      <c r="BN8" s="2">
        <f t="shared" si="6"/>
        <v>20.933935213646599</v>
      </c>
      <c r="BO8" s="2">
        <f t="shared" si="6"/>
        <v>21.424138348527698</v>
      </c>
      <c r="BP8" s="2">
        <f t="shared" si="6"/>
        <v>21.912270094056499</v>
      </c>
      <c r="BQ8" s="2">
        <f t="shared" si="6"/>
        <v>22.398310628107598</v>
      </c>
      <c r="BR8" s="2">
        <f t="shared" si="6"/>
        <v>22.8817701663944</v>
      </c>
      <c r="BS8" s="2">
        <f t="shared" si="6"/>
        <v>23.362056676963601</v>
      </c>
      <c r="BT8" s="2">
        <f t="shared" si="7"/>
        <v>23.838794437359599</v>
      </c>
      <c r="BU8" s="2">
        <f t="shared" si="7"/>
        <v>24.314749022932499</v>
      </c>
      <c r="BV8" s="2">
        <f t="shared" si="7"/>
        <v>24.790353078215102</v>
      </c>
      <c r="BW8" s="2">
        <f t="shared" si="7"/>
        <v>25.2656832152025</v>
      </c>
      <c r="BX8" s="2">
        <f t="shared" si="7"/>
        <v>25.7405711429913</v>
      </c>
      <c r="BY8" s="2">
        <f t="shared" si="7"/>
        <v>26.2155860552961</v>
      </c>
      <c r="BZ8" s="2">
        <f t="shared" si="7"/>
        <v>26.691101707152999</v>
      </c>
      <c r="CA8" s="2">
        <f t="shared" si="7"/>
        <v>27.166682833170398</v>
      </c>
      <c r="CB8" s="2">
        <f t="shared" si="7"/>
        <v>27.6424431184574</v>
      </c>
      <c r="CC8" s="2">
        <f t="shared" si="7"/>
        <v>28.1182331319825</v>
      </c>
      <c r="CD8" s="2">
        <f t="shared" si="7"/>
        <v>28.594010739107901</v>
      </c>
    </row>
    <row r="9" spans="1:82" s="2" customFormat="1" x14ac:dyDescent="0.2">
      <c r="E9" s="2" t="s">
        <v>4</v>
      </c>
      <c r="F9" s="2" t="s">
        <v>8</v>
      </c>
      <c r="G9" s="2">
        <f t="shared" ref="G9:G18" si="9">O256</f>
        <v>1</v>
      </c>
      <c r="H9" s="2">
        <f t="shared" ref="H9:BS12" si="10">P256</f>
        <v>0</v>
      </c>
      <c r="I9" s="2" t="str">
        <f t="shared" si="10"/>
        <v>emission_co2e_n2o_entc_generation_pp_biogas|emission_co2e_n2o_entc_generation_pp_biomass|emission_co2e_n2o_entc_generation_pp_coal|emission_co2e_n2o_entc_generation_pp_coal_ccs|emission_co2e_n2o_entc_generation_pp_gas|emission_co2e_n2o_entc_generation_pp_gas_ccs|emission_co2e_n2o_entc_generation_pp_geothermal|emission_co2e_n2o_entc_generation_pp_hydropower|emission_co2e_n2o_entc_generation_pp_nuclear|emission_co2e_n2o_entc_generation_pp_ocean|emission_co2e_n2o_entc_generation_pp_oil|emission_co2e_n2o_entc_generation_pp_solar|emission_co2e_n2o_entc_generation_pp_waste_incineration|emission_co2e_n2o_entc_generation_pp_wind</v>
      </c>
      <c r="J9" s="2">
        <f t="shared" si="10"/>
        <v>0</v>
      </c>
      <c r="K9" s="2">
        <f t="shared" si="10"/>
        <v>0</v>
      </c>
      <c r="L9" s="2">
        <f t="shared" si="10"/>
        <v>0</v>
      </c>
      <c r="M9" s="2">
        <f t="shared" si="10"/>
        <v>0</v>
      </c>
      <c r="N9" s="2">
        <f t="shared" si="10"/>
        <v>0</v>
      </c>
      <c r="O9" s="2">
        <f t="shared" si="10"/>
        <v>0</v>
      </c>
      <c r="P9" s="2">
        <f t="shared" si="10"/>
        <v>0</v>
      </c>
      <c r="Q9" s="2">
        <f t="shared" si="10"/>
        <v>0</v>
      </c>
      <c r="R9" s="2">
        <f t="shared" si="10"/>
        <v>0</v>
      </c>
      <c r="S9" s="2">
        <f t="shared" si="10"/>
        <v>0</v>
      </c>
      <c r="T9" s="2">
        <f t="shared" si="10"/>
        <v>0</v>
      </c>
      <c r="U9" s="2">
        <f t="shared" si="10"/>
        <v>0.27300000000000002</v>
      </c>
      <c r="V9" s="2">
        <f t="shared" si="10"/>
        <v>0.27300000000000002</v>
      </c>
      <c r="W9" s="2">
        <f t="shared" si="10"/>
        <v>0.27300000000000002</v>
      </c>
      <c r="X9" s="2">
        <f t="shared" si="10"/>
        <v>0.54600000000000004</v>
      </c>
      <c r="Y9" s="2">
        <f t="shared" si="10"/>
        <v>0.27300000000000002</v>
      </c>
      <c r="Z9" s="2">
        <f t="shared" si="10"/>
        <v>0.54600000000000004</v>
      </c>
      <c r="AA9" s="2">
        <f t="shared" si="10"/>
        <v>0.54600000000000004</v>
      </c>
      <c r="AB9" s="2">
        <f t="shared" si="10"/>
        <v>0.54600000000000004</v>
      </c>
      <c r="AC9" s="2">
        <f t="shared" si="10"/>
        <v>0.27300000000000002</v>
      </c>
      <c r="AD9" s="2">
        <f t="shared" si="10"/>
        <v>0</v>
      </c>
      <c r="AE9" s="2">
        <f t="shared" si="10"/>
        <v>0</v>
      </c>
      <c r="AF9" s="2">
        <f t="shared" si="10"/>
        <v>0</v>
      </c>
      <c r="AG9" s="2">
        <f t="shared" si="10"/>
        <v>0.27300000000000002</v>
      </c>
      <c r="AH9" s="2">
        <f t="shared" si="10"/>
        <v>0.54600000000000004</v>
      </c>
      <c r="AI9" s="2">
        <f t="shared" si="10"/>
        <v>0.27300000000000002</v>
      </c>
      <c r="AJ9" s="2">
        <f t="shared" si="10"/>
        <v>2.5280165685435622E-3</v>
      </c>
      <c r="AK9" s="2">
        <f t="shared" si="10"/>
        <v>3.6381671784893668E-3</v>
      </c>
      <c r="AL9" s="2">
        <f t="shared" si="10"/>
        <v>4.8246400409057786E-3</v>
      </c>
      <c r="AM9" s="2">
        <f t="shared" si="10"/>
        <v>5.25910452028331E-3</v>
      </c>
      <c r="AN9" s="2">
        <f t="shared" si="10"/>
        <v>4.8679270062155144E-3</v>
      </c>
      <c r="AO9" s="2">
        <f t="shared" si="10"/>
        <v>6.1465976023890954E-3</v>
      </c>
      <c r="AP9" s="2">
        <f t="shared" si="10"/>
        <v>7.5516319372843288E-3</v>
      </c>
      <c r="AQ9" s="2">
        <f t="shared" si="10"/>
        <v>9.4115492883481665E-3</v>
      </c>
      <c r="AR9" s="2">
        <f t="shared" si="10"/>
        <v>1.356751275251219E-2</v>
      </c>
      <c r="AS9" s="2">
        <f t="shared" si="10"/>
        <v>1.9798964303827809E-2</v>
      </c>
      <c r="AT9" s="2">
        <f t="shared" si="10"/>
        <v>2.5859389354942339E-2</v>
      </c>
      <c r="AU9" s="2">
        <f t="shared" si="10"/>
        <v>2.8418997730537288E-2</v>
      </c>
      <c r="AV9" s="2">
        <f t="shared" si="10"/>
        <v>3.0297476493653198E-2</v>
      </c>
      <c r="AW9" s="2">
        <f t="shared" si="10"/>
        <v>3.1499389014207811E-2</v>
      </c>
      <c r="AX9" s="2">
        <f t="shared" si="10"/>
        <v>3.2382097203933882E-2</v>
      </c>
      <c r="AY9" s="2">
        <f t="shared" si="10"/>
        <v>3.3069143485860181E-2</v>
      </c>
      <c r="AZ9" s="2">
        <f t="shared" si="10"/>
        <v>3.3735858822702039E-2</v>
      </c>
      <c r="BA9" s="2">
        <f t="shared" si="10"/>
        <v>3.4451888866895423E-2</v>
      </c>
      <c r="BB9" s="2">
        <f t="shared" si="10"/>
        <v>3.5299911735278168E-2</v>
      </c>
      <c r="BC9" s="2">
        <f t="shared" si="10"/>
        <v>3.6447250549783441E-2</v>
      </c>
      <c r="BD9" s="2">
        <f t="shared" si="10"/>
        <v>3.7992361017100067E-2</v>
      </c>
      <c r="BE9" s="2">
        <f t="shared" si="10"/>
        <v>3.9338143525149277E-2</v>
      </c>
      <c r="BF9" s="2">
        <f t="shared" si="10"/>
        <v>4.0653939669973743E-2</v>
      </c>
      <c r="BG9" s="2">
        <f t="shared" si="10"/>
        <v>4.1850115589250232E-2</v>
      </c>
      <c r="BH9" s="2">
        <f t="shared" si="10"/>
        <v>4.2944319028846163E-2</v>
      </c>
      <c r="BI9" s="2">
        <f t="shared" si="10"/>
        <v>4.3956407112794992E-2</v>
      </c>
      <c r="BJ9" s="2">
        <f t="shared" si="10"/>
        <v>4.4408835016335232E-2</v>
      </c>
      <c r="BK9" s="2">
        <f t="shared" si="10"/>
        <v>4.4979483931453443E-2</v>
      </c>
      <c r="BL9" s="2">
        <f t="shared" si="10"/>
        <v>4.5685909790797272E-2</v>
      </c>
      <c r="BM9" s="2">
        <f t="shared" si="10"/>
        <v>4.6824413047462453E-2</v>
      </c>
      <c r="BN9" s="2">
        <f t="shared" si="10"/>
        <v>4.8658287369963048E-2</v>
      </c>
      <c r="BO9" s="2">
        <f t="shared" si="10"/>
        <v>4.9163771896893832E-2</v>
      </c>
      <c r="BP9" s="2">
        <f t="shared" si="10"/>
        <v>4.9483299479635583E-2</v>
      </c>
      <c r="BQ9" s="2">
        <f t="shared" si="10"/>
        <v>4.9645065714772597E-2</v>
      </c>
      <c r="BR9" s="2">
        <f t="shared" si="10"/>
        <v>4.9652085959839512E-2</v>
      </c>
      <c r="BS9" s="2">
        <f t="shared" si="10"/>
        <v>4.9493119344600288E-2</v>
      </c>
      <c r="BT9" s="2">
        <f t="shared" si="7"/>
        <v>4.9160999369719023E-2</v>
      </c>
      <c r="BU9" s="2">
        <f t="shared" si="7"/>
        <v>4.8690674067407763E-2</v>
      </c>
      <c r="BV9" s="2">
        <f t="shared" si="7"/>
        <v>4.8084189146001502E-2</v>
      </c>
      <c r="BW9" s="2">
        <f t="shared" si="7"/>
        <v>4.7343600971143693E-2</v>
      </c>
      <c r="BX9" s="2">
        <f t="shared" si="7"/>
        <v>4.6450420568011498E-2</v>
      </c>
      <c r="BY9" s="2">
        <f t="shared" si="7"/>
        <v>4.5457430113511187E-2</v>
      </c>
      <c r="BZ9" s="2">
        <f t="shared" si="7"/>
        <v>4.4292810954895963E-2</v>
      </c>
      <c r="CA9" s="2">
        <f t="shared" si="7"/>
        <v>4.2971958658731567E-2</v>
      </c>
      <c r="CB9" s="2">
        <f t="shared" si="7"/>
        <v>4.145130372690807E-2</v>
      </c>
      <c r="CC9" s="2">
        <f t="shared" si="7"/>
        <v>3.9717331564221497E-2</v>
      </c>
      <c r="CD9" s="2">
        <f t="shared" si="7"/>
        <v>3.7755949192319643E-2</v>
      </c>
    </row>
    <row r="10" spans="1:82" s="2" customFormat="1" x14ac:dyDescent="0.2">
      <c r="E10" s="2" t="s">
        <v>9</v>
      </c>
      <c r="F10" s="2" t="s">
        <v>6</v>
      </c>
      <c r="G10" s="2">
        <f t="shared" si="9"/>
        <v>1</v>
      </c>
      <c r="H10" s="2">
        <f t="shared" si="10"/>
        <v>0</v>
      </c>
      <c r="I10" s="2" t="str">
        <f t="shared" si="10"/>
        <v>emission_co2e_ch4_entc_processing_and_refinement_fp_petroleum_refinement</v>
      </c>
      <c r="J10" s="2">
        <f t="shared" si="10"/>
        <v>0</v>
      </c>
      <c r="K10" s="2">
        <f t="shared" si="10"/>
        <v>0</v>
      </c>
      <c r="L10" s="2">
        <f t="shared" si="10"/>
        <v>0</v>
      </c>
      <c r="M10" s="2">
        <f t="shared" si="10"/>
        <v>0</v>
      </c>
      <c r="N10" s="2">
        <f t="shared" si="10"/>
        <v>0</v>
      </c>
      <c r="O10" s="2">
        <f t="shared" si="10"/>
        <v>0</v>
      </c>
      <c r="P10" s="2">
        <f t="shared" si="10"/>
        <v>0</v>
      </c>
      <c r="Q10" s="2">
        <f t="shared" si="10"/>
        <v>0</v>
      </c>
      <c r="R10" s="2">
        <f t="shared" si="10"/>
        <v>0</v>
      </c>
      <c r="S10" s="2">
        <f t="shared" si="10"/>
        <v>0</v>
      </c>
      <c r="T10" s="2">
        <f t="shared" si="10"/>
        <v>0</v>
      </c>
      <c r="U10" s="2">
        <f t="shared" si="10"/>
        <v>0</v>
      </c>
      <c r="V10" s="2">
        <f t="shared" si="10"/>
        <v>0</v>
      </c>
      <c r="W10" s="2">
        <f t="shared" si="10"/>
        <v>0</v>
      </c>
      <c r="X10" s="2">
        <f t="shared" si="10"/>
        <v>0</v>
      </c>
      <c r="Y10" s="2">
        <f t="shared" si="10"/>
        <v>0</v>
      </c>
      <c r="Z10" s="2">
        <f t="shared" si="10"/>
        <v>0</v>
      </c>
      <c r="AA10" s="2">
        <f t="shared" si="10"/>
        <v>0</v>
      </c>
      <c r="AB10" s="2">
        <f t="shared" si="10"/>
        <v>0</v>
      </c>
      <c r="AC10" s="2">
        <f t="shared" si="10"/>
        <v>0</v>
      </c>
      <c r="AD10" s="2">
        <f t="shared" si="10"/>
        <v>0</v>
      </c>
      <c r="AE10" s="2">
        <f t="shared" si="10"/>
        <v>0</v>
      </c>
      <c r="AF10" s="2">
        <f t="shared" si="10"/>
        <v>0</v>
      </c>
      <c r="AG10" s="2">
        <f t="shared" si="10"/>
        <v>0</v>
      </c>
      <c r="AH10" s="2">
        <f t="shared" si="10"/>
        <v>0</v>
      </c>
      <c r="AI10" s="2">
        <f t="shared" si="10"/>
        <v>0</v>
      </c>
      <c r="AJ10" s="2">
        <f t="shared" si="10"/>
        <v>0</v>
      </c>
      <c r="AK10" s="2">
        <f t="shared" si="10"/>
        <v>0</v>
      </c>
      <c r="AL10" s="2">
        <f t="shared" si="10"/>
        <v>0</v>
      </c>
      <c r="AM10" s="2">
        <f t="shared" si="10"/>
        <v>0</v>
      </c>
      <c r="AN10" s="2">
        <f t="shared" si="10"/>
        <v>0</v>
      </c>
      <c r="AO10" s="2">
        <f t="shared" si="10"/>
        <v>0</v>
      </c>
      <c r="AP10" s="2">
        <f t="shared" si="10"/>
        <v>0</v>
      </c>
      <c r="AQ10" s="2">
        <f t="shared" si="10"/>
        <v>0</v>
      </c>
      <c r="AR10" s="2">
        <f t="shared" si="10"/>
        <v>0</v>
      </c>
      <c r="AS10" s="2">
        <f t="shared" si="10"/>
        <v>0</v>
      </c>
      <c r="AT10" s="2">
        <f t="shared" si="10"/>
        <v>0</v>
      </c>
      <c r="AU10" s="2">
        <f t="shared" si="10"/>
        <v>0</v>
      </c>
      <c r="AV10" s="2">
        <f t="shared" si="10"/>
        <v>0</v>
      </c>
      <c r="AW10" s="2">
        <f t="shared" si="10"/>
        <v>0</v>
      </c>
      <c r="AX10" s="2">
        <f t="shared" si="10"/>
        <v>0</v>
      </c>
      <c r="AY10" s="2">
        <f t="shared" si="10"/>
        <v>0</v>
      </c>
      <c r="AZ10" s="2">
        <f t="shared" si="10"/>
        <v>0</v>
      </c>
      <c r="BA10" s="2">
        <f t="shared" si="10"/>
        <v>0</v>
      </c>
      <c r="BB10" s="2">
        <f t="shared" si="10"/>
        <v>0</v>
      </c>
      <c r="BC10" s="2">
        <f t="shared" si="10"/>
        <v>0</v>
      </c>
      <c r="BD10" s="2">
        <f t="shared" si="10"/>
        <v>0</v>
      </c>
      <c r="BE10" s="2">
        <f t="shared" si="10"/>
        <v>0</v>
      </c>
      <c r="BF10" s="2">
        <f t="shared" si="10"/>
        <v>0</v>
      </c>
      <c r="BG10" s="2">
        <f t="shared" si="10"/>
        <v>0</v>
      </c>
      <c r="BH10" s="2">
        <f t="shared" si="10"/>
        <v>0</v>
      </c>
      <c r="BI10" s="2">
        <f t="shared" si="10"/>
        <v>0</v>
      </c>
      <c r="BJ10" s="2">
        <f t="shared" si="10"/>
        <v>0</v>
      </c>
      <c r="BK10" s="2">
        <f t="shared" si="10"/>
        <v>0</v>
      </c>
      <c r="BL10" s="2">
        <f t="shared" si="10"/>
        <v>0</v>
      </c>
      <c r="BM10" s="2">
        <f t="shared" si="10"/>
        <v>0</v>
      </c>
      <c r="BN10" s="2">
        <f t="shared" si="10"/>
        <v>0</v>
      </c>
      <c r="BO10" s="2">
        <f t="shared" si="10"/>
        <v>0</v>
      </c>
      <c r="BP10" s="2">
        <f t="shared" si="10"/>
        <v>0</v>
      </c>
      <c r="BQ10" s="2">
        <f t="shared" si="10"/>
        <v>0</v>
      </c>
      <c r="BR10" s="2">
        <f t="shared" si="10"/>
        <v>0</v>
      </c>
      <c r="BS10" s="2">
        <f t="shared" si="10"/>
        <v>0</v>
      </c>
      <c r="BT10" s="2">
        <f t="shared" si="7"/>
        <v>0</v>
      </c>
      <c r="BU10" s="2">
        <f t="shared" si="7"/>
        <v>0</v>
      </c>
      <c r="BV10" s="2">
        <f t="shared" si="7"/>
        <v>0</v>
      </c>
      <c r="BW10" s="2">
        <f t="shared" si="7"/>
        <v>0</v>
      </c>
      <c r="BX10" s="2">
        <f t="shared" si="7"/>
        <v>0</v>
      </c>
      <c r="BY10" s="2">
        <f t="shared" si="7"/>
        <v>0</v>
      </c>
      <c r="BZ10" s="2">
        <f t="shared" si="7"/>
        <v>0</v>
      </c>
      <c r="CA10" s="2">
        <f t="shared" si="7"/>
        <v>0</v>
      </c>
      <c r="CB10" s="2">
        <f t="shared" si="7"/>
        <v>0</v>
      </c>
      <c r="CC10" s="2">
        <f t="shared" si="7"/>
        <v>0</v>
      </c>
      <c r="CD10" s="2">
        <f t="shared" si="7"/>
        <v>0</v>
      </c>
    </row>
    <row r="11" spans="1:82" s="2" customFormat="1" x14ac:dyDescent="0.2">
      <c r="E11" s="2" t="s">
        <v>9</v>
      </c>
      <c r="F11" s="2" t="s">
        <v>7</v>
      </c>
      <c r="G11" s="2">
        <f t="shared" si="9"/>
        <v>1</v>
      </c>
      <c r="H11" s="2">
        <f t="shared" si="10"/>
        <v>0</v>
      </c>
      <c r="I11" s="2" t="str">
        <f t="shared" si="10"/>
        <v>emission_co2e_co2_entc_nbmass_processing_and_refinement_fp_petroleum_refinement</v>
      </c>
      <c r="J11" s="2">
        <f t="shared" si="10"/>
        <v>0</v>
      </c>
      <c r="K11" s="2">
        <f t="shared" si="10"/>
        <v>0</v>
      </c>
      <c r="L11" s="2">
        <f t="shared" si="10"/>
        <v>0</v>
      </c>
      <c r="M11" s="2">
        <f t="shared" si="10"/>
        <v>0</v>
      </c>
      <c r="N11" s="2">
        <f t="shared" si="10"/>
        <v>0</v>
      </c>
      <c r="O11" s="2">
        <f t="shared" si="10"/>
        <v>0</v>
      </c>
      <c r="P11" s="2">
        <f t="shared" si="10"/>
        <v>0</v>
      </c>
      <c r="Q11" s="2">
        <f t="shared" si="10"/>
        <v>0</v>
      </c>
      <c r="R11" s="2">
        <f t="shared" si="10"/>
        <v>0</v>
      </c>
      <c r="S11" s="2">
        <f t="shared" si="10"/>
        <v>0</v>
      </c>
      <c r="T11" s="2">
        <f t="shared" si="10"/>
        <v>0</v>
      </c>
      <c r="U11" s="2">
        <f t="shared" si="10"/>
        <v>0</v>
      </c>
      <c r="V11" s="2">
        <f t="shared" si="10"/>
        <v>0</v>
      </c>
      <c r="W11" s="2">
        <f t="shared" si="10"/>
        <v>0</v>
      </c>
      <c r="X11" s="2">
        <f t="shared" si="10"/>
        <v>0</v>
      </c>
      <c r="Y11" s="2">
        <f t="shared" si="10"/>
        <v>0</v>
      </c>
      <c r="Z11" s="2">
        <f t="shared" si="10"/>
        <v>0</v>
      </c>
      <c r="AA11" s="2">
        <f t="shared" si="10"/>
        <v>0</v>
      </c>
      <c r="AB11" s="2">
        <f t="shared" si="10"/>
        <v>0</v>
      </c>
      <c r="AC11" s="2">
        <f t="shared" si="10"/>
        <v>0</v>
      </c>
      <c r="AD11" s="2">
        <f t="shared" si="10"/>
        <v>0</v>
      </c>
      <c r="AE11" s="2">
        <f t="shared" si="10"/>
        <v>0</v>
      </c>
      <c r="AF11" s="2">
        <f t="shared" si="10"/>
        <v>0</v>
      </c>
      <c r="AG11" s="2">
        <f t="shared" si="10"/>
        <v>0</v>
      </c>
      <c r="AH11" s="2">
        <f t="shared" si="10"/>
        <v>0</v>
      </c>
      <c r="AI11" s="2">
        <f t="shared" si="10"/>
        <v>0</v>
      </c>
      <c r="AJ11" s="2">
        <f t="shared" si="10"/>
        <v>0</v>
      </c>
      <c r="AK11" s="2">
        <f t="shared" si="10"/>
        <v>0</v>
      </c>
      <c r="AL11" s="2">
        <f t="shared" si="10"/>
        <v>0</v>
      </c>
      <c r="AM11" s="2">
        <f t="shared" si="10"/>
        <v>0</v>
      </c>
      <c r="AN11" s="2">
        <f t="shared" si="10"/>
        <v>0</v>
      </c>
      <c r="AO11" s="2">
        <f t="shared" si="10"/>
        <v>0</v>
      </c>
      <c r="AP11" s="2">
        <f t="shared" si="10"/>
        <v>0</v>
      </c>
      <c r="AQ11" s="2">
        <f t="shared" si="10"/>
        <v>0</v>
      </c>
      <c r="AR11" s="2">
        <f t="shared" si="10"/>
        <v>0</v>
      </c>
      <c r="AS11" s="2">
        <f t="shared" si="10"/>
        <v>0</v>
      </c>
      <c r="AT11" s="2">
        <f t="shared" si="10"/>
        <v>0</v>
      </c>
      <c r="AU11" s="2">
        <f t="shared" si="10"/>
        <v>0</v>
      </c>
      <c r="AV11" s="2">
        <f t="shared" si="10"/>
        <v>0</v>
      </c>
      <c r="AW11" s="2">
        <f t="shared" si="10"/>
        <v>0</v>
      </c>
      <c r="AX11" s="2">
        <f t="shared" si="10"/>
        <v>0</v>
      </c>
      <c r="AY11" s="2">
        <f t="shared" si="10"/>
        <v>0</v>
      </c>
      <c r="AZ11" s="2">
        <f t="shared" si="10"/>
        <v>0</v>
      </c>
      <c r="BA11" s="2">
        <f t="shared" si="10"/>
        <v>0</v>
      </c>
      <c r="BB11" s="2">
        <f t="shared" si="10"/>
        <v>0</v>
      </c>
      <c r="BC11" s="2">
        <f t="shared" si="10"/>
        <v>0</v>
      </c>
      <c r="BD11" s="2">
        <f t="shared" si="10"/>
        <v>0</v>
      </c>
      <c r="BE11" s="2">
        <f t="shared" si="10"/>
        <v>0</v>
      </c>
      <c r="BF11" s="2">
        <f t="shared" si="10"/>
        <v>0</v>
      </c>
      <c r="BG11" s="2">
        <f t="shared" si="10"/>
        <v>0</v>
      </c>
      <c r="BH11" s="2">
        <f t="shared" si="10"/>
        <v>0</v>
      </c>
      <c r="BI11" s="2">
        <f t="shared" si="10"/>
        <v>0</v>
      </c>
      <c r="BJ11" s="2">
        <f t="shared" si="10"/>
        <v>0</v>
      </c>
      <c r="BK11" s="2">
        <f t="shared" si="10"/>
        <v>0</v>
      </c>
      <c r="BL11" s="2">
        <f t="shared" si="10"/>
        <v>0</v>
      </c>
      <c r="BM11" s="2">
        <f t="shared" si="10"/>
        <v>0</v>
      </c>
      <c r="BN11" s="2">
        <f t="shared" si="10"/>
        <v>0</v>
      </c>
      <c r="BO11" s="2">
        <f t="shared" si="10"/>
        <v>0</v>
      </c>
      <c r="BP11" s="2">
        <f t="shared" si="10"/>
        <v>0</v>
      </c>
      <c r="BQ11" s="2">
        <f t="shared" si="10"/>
        <v>0</v>
      </c>
      <c r="BR11" s="2">
        <f t="shared" si="10"/>
        <v>0</v>
      </c>
      <c r="BS11" s="2">
        <f t="shared" si="10"/>
        <v>0</v>
      </c>
      <c r="BT11" s="2">
        <f t="shared" si="7"/>
        <v>0</v>
      </c>
      <c r="BU11" s="2">
        <f t="shared" si="7"/>
        <v>0</v>
      </c>
      <c r="BV11" s="2">
        <f t="shared" si="7"/>
        <v>0</v>
      </c>
      <c r="BW11" s="2">
        <f t="shared" si="7"/>
        <v>0</v>
      </c>
      <c r="BX11" s="2">
        <f t="shared" si="7"/>
        <v>0</v>
      </c>
      <c r="BY11" s="2">
        <f t="shared" si="7"/>
        <v>0</v>
      </c>
      <c r="BZ11" s="2">
        <f t="shared" si="7"/>
        <v>0</v>
      </c>
      <c r="CA11" s="2">
        <f t="shared" si="7"/>
        <v>0</v>
      </c>
      <c r="CB11" s="2">
        <f t="shared" si="7"/>
        <v>0</v>
      </c>
      <c r="CC11" s="2">
        <f t="shared" si="7"/>
        <v>0</v>
      </c>
      <c r="CD11" s="2">
        <f t="shared" si="7"/>
        <v>0</v>
      </c>
    </row>
    <row r="12" spans="1:82" s="2" customFormat="1" x14ac:dyDescent="0.2">
      <c r="E12" s="2" t="s">
        <v>9</v>
      </c>
      <c r="F12" s="2" t="s">
        <v>8</v>
      </c>
      <c r="G12" s="2">
        <f t="shared" si="9"/>
        <v>1</v>
      </c>
      <c r="H12" s="2">
        <f t="shared" si="10"/>
        <v>0</v>
      </c>
      <c r="I12" s="2" t="str">
        <f t="shared" si="10"/>
        <v>emission_co2e_n2o_entc_processing_and_refinement_fp_petroleum_refinement</v>
      </c>
      <c r="J12" s="2">
        <f t="shared" si="10"/>
        <v>0</v>
      </c>
      <c r="K12" s="2">
        <f t="shared" si="10"/>
        <v>0</v>
      </c>
      <c r="L12" s="2">
        <f t="shared" si="10"/>
        <v>0</v>
      </c>
      <c r="M12" s="2">
        <f t="shared" si="10"/>
        <v>0</v>
      </c>
      <c r="N12" s="2">
        <f t="shared" si="10"/>
        <v>0</v>
      </c>
      <c r="O12" s="2">
        <f t="shared" si="10"/>
        <v>0</v>
      </c>
      <c r="P12" s="2">
        <f t="shared" si="10"/>
        <v>0</v>
      </c>
      <c r="Q12" s="2">
        <f t="shared" si="10"/>
        <v>0</v>
      </c>
      <c r="R12" s="2">
        <f t="shared" si="10"/>
        <v>0</v>
      </c>
      <c r="S12" s="2">
        <f t="shared" si="10"/>
        <v>0</v>
      </c>
      <c r="T12" s="2">
        <f t="shared" si="10"/>
        <v>0</v>
      </c>
      <c r="U12" s="2">
        <f t="shared" si="10"/>
        <v>0</v>
      </c>
      <c r="V12" s="2">
        <f t="shared" si="10"/>
        <v>0</v>
      </c>
      <c r="W12" s="2">
        <f t="shared" si="10"/>
        <v>0</v>
      </c>
      <c r="X12" s="2">
        <f t="shared" si="10"/>
        <v>0</v>
      </c>
      <c r="Y12" s="2">
        <f t="shared" si="10"/>
        <v>0</v>
      </c>
      <c r="Z12" s="2">
        <f t="shared" si="10"/>
        <v>0</v>
      </c>
      <c r="AA12" s="2">
        <f t="shared" si="10"/>
        <v>0</v>
      </c>
      <c r="AB12" s="2">
        <f t="shared" si="10"/>
        <v>0</v>
      </c>
      <c r="AC12" s="2">
        <f t="shared" si="10"/>
        <v>0</v>
      </c>
      <c r="AD12" s="2">
        <f t="shared" si="10"/>
        <v>0</v>
      </c>
      <c r="AE12" s="2">
        <f t="shared" si="10"/>
        <v>0</v>
      </c>
      <c r="AF12" s="2">
        <f t="shared" si="10"/>
        <v>0</v>
      </c>
      <c r="AG12" s="2">
        <f t="shared" si="10"/>
        <v>0</v>
      </c>
      <c r="AH12" s="2">
        <f t="shared" si="10"/>
        <v>0</v>
      </c>
      <c r="AI12" s="2">
        <f t="shared" si="10"/>
        <v>0</v>
      </c>
      <c r="AJ12" s="2">
        <f t="shared" si="10"/>
        <v>0</v>
      </c>
      <c r="AK12" s="2">
        <f t="shared" si="10"/>
        <v>0</v>
      </c>
      <c r="AL12" s="2">
        <f t="shared" si="10"/>
        <v>0</v>
      </c>
      <c r="AM12" s="2">
        <f t="shared" si="10"/>
        <v>0</v>
      </c>
      <c r="AN12" s="2">
        <f t="shared" si="10"/>
        <v>0</v>
      </c>
      <c r="AO12" s="2">
        <f t="shared" si="10"/>
        <v>0</v>
      </c>
      <c r="AP12" s="2">
        <f t="shared" si="10"/>
        <v>0</v>
      </c>
      <c r="AQ12" s="2">
        <f t="shared" si="10"/>
        <v>0</v>
      </c>
      <c r="AR12" s="2">
        <f t="shared" si="10"/>
        <v>0</v>
      </c>
      <c r="AS12" s="2">
        <f t="shared" si="10"/>
        <v>0</v>
      </c>
      <c r="AT12" s="2">
        <f t="shared" si="10"/>
        <v>0</v>
      </c>
      <c r="AU12" s="2">
        <f t="shared" si="10"/>
        <v>0</v>
      </c>
      <c r="AV12" s="2">
        <f t="shared" si="10"/>
        <v>0</v>
      </c>
      <c r="AW12" s="2">
        <f t="shared" si="10"/>
        <v>0</v>
      </c>
      <c r="AX12" s="2">
        <f t="shared" si="10"/>
        <v>0</v>
      </c>
      <c r="AY12" s="2">
        <f t="shared" si="10"/>
        <v>0</v>
      </c>
      <c r="AZ12" s="2">
        <f t="shared" si="10"/>
        <v>0</v>
      </c>
      <c r="BA12" s="2">
        <f t="shared" si="10"/>
        <v>0</v>
      </c>
      <c r="BB12" s="2">
        <f t="shared" si="10"/>
        <v>0</v>
      </c>
      <c r="BC12" s="2">
        <f t="shared" si="10"/>
        <v>0</v>
      </c>
      <c r="BD12" s="2">
        <f t="shared" si="10"/>
        <v>0</v>
      </c>
      <c r="BE12" s="2">
        <f t="shared" si="10"/>
        <v>0</v>
      </c>
      <c r="BF12" s="2">
        <f t="shared" si="10"/>
        <v>0</v>
      </c>
      <c r="BG12" s="2">
        <f t="shared" si="10"/>
        <v>0</v>
      </c>
      <c r="BH12" s="2">
        <f t="shared" si="10"/>
        <v>0</v>
      </c>
      <c r="BI12" s="2">
        <f t="shared" si="10"/>
        <v>0</v>
      </c>
      <c r="BJ12" s="2">
        <f t="shared" si="10"/>
        <v>0</v>
      </c>
      <c r="BK12" s="2">
        <f t="shared" si="10"/>
        <v>0</v>
      </c>
      <c r="BL12" s="2">
        <f t="shared" si="10"/>
        <v>0</v>
      </c>
      <c r="BM12" s="2">
        <f t="shared" si="10"/>
        <v>0</v>
      </c>
      <c r="BN12" s="2">
        <f t="shared" si="10"/>
        <v>0</v>
      </c>
      <c r="BO12" s="2">
        <f t="shared" si="10"/>
        <v>0</v>
      </c>
      <c r="BP12" s="2">
        <f t="shared" si="10"/>
        <v>0</v>
      </c>
      <c r="BQ12" s="2">
        <f t="shared" si="10"/>
        <v>0</v>
      </c>
      <c r="BR12" s="2">
        <f t="shared" si="10"/>
        <v>0</v>
      </c>
      <c r="BS12" s="2">
        <f t="shared" ref="BS12:CD15" si="11">CA259</f>
        <v>0</v>
      </c>
      <c r="BT12" s="2">
        <f t="shared" si="11"/>
        <v>0</v>
      </c>
      <c r="BU12" s="2">
        <f t="shared" si="11"/>
        <v>0</v>
      </c>
      <c r="BV12" s="2">
        <f t="shared" si="11"/>
        <v>0</v>
      </c>
      <c r="BW12" s="2">
        <f t="shared" si="11"/>
        <v>0</v>
      </c>
      <c r="BX12" s="2">
        <f t="shared" si="11"/>
        <v>0</v>
      </c>
      <c r="BY12" s="2">
        <f t="shared" si="11"/>
        <v>0</v>
      </c>
      <c r="BZ12" s="2">
        <f t="shared" si="11"/>
        <v>0</v>
      </c>
      <c r="CA12" s="2">
        <f t="shared" si="11"/>
        <v>0</v>
      </c>
      <c r="CB12" s="2">
        <f t="shared" si="11"/>
        <v>0</v>
      </c>
      <c r="CC12" s="2">
        <f t="shared" si="11"/>
        <v>0</v>
      </c>
      <c r="CD12" s="2">
        <f t="shared" si="11"/>
        <v>0</v>
      </c>
    </row>
    <row r="13" spans="1:82" s="2" customFormat="1" x14ac:dyDescent="0.2">
      <c r="E13" s="2" t="s">
        <v>12</v>
      </c>
      <c r="F13" s="2" t="s">
        <v>6</v>
      </c>
      <c r="G13" s="2">
        <f t="shared" si="9"/>
        <v>1</v>
      </c>
      <c r="H13" s="2">
        <f t="shared" ref="H13:BS16" si="12">P260</f>
        <v>0</v>
      </c>
      <c r="I13" s="2" t="str">
        <f t="shared" si="12"/>
        <v>emission_co2e_ch4_entc_fuel_mining_and_extraction_me_coal</v>
      </c>
      <c r="J13" s="2">
        <f t="shared" si="12"/>
        <v>0</v>
      </c>
      <c r="K13" s="2">
        <f t="shared" si="12"/>
        <v>54.823500000000003</v>
      </c>
      <c r="L13" s="2">
        <f t="shared" si="12"/>
        <v>54.823500000000003</v>
      </c>
      <c r="M13" s="2">
        <f t="shared" si="12"/>
        <v>59.817599999999999</v>
      </c>
      <c r="N13" s="2">
        <f t="shared" si="12"/>
        <v>62.496000000000002</v>
      </c>
      <c r="O13" s="2">
        <f t="shared" si="12"/>
        <v>77.617800000000003</v>
      </c>
      <c r="P13" s="2">
        <f t="shared" si="12"/>
        <v>77.896799999999985</v>
      </c>
      <c r="Q13" s="2">
        <f t="shared" si="12"/>
        <v>89.447399999999988</v>
      </c>
      <c r="R13" s="2">
        <f t="shared" si="12"/>
        <v>105.82470000000001</v>
      </c>
      <c r="S13" s="2">
        <f t="shared" si="12"/>
        <v>114.13890000000001</v>
      </c>
      <c r="T13" s="2">
        <f t="shared" si="12"/>
        <v>122.45310000000001</v>
      </c>
      <c r="U13" s="2">
        <f t="shared" si="12"/>
        <v>128.70269999999999</v>
      </c>
      <c r="V13" s="2">
        <f t="shared" si="12"/>
        <v>128.98169999999999</v>
      </c>
      <c r="W13" s="2">
        <f t="shared" si="12"/>
        <v>141.2577</v>
      </c>
      <c r="X13" s="2">
        <f t="shared" si="12"/>
        <v>147.8142</v>
      </c>
      <c r="Y13" s="2">
        <f t="shared" si="12"/>
        <v>154.28700000000001</v>
      </c>
      <c r="Z13" s="2">
        <f t="shared" si="12"/>
        <v>160.62029999999999</v>
      </c>
      <c r="AA13" s="2">
        <f t="shared" si="12"/>
        <v>160.62029999999999</v>
      </c>
      <c r="AB13" s="2">
        <f t="shared" si="12"/>
        <v>160.62029999999999</v>
      </c>
      <c r="AC13" s="2">
        <f t="shared" si="12"/>
        <v>199.90350000000001</v>
      </c>
      <c r="AD13" s="2">
        <f t="shared" si="12"/>
        <v>125.2431</v>
      </c>
      <c r="AE13" s="2">
        <f t="shared" si="12"/>
        <v>461.80079999999998</v>
      </c>
      <c r="AF13" s="2">
        <f t="shared" si="12"/>
        <v>309.35520000000002</v>
      </c>
      <c r="AG13" s="2">
        <f t="shared" si="12"/>
        <v>309.35520000000002</v>
      </c>
      <c r="AH13" s="2">
        <f t="shared" si="12"/>
        <v>1030.4865</v>
      </c>
      <c r="AI13" s="2">
        <f t="shared" si="12"/>
        <v>1288.1987999999999</v>
      </c>
      <c r="AJ13" s="2">
        <f t="shared" si="12"/>
        <v>0</v>
      </c>
      <c r="AK13" s="2">
        <f t="shared" si="12"/>
        <v>0</v>
      </c>
      <c r="AL13" s="2">
        <f t="shared" si="12"/>
        <v>0</v>
      </c>
      <c r="AM13" s="2">
        <f t="shared" si="12"/>
        <v>0</v>
      </c>
      <c r="AN13" s="2">
        <f t="shared" si="12"/>
        <v>0</v>
      </c>
      <c r="AO13" s="2">
        <f t="shared" si="12"/>
        <v>0</v>
      </c>
      <c r="AP13" s="2">
        <f t="shared" si="12"/>
        <v>0</v>
      </c>
      <c r="AQ13" s="2">
        <f t="shared" si="12"/>
        <v>0</v>
      </c>
      <c r="AR13" s="2">
        <f t="shared" si="12"/>
        <v>0</v>
      </c>
      <c r="AS13" s="2">
        <f t="shared" si="12"/>
        <v>0</v>
      </c>
      <c r="AT13" s="2">
        <f t="shared" si="12"/>
        <v>0</v>
      </c>
      <c r="AU13" s="2">
        <f t="shared" si="12"/>
        <v>0</v>
      </c>
      <c r="AV13" s="2">
        <f t="shared" si="12"/>
        <v>0</v>
      </c>
      <c r="AW13" s="2">
        <f t="shared" si="12"/>
        <v>0</v>
      </c>
      <c r="AX13" s="2">
        <f t="shared" si="12"/>
        <v>0</v>
      </c>
      <c r="AY13" s="2">
        <f t="shared" si="12"/>
        <v>0</v>
      </c>
      <c r="AZ13" s="2">
        <f t="shared" si="12"/>
        <v>0</v>
      </c>
      <c r="BA13" s="2">
        <f t="shared" si="12"/>
        <v>0</v>
      </c>
      <c r="BB13" s="2">
        <f t="shared" si="12"/>
        <v>0</v>
      </c>
      <c r="BC13" s="2">
        <f t="shared" si="12"/>
        <v>0</v>
      </c>
      <c r="BD13" s="2">
        <f t="shared" si="12"/>
        <v>0</v>
      </c>
      <c r="BE13" s="2">
        <f t="shared" si="12"/>
        <v>0</v>
      </c>
      <c r="BF13" s="2">
        <f t="shared" si="12"/>
        <v>0</v>
      </c>
      <c r="BG13" s="2">
        <f t="shared" si="12"/>
        <v>0</v>
      </c>
      <c r="BH13" s="2">
        <f t="shared" si="12"/>
        <v>0</v>
      </c>
      <c r="BI13" s="2">
        <f t="shared" si="12"/>
        <v>0</v>
      </c>
      <c r="BJ13" s="2">
        <f t="shared" si="12"/>
        <v>0</v>
      </c>
      <c r="BK13" s="2">
        <f t="shared" si="12"/>
        <v>0</v>
      </c>
      <c r="BL13" s="2">
        <f t="shared" si="12"/>
        <v>0</v>
      </c>
      <c r="BM13" s="2">
        <f t="shared" si="12"/>
        <v>0</v>
      </c>
      <c r="BN13" s="2">
        <f t="shared" si="12"/>
        <v>0</v>
      </c>
      <c r="BO13" s="2">
        <f t="shared" si="12"/>
        <v>0</v>
      </c>
      <c r="BP13" s="2">
        <f t="shared" si="12"/>
        <v>0</v>
      </c>
      <c r="BQ13" s="2">
        <f t="shared" si="12"/>
        <v>0</v>
      </c>
      <c r="BR13" s="2">
        <f t="shared" si="12"/>
        <v>0</v>
      </c>
      <c r="BS13" s="2">
        <f t="shared" si="12"/>
        <v>0</v>
      </c>
      <c r="BT13" s="2">
        <f t="shared" si="11"/>
        <v>0</v>
      </c>
      <c r="BU13" s="2">
        <f t="shared" si="11"/>
        <v>0</v>
      </c>
      <c r="BV13" s="2">
        <f t="shared" si="11"/>
        <v>0</v>
      </c>
      <c r="BW13" s="2">
        <f t="shared" si="11"/>
        <v>0</v>
      </c>
      <c r="BX13" s="2">
        <f t="shared" si="11"/>
        <v>0</v>
      </c>
      <c r="BY13" s="2">
        <f t="shared" si="11"/>
        <v>0</v>
      </c>
      <c r="BZ13" s="2">
        <f t="shared" si="11"/>
        <v>0</v>
      </c>
      <c r="CA13" s="2">
        <f t="shared" si="11"/>
        <v>0</v>
      </c>
      <c r="CB13" s="2">
        <f t="shared" si="11"/>
        <v>0</v>
      </c>
      <c r="CC13" s="2">
        <f t="shared" si="11"/>
        <v>0</v>
      </c>
      <c r="CD13" s="2">
        <f t="shared" si="11"/>
        <v>0</v>
      </c>
    </row>
    <row r="14" spans="1:82" s="2" customFormat="1" x14ac:dyDescent="0.2">
      <c r="E14" s="2" t="s">
        <v>12</v>
      </c>
      <c r="F14" s="2" t="s">
        <v>7</v>
      </c>
      <c r="G14" s="2">
        <f t="shared" si="9"/>
        <v>1</v>
      </c>
      <c r="H14" s="2">
        <f t="shared" si="12"/>
        <v>0</v>
      </c>
      <c r="I14" s="2" t="str">
        <f t="shared" si="12"/>
        <v>emission_co2e_co2_entc_mining_and_extraction_me_coal</v>
      </c>
      <c r="J14" s="2">
        <f t="shared" si="12"/>
        <v>0</v>
      </c>
      <c r="K14" s="2">
        <f t="shared" si="12"/>
        <v>0</v>
      </c>
      <c r="L14" s="2">
        <f t="shared" si="12"/>
        <v>0</v>
      </c>
      <c r="M14" s="2">
        <f t="shared" si="12"/>
        <v>0</v>
      </c>
      <c r="N14" s="2">
        <f t="shared" si="12"/>
        <v>0</v>
      </c>
      <c r="O14" s="2">
        <f t="shared" si="12"/>
        <v>0</v>
      </c>
      <c r="P14" s="2">
        <f t="shared" si="12"/>
        <v>0</v>
      </c>
      <c r="Q14" s="2">
        <f t="shared" si="12"/>
        <v>0</v>
      </c>
      <c r="R14" s="2">
        <f t="shared" si="12"/>
        <v>0</v>
      </c>
      <c r="S14" s="2">
        <f t="shared" si="12"/>
        <v>0</v>
      </c>
      <c r="T14" s="2">
        <f t="shared" si="12"/>
        <v>0</v>
      </c>
      <c r="U14" s="2">
        <f t="shared" si="12"/>
        <v>0</v>
      </c>
      <c r="V14" s="2">
        <f t="shared" si="12"/>
        <v>0</v>
      </c>
      <c r="W14" s="2">
        <f t="shared" si="12"/>
        <v>0</v>
      </c>
      <c r="X14" s="2">
        <f t="shared" si="12"/>
        <v>0</v>
      </c>
      <c r="Y14" s="2">
        <f t="shared" si="12"/>
        <v>0</v>
      </c>
      <c r="Z14" s="2">
        <f t="shared" si="12"/>
        <v>0</v>
      </c>
      <c r="AA14" s="2">
        <f t="shared" si="12"/>
        <v>0</v>
      </c>
      <c r="AB14" s="2">
        <f t="shared" si="12"/>
        <v>0</v>
      </c>
      <c r="AC14" s="2">
        <f t="shared" si="12"/>
        <v>0</v>
      </c>
      <c r="AD14" s="2">
        <f t="shared" si="12"/>
        <v>0</v>
      </c>
      <c r="AE14" s="2">
        <f t="shared" si="12"/>
        <v>0</v>
      </c>
      <c r="AF14" s="2">
        <f t="shared" si="12"/>
        <v>0</v>
      </c>
      <c r="AG14" s="2">
        <f t="shared" si="12"/>
        <v>0</v>
      </c>
      <c r="AH14" s="2">
        <f t="shared" si="12"/>
        <v>0</v>
      </c>
      <c r="AI14" s="2">
        <f t="shared" si="12"/>
        <v>0</v>
      </c>
      <c r="AJ14" s="2">
        <f t="shared" si="12"/>
        <v>0</v>
      </c>
      <c r="AK14" s="2">
        <f t="shared" si="12"/>
        <v>0</v>
      </c>
      <c r="AL14" s="2">
        <f t="shared" si="12"/>
        <v>0</v>
      </c>
      <c r="AM14" s="2">
        <f t="shared" si="12"/>
        <v>0</v>
      </c>
      <c r="AN14" s="2">
        <f t="shared" si="12"/>
        <v>0</v>
      </c>
      <c r="AO14" s="2">
        <f t="shared" si="12"/>
        <v>0</v>
      </c>
      <c r="AP14" s="2">
        <f t="shared" si="12"/>
        <v>0</v>
      </c>
      <c r="AQ14" s="2">
        <f t="shared" si="12"/>
        <v>0</v>
      </c>
      <c r="AR14" s="2">
        <f t="shared" si="12"/>
        <v>0</v>
      </c>
      <c r="AS14" s="2">
        <f t="shared" si="12"/>
        <v>0</v>
      </c>
      <c r="AT14" s="2">
        <f t="shared" si="12"/>
        <v>0</v>
      </c>
      <c r="AU14" s="2">
        <f t="shared" si="12"/>
        <v>0</v>
      </c>
      <c r="AV14" s="2">
        <f t="shared" si="12"/>
        <v>0</v>
      </c>
      <c r="AW14" s="2">
        <f t="shared" si="12"/>
        <v>0</v>
      </c>
      <c r="AX14" s="2">
        <f t="shared" si="12"/>
        <v>0</v>
      </c>
      <c r="AY14" s="2">
        <f t="shared" si="12"/>
        <v>0</v>
      </c>
      <c r="AZ14" s="2">
        <f t="shared" si="12"/>
        <v>0</v>
      </c>
      <c r="BA14" s="2">
        <f t="shared" si="12"/>
        <v>0</v>
      </c>
      <c r="BB14" s="2">
        <f t="shared" si="12"/>
        <v>0</v>
      </c>
      <c r="BC14" s="2">
        <f t="shared" si="12"/>
        <v>0</v>
      </c>
      <c r="BD14" s="2">
        <f t="shared" si="12"/>
        <v>0</v>
      </c>
      <c r="BE14" s="2">
        <f t="shared" si="12"/>
        <v>0</v>
      </c>
      <c r="BF14" s="2">
        <f t="shared" si="12"/>
        <v>0</v>
      </c>
      <c r="BG14" s="2">
        <f t="shared" si="12"/>
        <v>0</v>
      </c>
      <c r="BH14" s="2">
        <f t="shared" si="12"/>
        <v>0</v>
      </c>
      <c r="BI14" s="2">
        <f t="shared" si="12"/>
        <v>0</v>
      </c>
      <c r="BJ14" s="2">
        <f t="shared" si="12"/>
        <v>0</v>
      </c>
      <c r="BK14" s="2">
        <f t="shared" si="12"/>
        <v>0</v>
      </c>
      <c r="BL14" s="2">
        <f t="shared" si="12"/>
        <v>0</v>
      </c>
      <c r="BM14" s="2">
        <f t="shared" si="12"/>
        <v>0</v>
      </c>
      <c r="BN14" s="2">
        <f t="shared" si="12"/>
        <v>0</v>
      </c>
      <c r="BO14" s="2">
        <f t="shared" si="12"/>
        <v>0</v>
      </c>
      <c r="BP14" s="2">
        <f t="shared" si="12"/>
        <v>0</v>
      </c>
      <c r="BQ14" s="2">
        <f t="shared" si="12"/>
        <v>0</v>
      </c>
      <c r="BR14" s="2">
        <f t="shared" si="12"/>
        <v>0</v>
      </c>
      <c r="BS14" s="2">
        <f t="shared" si="12"/>
        <v>0</v>
      </c>
      <c r="BT14" s="2">
        <f t="shared" si="11"/>
        <v>0</v>
      </c>
      <c r="BU14" s="2">
        <f t="shared" si="11"/>
        <v>0</v>
      </c>
      <c r="BV14" s="2">
        <f t="shared" si="11"/>
        <v>0</v>
      </c>
      <c r="BW14" s="2">
        <f t="shared" si="11"/>
        <v>0</v>
      </c>
      <c r="BX14" s="2">
        <f t="shared" si="11"/>
        <v>0</v>
      </c>
      <c r="BY14" s="2">
        <f t="shared" si="11"/>
        <v>0</v>
      </c>
      <c r="BZ14" s="2">
        <f t="shared" si="11"/>
        <v>0</v>
      </c>
      <c r="CA14" s="2">
        <f t="shared" si="11"/>
        <v>0</v>
      </c>
      <c r="CB14" s="2">
        <f t="shared" si="11"/>
        <v>0</v>
      </c>
      <c r="CC14" s="2">
        <f t="shared" si="11"/>
        <v>0</v>
      </c>
      <c r="CD14" s="2">
        <f t="shared" si="11"/>
        <v>0</v>
      </c>
    </row>
    <row r="15" spans="1:82" s="2" customFormat="1" x14ac:dyDescent="0.2">
      <c r="E15" s="2" t="s">
        <v>12</v>
      </c>
      <c r="F15" s="2" t="s">
        <v>8</v>
      </c>
      <c r="G15" s="2">
        <f t="shared" si="9"/>
        <v>1</v>
      </c>
      <c r="H15" s="2">
        <f t="shared" si="12"/>
        <v>0</v>
      </c>
      <c r="I15" s="2" t="str">
        <f t="shared" si="12"/>
        <v>emission_co2e_n2o_entc_fuel_mining_and_extraction_me_coal</v>
      </c>
      <c r="J15" s="2">
        <f t="shared" si="12"/>
        <v>0</v>
      </c>
      <c r="K15" s="2">
        <f t="shared" si="12"/>
        <v>10.647</v>
      </c>
      <c r="L15" s="2">
        <f t="shared" si="12"/>
        <v>10.647</v>
      </c>
      <c r="M15" s="2">
        <f t="shared" si="12"/>
        <v>11.739000000000001</v>
      </c>
      <c r="N15" s="2">
        <f t="shared" si="12"/>
        <v>12.285</v>
      </c>
      <c r="O15" s="2">
        <f t="shared" si="12"/>
        <v>15.288</v>
      </c>
      <c r="P15" s="2">
        <f t="shared" si="12"/>
        <v>15.288</v>
      </c>
      <c r="Q15" s="2">
        <f t="shared" si="12"/>
        <v>17.472000000000001</v>
      </c>
      <c r="R15" s="2">
        <f t="shared" si="12"/>
        <v>20.748000000000001</v>
      </c>
      <c r="S15" s="2">
        <f t="shared" si="12"/>
        <v>22.385999999999999</v>
      </c>
      <c r="T15" s="2">
        <f t="shared" si="12"/>
        <v>24.024000000000001</v>
      </c>
      <c r="U15" s="2">
        <f t="shared" si="12"/>
        <v>25.116</v>
      </c>
      <c r="V15" s="2">
        <f t="shared" si="12"/>
        <v>25.116</v>
      </c>
      <c r="W15" s="2">
        <f t="shared" si="12"/>
        <v>27.573</v>
      </c>
      <c r="X15" s="2">
        <f t="shared" si="12"/>
        <v>28.937999999999999</v>
      </c>
      <c r="Y15" s="2">
        <f t="shared" si="12"/>
        <v>30.303000000000001</v>
      </c>
      <c r="Z15" s="2">
        <f t="shared" si="12"/>
        <v>31.395</v>
      </c>
      <c r="AA15" s="2">
        <f t="shared" si="12"/>
        <v>31.395</v>
      </c>
      <c r="AB15" s="2">
        <f t="shared" si="12"/>
        <v>31.395</v>
      </c>
      <c r="AC15" s="2">
        <f t="shared" si="12"/>
        <v>39.038999999999987</v>
      </c>
      <c r="AD15" s="2">
        <f t="shared" si="12"/>
        <v>24.57</v>
      </c>
      <c r="AE15" s="2">
        <f t="shared" si="12"/>
        <v>90.363</v>
      </c>
      <c r="AF15" s="2">
        <f t="shared" si="12"/>
        <v>60.606000000000002</v>
      </c>
      <c r="AG15" s="2">
        <f t="shared" si="12"/>
        <v>60.606000000000002</v>
      </c>
      <c r="AH15" s="2">
        <f t="shared" si="12"/>
        <v>251.97900000000001</v>
      </c>
      <c r="AI15" s="2">
        <f t="shared" si="12"/>
        <v>315.04199999999997</v>
      </c>
      <c r="AJ15" s="2">
        <f t="shared" si="12"/>
        <v>0</v>
      </c>
      <c r="AK15" s="2">
        <f t="shared" si="12"/>
        <v>0</v>
      </c>
      <c r="AL15" s="2">
        <f t="shared" si="12"/>
        <v>0</v>
      </c>
      <c r="AM15" s="2">
        <f t="shared" si="12"/>
        <v>0</v>
      </c>
      <c r="AN15" s="2">
        <f t="shared" si="12"/>
        <v>0</v>
      </c>
      <c r="AO15" s="2">
        <f t="shared" si="12"/>
        <v>0</v>
      </c>
      <c r="AP15" s="2">
        <f t="shared" si="12"/>
        <v>0</v>
      </c>
      <c r="AQ15" s="2">
        <f t="shared" si="12"/>
        <v>0</v>
      </c>
      <c r="AR15" s="2">
        <f t="shared" si="12"/>
        <v>0</v>
      </c>
      <c r="AS15" s="2">
        <f t="shared" si="12"/>
        <v>0</v>
      </c>
      <c r="AT15" s="2">
        <f t="shared" si="12"/>
        <v>0</v>
      </c>
      <c r="AU15" s="2">
        <f t="shared" si="12"/>
        <v>0</v>
      </c>
      <c r="AV15" s="2">
        <f t="shared" si="12"/>
        <v>0</v>
      </c>
      <c r="AW15" s="2">
        <f t="shared" si="12"/>
        <v>0</v>
      </c>
      <c r="AX15" s="2">
        <f t="shared" si="12"/>
        <v>0</v>
      </c>
      <c r="AY15" s="2">
        <f t="shared" si="12"/>
        <v>0</v>
      </c>
      <c r="AZ15" s="2">
        <f t="shared" si="12"/>
        <v>0</v>
      </c>
      <c r="BA15" s="2">
        <f t="shared" si="12"/>
        <v>0</v>
      </c>
      <c r="BB15" s="2">
        <f t="shared" si="12"/>
        <v>0</v>
      </c>
      <c r="BC15" s="2">
        <f t="shared" si="12"/>
        <v>0</v>
      </c>
      <c r="BD15" s="2">
        <f t="shared" si="12"/>
        <v>0</v>
      </c>
      <c r="BE15" s="2">
        <f t="shared" si="12"/>
        <v>0</v>
      </c>
      <c r="BF15" s="2">
        <f t="shared" si="12"/>
        <v>0</v>
      </c>
      <c r="BG15" s="2">
        <f t="shared" si="12"/>
        <v>0</v>
      </c>
      <c r="BH15" s="2">
        <f t="shared" si="12"/>
        <v>0</v>
      </c>
      <c r="BI15" s="2">
        <f t="shared" si="12"/>
        <v>0</v>
      </c>
      <c r="BJ15" s="2">
        <f t="shared" si="12"/>
        <v>0</v>
      </c>
      <c r="BK15" s="2">
        <f t="shared" si="12"/>
        <v>0</v>
      </c>
      <c r="BL15" s="2">
        <f t="shared" si="12"/>
        <v>0</v>
      </c>
      <c r="BM15" s="2">
        <f t="shared" si="12"/>
        <v>0</v>
      </c>
      <c r="BN15" s="2">
        <f t="shared" si="12"/>
        <v>0</v>
      </c>
      <c r="BO15" s="2">
        <f t="shared" si="12"/>
        <v>0</v>
      </c>
      <c r="BP15" s="2">
        <f t="shared" si="12"/>
        <v>0</v>
      </c>
      <c r="BQ15" s="2">
        <f t="shared" si="12"/>
        <v>0</v>
      </c>
      <c r="BR15" s="2">
        <f t="shared" si="12"/>
        <v>0</v>
      </c>
      <c r="BS15" s="2">
        <f t="shared" si="12"/>
        <v>0</v>
      </c>
      <c r="BT15" s="2">
        <f t="shared" si="11"/>
        <v>0</v>
      </c>
      <c r="BU15" s="2">
        <f t="shared" si="11"/>
        <v>0</v>
      </c>
      <c r="BV15" s="2">
        <f t="shared" si="11"/>
        <v>0</v>
      </c>
      <c r="BW15" s="2">
        <f t="shared" si="11"/>
        <v>0</v>
      </c>
      <c r="BX15" s="2">
        <f t="shared" si="11"/>
        <v>0</v>
      </c>
      <c r="BY15" s="2">
        <f t="shared" si="11"/>
        <v>0</v>
      </c>
      <c r="BZ15" s="2">
        <f t="shared" si="11"/>
        <v>0</v>
      </c>
      <c r="CA15" s="2">
        <f t="shared" si="11"/>
        <v>0</v>
      </c>
      <c r="CB15" s="2">
        <f t="shared" si="11"/>
        <v>0</v>
      </c>
      <c r="CC15" s="2">
        <f t="shared" si="11"/>
        <v>0</v>
      </c>
      <c r="CD15" s="2">
        <f t="shared" si="11"/>
        <v>0</v>
      </c>
    </row>
    <row r="16" spans="1:82" s="2" customFormat="1" x14ac:dyDescent="0.2">
      <c r="E16" s="2" t="s">
        <v>13</v>
      </c>
      <c r="F16" s="2" t="s">
        <v>6</v>
      </c>
      <c r="G16" s="2">
        <f t="shared" si="9"/>
        <v>1</v>
      </c>
      <c r="H16" s="2">
        <f t="shared" si="12"/>
        <v>0</v>
      </c>
      <c r="I16" s="2" t="str">
        <f t="shared" si="12"/>
        <v>emission_co2e_ch4_entc_fuel_mining_and_extraction_me_crude|emission_co2e_ch4_entc_fuel_mining_and_extraction_me_natural_gas|emission_co2e_ch4_entc_processing_and_refinement_fp_ammonia_production|emission_co2e_ch4_entc_processing_and_refinement_fp_hydrogen_electrolysis|emission_co2e_ch4_entc_processing_and_refinement_fp_hydrogen_gasification|emission_co2e_ch4_entc_processing_and_refinement_fp_hydrogen_reformation|emission_co2e_ch4_entc_processing_and_refinement_fp_hydrogen_reformation_ccs|emission_co2e_ch4_entc_processing_and_refinement_fp_natural_gas|emission_co2e_ch4_entc_processing_and_refinement_fp_natural_gas_liquefaction</v>
      </c>
      <c r="J16" s="2">
        <f t="shared" si="12"/>
        <v>0</v>
      </c>
      <c r="K16" s="2">
        <f t="shared" si="12"/>
        <v>0</v>
      </c>
      <c r="L16" s="2">
        <f t="shared" si="12"/>
        <v>0</v>
      </c>
      <c r="M16" s="2">
        <f t="shared" si="12"/>
        <v>0</v>
      </c>
      <c r="N16" s="2">
        <f t="shared" si="12"/>
        <v>0</v>
      </c>
      <c r="O16" s="2">
        <f t="shared" si="12"/>
        <v>0</v>
      </c>
      <c r="P16" s="2">
        <f t="shared" si="12"/>
        <v>0</v>
      </c>
      <c r="Q16" s="2">
        <f t="shared" si="12"/>
        <v>0</v>
      </c>
      <c r="R16" s="2">
        <f t="shared" si="12"/>
        <v>0</v>
      </c>
      <c r="S16" s="2">
        <f t="shared" si="12"/>
        <v>0</v>
      </c>
      <c r="T16" s="2">
        <f t="shared" si="12"/>
        <v>0</v>
      </c>
      <c r="U16" s="2">
        <f t="shared" si="12"/>
        <v>0</v>
      </c>
      <c r="V16" s="2">
        <f t="shared" si="12"/>
        <v>0</v>
      </c>
      <c r="W16" s="2">
        <f t="shared" si="12"/>
        <v>0</v>
      </c>
      <c r="X16" s="2">
        <f t="shared" si="12"/>
        <v>0</v>
      </c>
      <c r="Y16" s="2">
        <f t="shared" si="12"/>
        <v>0</v>
      </c>
      <c r="Z16" s="2">
        <f t="shared" si="12"/>
        <v>0</v>
      </c>
      <c r="AA16" s="2">
        <f t="shared" si="12"/>
        <v>0</v>
      </c>
      <c r="AB16" s="2">
        <f t="shared" si="12"/>
        <v>0</v>
      </c>
      <c r="AC16" s="2">
        <f t="shared" si="12"/>
        <v>0</v>
      </c>
      <c r="AD16" s="2">
        <f t="shared" si="12"/>
        <v>0</v>
      </c>
      <c r="AE16" s="2">
        <f t="shared" si="12"/>
        <v>0</v>
      </c>
      <c r="AF16" s="2">
        <f t="shared" si="12"/>
        <v>0</v>
      </c>
      <c r="AG16" s="2">
        <f t="shared" si="12"/>
        <v>0</v>
      </c>
      <c r="AH16" s="2">
        <f t="shared" si="12"/>
        <v>0</v>
      </c>
      <c r="AI16" s="2">
        <f t="shared" si="12"/>
        <v>0</v>
      </c>
      <c r="AJ16" s="2">
        <f t="shared" si="12"/>
        <v>0</v>
      </c>
      <c r="AK16" s="2">
        <f t="shared" si="12"/>
        <v>0</v>
      </c>
      <c r="AL16" s="2">
        <f t="shared" si="12"/>
        <v>0</v>
      </c>
      <c r="AM16" s="2">
        <f t="shared" si="12"/>
        <v>0</v>
      </c>
      <c r="AN16" s="2">
        <f t="shared" si="12"/>
        <v>0</v>
      </c>
      <c r="AO16" s="2">
        <f t="shared" si="12"/>
        <v>0</v>
      </c>
      <c r="AP16" s="2">
        <f t="shared" si="12"/>
        <v>0</v>
      </c>
      <c r="AQ16" s="2">
        <f t="shared" si="12"/>
        <v>0</v>
      </c>
      <c r="AR16" s="2">
        <f t="shared" si="12"/>
        <v>0</v>
      </c>
      <c r="AS16" s="2">
        <f t="shared" si="12"/>
        <v>0</v>
      </c>
      <c r="AT16" s="2">
        <f t="shared" si="12"/>
        <v>0</v>
      </c>
      <c r="AU16" s="2">
        <f t="shared" si="12"/>
        <v>0</v>
      </c>
      <c r="AV16" s="2">
        <f t="shared" si="12"/>
        <v>0</v>
      </c>
      <c r="AW16" s="2">
        <f t="shared" si="12"/>
        <v>0</v>
      </c>
      <c r="AX16" s="2">
        <f t="shared" si="12"/>
        <v>0</v>
      </c>
      <c r="AY16" s="2">
        <f t="shared" si="12"/>
        <v>0</v>
      </c>
      <c r="AZ16" s="2">
        <f t="shared" si="12"/>
        <v>0</v>
      </c>
      <c r="BA16" s="2">
        <f t="shared" si="12"/>
        <v>0</v>
      </c>
      <c r="BB16" s="2">
        <f t="shared" si="12"/>
        <v>0</v>
      </c>
      <c r="BC16" s="2">
        <f t="shared" si="12"/>
        <v>0</v>
      </c>
      <c r="BD16" s="2">
        <f t="shared" si="12"/>
        <v>0</v>
      </c>
      <c r="BE16" s="2">
        <f t="shared" si="12"/>
        <v>0</v>
      </c>
      <c r="BF16" s="2">
        <f t="shared" si="12"/>
        <v>0</v>
      </c>
      <c r="BG16" s="2">
        <f t="shared" si="12"/>
        <v>0</v>
      </c>
      <c r="BH16" s="2">
        <f t="shared" si="12"/>
        <v>0</v>
      </c>
      <c r="BI16" s="2">
        <f t="shared" si="12"/>
        <v>0</v>
      </c>
      <c r="BJ16" s="2">
        <f t="shared" si="12"/>
        <v>0</v>
      </c>
      <c r="BK16" s="2">
        <f t="shared" si="12"/>
        <v>0</v>
      </c>
      <c r="BL16" s="2">
        <f t="shared" si="12"/>
        <v>0</v>
      </c>
      <c r="BM16" s="2">
        <f t="shared" si="12"/>
        <v>0</v>
      </c>
      <c r="BN16" s="2">
        <f t="shared" si="12"/>
        <v>0</v>
      </c>
      <c r="BO16" s="2">
        <f t="shared" si="12"/>
        <v>0</v>
      </c>
      <c r="BP16" s="2">
        <f t="shared" si="12"/>
        <v>0</v>
      </c>
      <c r="BQ16" s="2">
        <f t="shared" si="12"/>
        <v>0</v>
      </c>
      <c r="BR16" s="2">
        <f t="shared" si="12"/>
        <v>0</v>
      </c>
      <c r="BS16" s="2">
        <f t="shared" ref="BS16:CD18" si="13">CA263</f>
        <v>0</v>
      </c>
      <c r="BT16" s="2">
        <f t="shared" si="13"/>
        <v>0</v>
      </c>
      <c r="BU16" s="2">
        <f t="shared" si="13"/>
        <v>0</v>
      </c>
      <c r="BV16" s="2">
        <f t="shared" si="13"/>
        <v>0</v>
      </c>
      <c r="BW16" s="2">
        <f t="shared" si="13"/>
        <v>0</v>
      </c>
      <c r="BX16" s="2">
        <f t="shared" si="13"/>
        <v>0</v>
      </c>
      <c r="BY16" s="2">
        <f t="shared" si="13"/>
        <v>0</v>
      </c>
      <c r="BZ16" s="2">
        <f t="shared" si="13"/>
        <v>0</v>
      </c>
      <c r="CA16" s="2">
        <f t="shared" si="13"/>
        <v>0</v>
      </c>
      <c r="CB16" s="2">
        <f t="shared" si="13"/>
        <v>0</v>
      </c>
      <c r="CC16" s="2">
        <f t="shared" si="13"/>
        <v>0</v>
      </c>
      <c r="CD16" s="2">
        <f t="shared" si="13"/>
        <v>0</v>
      </c>
    </row>
    <row r="17" spans="3:82" s="2" customFormat="1" x14ac:dyDescent="0.2">
      <c r="E17" s="2" t="s">
        <v>13</v>
      </c>
      <c r="F17" s="2" t="s">
        <v>7</v>
      </c>
      <c r="G17" s="2">
        <f t="shared" si="9"/>
        <v>1</v>
      </c>
      <c r="H17" s="2">
        <f t="shared" ref="H17:Q18" si="14">P264</f>
        <v>0</v>
      </c>
      <c r="I17" s="2" t="str">
        <f t="shared" si="14"/>
        <v>emission_co2e_co2_entc_mining_and_extraction_me_crude|emission_co2e_co2_entc_mining_and_extraction_me_natural_gas|emission_co2e_co2_entc_nbmass_processing_and_refinement_fp_ammonia_production|emission_co2e_co2_entc_nbmass_processing_and_refinement_fp_hydrogen_electrolysis|emission_co2e_co2_entc_nbmass_processing_and_refinement_fp_hydrogen_gasification|emission_co2e_co2_entc_nbmass_processing_and_refinement_fp_hydrogen_reformation|emission_co2e_co2_entc_nbmass_processing_and_refinement_fp_hydrogen_reformation_ccs|emission_co2e_co2_entc_nbmass_processing_and_refinement_fp_natural_gas|emission_co2e_co2_entc_nbmass_processing_and_refinement_fp_natural_gas_liquefaction</v>
      </c>
      <c r="J17" s="2">
        <f t="shared" si="14"/>
        <v>0</v>
      </c>
      <c r="K17" s="2">
        <f t="shared" si="14"/>
        <v>0</v>
      </c>
      <c r="L17" s="2">
        <f t="shared" si="14"/>
        <v>0</v>
      </c>
      <c r="M17" s="2">
        <f t="shared" si="14"/>
        <v>0</v>
      </c>
      <c r="N17" s="2">
        <f t="shared" si="14"/>
        <v>0</v>
      </c>
      <c r="O17" s="2">
        <f t="shared" si="14"/>
        <v>0</v>
      </c>
      <c r="P17" s="2">
        <f t="shared" si="14"/>
        <v>0</v>
      </c>
      <c r="Q17" s="2">
        <f t="shared" si="14"/>
        <v>0</v>
      </c>
      <c r="R17" s="2">
        <f t="shared" ref="R17:AA18" si="15">Z264</f>
        <v>0</v>
      </c>
      <c r="S17" s="2">
        <f t="shared" si="15"/>
        <v>0</v>
      </c>
      <c r="T17" s="2">
        <f t="shared" si="15"/>
        <v>0</v>
      </c>
      <c r="U17" s="2">
        <f t="shared" si="15"/>
        <v>0</v>
      </c>
      <c r="V17" s="2">
        <f t="shared" si="15"/>
        <v>0</v>
      </c>
      <c r="W17" s="2">
        <f t="shared" si="15"/>
        <v>0</v>
      </c>
      <c r="X17" s="2">
        <f t="shared" si="15"/>
        <v>0</v>
      </c>
      <c r="Y17" s="2">
        <f t="shared" si="15"/>
        <v>0</v>
      </c>
      <c r="Z17" s="2">
        <f t="shared" si="15"/>
        <v>0</v>
      </c>
      <c r="AA17" s="2">
        <f t="shared" si="15"/>
        <v>0</v>
      </c>
      <c r="AB17" s="2">
        <f t="shared" ref="AB17:AK18" si="16">AJ264</f>
        <v>0</v>
      </c>
      <c r="AC17" s="2">
        <f t="shared" si="16"/>
        <v>0</v>
      </c>
      <c r="AD17" s="2">
        <f t="shared" si="16"/>
        <v>0</v>
      </c>
      <c r="AE17" s="2">
        <f t="shared" si="16"/>
        <v>0</v>
      </c>
      <c r="AF17" s="2">
        <f t="shared" si="16"/>
        <v>0</v>
      </c>
      <c r="AG17" s="2">
        <f t="shared" si="16"/>
        <v>0</v>
      </c>
      <c r="AH17" s="2">
        <f t="shared" si="16"/>
        <v>0</v>
      </c>
      <c r="AI17" s="2">
        <f t="shared" si="16"/>
        <v>0</v>
      </c>
      <c r="AJ17" s="2">
        <f t="shared" si="16"/>
        <v>0</v>
      </c>
      <c r="AK17" s="2">
        <f t="shared" si="16"/>
        <v>0</v>
      </c>
      <c r="AL17" s="2">
        <f t="shared" ref="AL17:AU18" si="17">AT264</f>
        <v>0</v>
      </c>
      <c r="AM17" s="2">
        <f t="shared" si="17"/>
        <v>0</v>
      </c>
      <c r="AN17" s="2">
        <f t="shared" si="17"/>
        <v>0</v>
      </c>
      <c r="AO17" s="2">
        <f t="shared" si="17"/>
        <v>0</v>
      </c>
      <c r="AP17" s="2">
        <f t="shared" si="17"/>
        <v>0</v>
      </c>
      <c r="AQ17" s="2">
        <f t="shared" si="17"/>
        <v>0</v>
      </c>
      <c r="AR17" s="2">
        <f t="shared" si="17"/>
        <v>0</v>
      </c>
      <c r="AS17" s="2">
        <f t="shared" si="17"/>
        <v>0</v>
      </c>
      <c r="AT17" s="2">
        <f t="shared" si="17"/>
        <v>0</v>
      </c>
      <c r="AU17" s="2">
        <f t="shared" si="17"/>
        <v>0</v>
      </c>
      <c r="AV17" s="2">
        <f t="shared" ref="AV17:BE18" si="18">BD264</f>
        <v>0</v>
      </c>
      <c r="AW17" s="2">
        <f t="shared" si="18"/>
        <v>0</v>
      </c>
      <c r="AX17" s="2">
        <f t="shared" si="18"/>
        <v>0</v>
      </c>
      <c r="AY17" s="2">
        <f t="shared" si="18"/>
        <v>0</v>
      </c>
      <c r="AZ17" s="2">
        <f t="shared" si="18"/>
        <v>0</v>
      </c>
      <c r="BA17" s="2">
        <f t="shared" si="18"/>
        <v>0</v>
      </c>
      <c r="BB17" s="2">
        <f t="shared" si="18"/>
        <v>0</v>
      </c>
      <c r="BC17" s="2">
        <f t="shared" si="18"/>
        <v>0</v>
      </c>
      <c r="BD17" s="2">
        <f t="shared" si="18"/>
        <v>0</v>
      </c>
      <c r="BE17" s="2">
        <f t="shared" si="18"/>
        <v>0</v>
      </c>
      <c r="BF17" s="2">
        <f t="shared" ref="BF17:BO18" si="19">BN264</f>
        <v>0</v>
      </c>
      <c r="BG17" s="2">
        <f t="shared" si="19"/>
        <v>0</v>
      </c>
      <c r="BH17" s="2">
        <f t="shared" si="19"/>
        <v>0</v>
      </c>
      <c r="BI17" s="2">
        <f t="shared" si="19"/>
        <v>0</v>
      </c>
      <c r="BJ17" s="2">
        <f t="shared" si="19"/>
        <v>0</v>
      </c>
      <c r="BK17" s="2">
        <f t="shared" si="19"/>
        <v>0</v>
      </c>
      <c r="BL17" s="2">
        <f t="shared" si="19"/>
        <v>0</v>
      </c>
      <c r="BM17" s="2">
        <f t="shared" si="19"/>
        <v>0</v>
      </c>
      <c r="BN17" s="2">
        <f t="shared" si="19"/>
        <v>0</v>
      </c>
      <c r="BO17" s="2">
        <f t="shared" si="19"/>
        <v>0</v>
      </c>
      <c r="BP17" s="2">
        <f t="shared" ref="BP17:BY18" si="20">BX264</f>
        <v>0</v>
      </c>
      <c r="BQ17" s="2">
        <f t="shared" si="20"/>
        <v>0</v>
      </c>
      <c r="BR17" s="2">
        <f t="shared" si="20"/>
        <v>0</v>
      </c>
      <c r="BS17" s="2">
        <f t="shared" si="13"/>
        <v>0</v>
      </c>
      <c r="BT17" s="2">
        <f t="shared" si="13"/>
        <v>0</v>
      </c>
      <c r="BU17" s="2">
        <f t="shared" si="13"/>
        <v>0</v>
      </c>
      <c r="BV17" s="2">
        <f t="shared" si="13"/>
        <v>0</v>
      </c>
      <c r="BW17" s="2">
        <f t="shared" si="13"/>
        <v>0</v>
      </c>
      <c r="BX17" s="2">
        <f t="shared" si="13"/>
        <v>0</v>
      </c>
      <c r="BY17" s="2">
        <f t="shared" si="13"/>
        <v>0</v>
      </c>
      <c r="BZ17" s="2">
        <f t="shared" si="13"/>
        <v>0</v>
      </c>
      <c r="CA17" s="2">
        <f t="shared" si="13"/>
        <v>0</v>
      </c>
      <c r="CB17" s="2">
        <f t="shared" si="13"/>
        <v>0</v>
      </c>
      <c r="CC17" s="2">
        <f t="shared" si="13"/>
        <v>0</v>
      </c>
      <c r="CD17" s="2">
        <f t="shared" si="13"/>
        <v>0</v>
      </c>
    </row>
    <row r="18" spans="3:82" s="2" customFormat="1" x14ac:dyDescent="0.2">
      <c r="E18" s="2" t="s">
        <v>13</v>
      </c>
      <c r="F18" s="2" t="s">
        <v>8</v>
      </c>
      <c r="G18" s="2">
        <f t="shared" si="9"/>
        <v>1</v>
      </c>
      <c r="H18" s="2">
        <f t="shared" si="14"/>
        <v>0</v>
      </c>
      <c r="I18" s="2" t="str">
        <f t="shared" si="14"/>
        <v>emission_co2e_n2o_entc_fuel_mining_and_extraction_me_crude|emission_co2e_n2o_entc_fuel_mining_and_extraction_me_natural_gas|emission_co2e_n2o_entc_processing_and_refinement_fp_ammonia_production|emission_co2e_n2o_entc_processing_and_refinement_fp_hydrogen_electrolysis|emission_co2e_n2o_entc_processing_and_refinement_fp_hydrogen_gasification|emission_co2e_n2o_entc_processing_and_refinement_fp_hydrogen_reformation|emission_co2e_n2o_entc_processing_and_refinement_fp_hydrogen_reformation_ccs|emission_co2e_n2o_entc_processing_and_refinement_fp_natural_gas|emission_co2e_n2o_entc_processing_and_refinement_fp_natural_gas_liquefaction</v>
      </c>
      <c r="J18" s="2">
        <f t="shared" si="14"/>
        <v>0</v>
      </c>
      <c r="K18" s="2">
        <f t="shared" si="14"/>
        <v>0</v>
      </c>
      <c r="L18" s="2">
        <f t="shared" si="14"/>
        <v>0</v>
      </c>
      <c r="M18" s="2">
        <f t="shared" si="14"/>
        <v>0</v>
      </c>
      <c r="N18" s="2">
        <f t="shared" si="14"/>
        <v>0</v>
      </c>
      <c r="O18" s="2">
        <f t="shared" si="14"/>
        <v>0</v>
      </c>
      <c r="P18" s="2">
        <f t="shared" si="14"/>
        <v>0</v>
      </c>
      <c r="Q18" s="2">
        <f t="shared" si="14"/>
        <v>0</v>
      </c>
      <c r="R18" s="2">
        <f t="shared" si="15"/>
        <v>0</v>
      </c>
      <c r="S18" s="2">
        <f t="shared" si="15"/>
        <v>0</v>
      </c>
      <c r="T18" s="2">
        <f t="shared" si="15"/>
        <v>0</v>
      </c>
      <c r="U18" s="2">
        <f t="shared" si="15"/>
        <v>0</v>
      </c>
      <c r="V18" s="2">
        <f t="shared" si="15"/>
        <v>0</v>
      </c>
      <c r="W18" s="2">
        <f t="shared" si="15"/>
        <v>0</v>
      </c>
      <c r="X18" s="2">
        <f t="shared" si="15"/>
        <v>0</v>
      </c>
      <c r="Y18" s="2">
        <f t="shared" si="15"/>
        <v>0</v>
      </c>
      <c r="Z18" s="2">
        <f t="shared" si="15"/>
        <v>0</v>
      </c>
      <c r="AA18" s="2">
        <f t="shared" si="15"/>
        <v>0</v>
      </c>
      <c r="AB18" s="2">
        <f t="shared" si="16"/>
        <v>0</v>
      </c>
      <c r="AC18" s="2">
        <f t="shared" si="16"/>
        <v>0</v>
      </c>
      <c r="AD18" s="2">
        <f t="shared" si="16"/>
        <v>0</v>
      </c>
      <c r="AE18" s="2">
        <f t="shared" si="16"/>
        <v>0</v>
      </c>
      <c r="AF18" s="2">
        <f t="shared" si="16"/>
        <v>0</v>
      </c>
      <c r="AG18" s="2">
        <f t="shared" si="16"/>
        <v>0</v>
      </c>
      <c r="AH18" s="2">
        <f t="shared" si="16"/>
        <v>0</v>
      </c>
      <c r="AI18" s="2">
        <f t="shared" si="16"/>
        <v>0</v>
      </c>
      <c r="AJ18" s="2">
        <f t="shared" si="16"/>
        <v>0</v>
      </c>
      <c r="AK18" s="2">
        <f t="shared" si="16"/>
        <v>0</v>
      </c>
      <c r="AL18" s="2">
        <f t="shared" si="17"/>
        <v>0</v>
      </c>
      <c r="AM18" s="2">
        <f t="shared" si="17"/>
        <v>0</v>
      </c>
      <c r="AN18" s="2">
        <f t="shared" si="17"/>
        <v>0</v>
      </c>
      <c r="AO18" s="2">
        <f t="shared" si="17"/>
        <v>0</v>
      </c>
      <c r="AP18" s="2">
        <f t="shared" si="17"/>
        <v>0</v>
      </c>
      <c r="AQ18" s="2">
        <f t="shared" si="17"/>
        <v>0</v>
      </c>
      <c r="AR18" s="2">
        <f t="shared" si="17"/>
        <v>0</v>
      </c>
      <c r="AS18" s="2">
        <f t="shared" si="17"/>
        <v>0</v>
      </c>
      <c r="AT18" s="2">
        <f t="shared" si="17"/>
        <v>0</v>
      </c>
      <c r="AU18" s="2">
        <f t="shared" si="17"/>
        <v>0</v>
      </c>
      <c r="AV18" s="2">
        <f t="shared" si="18"/>
        <v>0</v>
      </c>
      <c r="AW18" s="2">
        <f t="shared" si="18"/>
        <v>0</v>
      </c>
      <c r="AX18" s="2">
        <f t="shared" si="18"/>
        <v>0</v>
      </c>
      <c r="AY18" s="2">
        <f t="shared" si="18"/>
        <v>0</v>
      </c>
      <c r="AZ18" s="2">
        <f t="shared" si="18"/>
        <v>0</v>
      </c>
      <c r="BA18" s="2">
        <f t="shared" si="18"/>
        <v>0</v>
      </c>
      <c r="BB18" s="2">
        <f t="shared" si="18"/>
        <v>0</v>
      </c>
      <c r="BC18" s="2">
        <f t="shared" si="18"/>
        <v>0</v>
      </c>
      <c r="BD18" s="2">
        <f t="shared" si="18"/>
        <v>0</v>
      </c>
      <c r="BE18" s="2">
        <f t="shared" si="18"/>
        <v>0</v>
      </c>
      <c r="BF18" s="2">
        <f t="shared" si="19"/>
        <v>0</v>
      </c>
      <c r="BG18" s="2">
        <f t="shared" si="19"/>
        <v>0</v>
      </c>
      <c r="BH18" s="2">
        <f t="shared" si="19"/>
        <v>0</v>
      </c>
      <c r="BI18" s="2">
        <f t="shared" si="19"/>
        <v>0</v>
      </c>
      <c r="BJ18" s="2">
        <f t="shared" si="19"/>
        <v>0</v>
      </c>
      <c r="BK18" s="2">
        <f t="shared" si="19"/>
        <v>0</v>
      </c>
      <c r="BL18" s="2">
        <f t="shared" si="19"/>
        <v>0</v>
      </c>
      <c r="BM18" s="2">
        <f t="shared" si="19"/>
        <v>0</v>
      </c>
      <c r="BN18" s="2">
        <f t="shared" si="19"/>
        <v>0</v>
      </c>
      <c r="BO18" s="2">
        <f t="shared" si="19"/>
        <v>0</v>
      </c>
      <c r="BP18" s="2">
        <f t="shared" si="20"/>
        <v>0</v>
      </c>
      <c r="BQ18" s="2">
        <f t="shared" si="20"/>
        <v>0</v>
      </c>
      <c r="BR18" s="2">
        <f t="shared" si="20"/>
        <v>0</v>
      </c>
      <c r="BS18" s="2">
        <f t="shared" si="13"/>
        <v>0</v>
      </c>
      <c r="BT18" s="2">
        <f t="shared" si="13"/>
        <v>0</v>
      </c>
      <c r="BU18" s="2">
        <f t="shared" si="13"/>
        <v>0</v>
      </c>
      <c r="BV18" s="2">
        <f t="shared" si="13"/>
        <v>0</v>
      </c>
      <c r="BW18" s="2">
        <f t="shared" si="13"/>
        <v>0</v>
      </c>
      <c r="BX18" s="2">
        <f t="shared" si="13"/>
        <v>0</v>
      </c>
      <c r="BY18" s="2">
        <f t="shared" si="13"/>
        <v>0</v>
      </c>
      <c r="BZ18" s="2">
        <f t="shared" si="13"/>
        <v>0</v>
      </c>
      <c r="CA18" s="2">
        <f t="shared" si="13"/>
        <v>0</v>
      </c>
      <c r="CB18" s="2">
        <f t="shared" si="13"/>
        <v>0</v>
      </c>
      <c r="CC18" s="2">
        <f t="shared" si="13"/>
        <v>0</v>
      </c>
      <c r="CD18" s="2">
        <f t="shared" si="13"/>
        <v>0</v>
      </c>
    </row>
    <row r="19" spans="3:82" s="3" customFormat="1" x14ac:dyDescent="0.2">
      <c r="C19" s="3" t="s">
        <v>14</v>
      </c>
      <c r="G19" s="3">
        <f>SUM(G20:G46)</f>
        <v>27</v>
      </c>
      <c r="H19" s="3">
        <f t="shared" ref="H19:BS19" si="21">SUM(H20:H46)</f>
        <v>0</v>
      </c>
      <c r="I19" s="3">
        <f t="shared" si="21"/>
        <v>0</v>
      </c>
      <c r="J19" s="3">
        <f t="shared" si="21"/>
        <v>0</v>
      </c>
      <c r="K19" s="3">
        <f t="shared" si="21"/>
        <v>178.32830000000001</v>
      </c>
      <c r="L19" s="3">
        <f t="shared" si="21"/>
        <v>178.32830000000001</v>
      </c>
      <c r="M19" s="3">
        <f t="shared" si="21"/>
        <v>215.74459999999999</v>
      </c>
      <c r="N19" s="3">
        <f t="shared" si="21"/>
        <v>247.8913</v>
      </c>
      <c r="O19" s="3">
        <f t="shared" si="21"/>
        <v>200.69239999999999</v>
      </c>
      <c r="P19" s="3">
        <f t="shared" si="21"/>
        <v>182.5872</v>
      </c>
      <c r="Q19" s="3">
        <f t="shared" si="21"/>
        <v>232.91160000000002</v>
      </c>
      <c r="R19" s="3">
        <f t="shared" si="21"/>
        <v>195.71879999999999</v>
      </c>
      <c r="S19" s="3">
        <f t="shared" si="21"/>
        <v>241.89959999999999</v>
      </c>
      <c r="T19" s="3">
        <f t="shared" si="21"/>
        <v>286.52640000000002</v>
      </c>
      <c r="U19" s="3">
        <f t="shared" si="21"/>
        <v>276.08629999999999</v>
      </c>
      <c r="V19" s="3">
        <f t="shared" si="21"/>
        <v>300.14410000000004</v>
      </c>
      <c r="W19" s="3">
        <f t="shared" si="21"/>
        <v>274.57400000000001</v>
      </c>
      <c r="X19" s="3">
        <f t="shared" si="21"/>
        <v>287.9452</v>
      </c>
      <c r="Y19" s="3">
        <f t="shared" si="21"/>
        <v>902.73049999999989</v>
      </c>
      <c r="Z19" s="3">
        <f t="shared" si="21"/>
        <v>470.26329999999996</v>
      </c>
      <c r="AA19" s="3">
        <f t="shared" si="21"/>
        <v>335.42679999999996</v>
      </c>
      <c r="AB19" s="3">
        <f t="shared" si="21"/>
        <v>577.16989999999998</v>
      </c>
      <c r="AC19" s="3">
        <f t="shared" si="21"/>
        <v>760.21640000000002</v>
      </c>
      <c r="AD19" s="3">
        <f t="shared" si="21"/>
        <v>848.33829999999989</v>
      </c>
      <c r="AE19" s="3">
        <f t="shared" si="21"/>
        <v>1224.2185999999999</v>
      </c>
      <c r="AF19" s="3">
        <f t="shared" si="21"/>
        <v>1130.4217000000001</v>
      </c>
      <c r="AG19" s="3">
        <f t="shared" si="21"/>
        <v>1061.1030000000001</v>
      </c>
      <c r="AH19" s="3">
        <f t="shared" si="21"/>
        <v>1073.4893999999999</v>
      </c>
      <c r="AI19" s="3">
        <f t="shared" si="21"/>
        <v>2974.4416999999999</v>
      </c>
      <c r="AJ19" s="3">
        <f t="shared" si="21"/>
        <v>3179.3836158858467</v>
      </c>
      <c r="AK19" s="3">
        <f t="shared" si="21"/>
        <v>3137.6121963237028</v>
      </c>
      <c r="AL19" s="3">
        <f t="shared" si="21"/>
        <v>3258.2287767105358</v>
      </c>
      <c r="AM19" s="3">
        <f t="shared" si="21"/>
        <v>3382.0387607959424</v>
      </c>
      <c r="AN19" s="3">
        <f t="shared" si="21"/>
        <v>3432.0172095005673</v>
      </c>
      <c r="AO19" s="3">
        <f t="shared" si="21"/>
        <v>3487.163382035561</v>
      </c>
      <c r="AP19" s="3">
        <f t="shared" si="21"/>
        <v>3549.8147330943248</v>
      </c>
      <c r="AQ19" s="3">
        <f t="shared" si="21"/>
        <v>3689.4244052786435</v>
      </c>
      <c r="AR19" s="3">
        <f t="shared" si="21"/>
        <v>3866.2035813990315</v>
      </c>
      <c r="AS19" s="3">
        <f t="shared" si="21"/>
        <v>4091.3028833403791</v>
      </c>
      <c r="AT19" s="3">
        <f t="shared" si="21"/>
        <v>4378.4642531818445</v>
      </c>
      <c r="AU19" s="3">
        <f t="shared" si="21"/>
        <v>4731.1691608237006</v>
      </c>
      <c r="AV19" s="3">
        <f t="shared" si="21"/>
        <v>5187.7163181575961</v>
      </c>
      <c r="AW19" s="3">
        <f t="shared" si="21"/>
        <v>5767.4087220723568</v>
      </c>
      <c r="AX19" s="3">
        <f t="shared" si="21"/>
        <v>6477.232578259318</v>
      </c>
      <c r="AY19" s="3">
        <f t="shared" si="21"/>
        <v>7302.9593633078002</v>
      </c>
      <c r="AZ19" s="3">
        <f t="shared" si="21"/>
        <v>8206.7707427257319</v>
      </c>
      <c r="BA19" s="3">
        <f t="shared" si="21"/>
        <v>9136.4713365402986</v>
      </c>
      <c r="BB19" s="3">
        <f t="shared" si="21"/>
        <v>10042.544426531464</v>
      </c>
      <c r="BC19" s="3">
        <f t="shared" si="21"/>
        <v>10892.547436229939</v>
      </c>
      <c r="BD19" s="3">
        <f t="shared" si="21"/>
        <v>11652.376568477761</v>
      </c>
      <c r="BE19" s="3">
        <f t="shared" si="21"/>
        <v>12320.577929921763</v>
      </c>
      <c r="BF19" s="3">
        <f t="shared" si="21"/>
        <v>12905.926629246163</v>
      </c>
      <c r="BG19" s="3">
        <f t="shared" si="21"/>
        <v>13418.429973887325</v>
      </c>
      <c r="BH19" s="3">
        <f t="shared" si="21"/>
        <v>13870.55516462414</v>
      </c>
      <c r="BI19" s="3">
        <f t="shared" si="21"/>
        <v>14268.77037043866</v>
      </c>
      <c r="BJ19" s="3">
        <f t="shared" si="21"/>
        <v>14565.274940876381</v>
      </c>
      <c r="BK19" s="3">
        <f t="shared" si="21"/>
        <v>14860.086047555902</v>
      </c>
      <c r="BL19" s="3">
        <f t="shared" si="21"/>
        <v>15151.807961679267</v>
      </c>
      <c r="BM19" s="3">
        <f t="shared" si="21"/>
        <v>15439.038912221436</v>
      </c>
      <c r="BN19" s="3">
        <f t="shared" si="21"/>
        <v>15720.331350638675</v>
      </c>
      <c r="BO19" s="3">
        <f t="shared" si="21"/>
        <v>15994.212160087098</v>
      </c>
      <c r="BP19" s="3">
        <f t="shared" si="21"/>
        <v>16259.209907071281</v>
      </c>
      <c r="BQ19" s="3">
        <f t="shared" si="21"/>
        <v>16513.863269649253</v>
      </c>
      <c r="BR19" s="3">
        <f t="shared" si="21"/>
        <v>16756.752680720008</v>
      </c>
      <c r="BS19" s="3">
        <f t="shared" si="21"/>
        <v>16986.476867658115</v>
      </c>
      <c r="BT19" s="3">
        <f t="shared" ref="BT19:CD19" si="22">SUM(BT20:BT46)</f>
        <v>17201.648425514013</v>
      </c>
      <c r="BU19" s="3">
        <f t="shared" si="22"/>
        <v>17422.437710969814</v>
      </c>
      <c r="BV19" s="3">
        <f t="shared" si="22"/>
        <v>17648.947759289582</v>
      </c>
      <c r="BW19" s="3">
        <f t="shared" si="22"/>
        <v>17881.300967296247</v>
      </c>
      <c r="BX19" s="3">
        <f t="shared" si="22"/>
        <v>18119.626326556358</v>
      </c>
      <c r="BY19" s="3">
        <f t="shared" si="22"/>
        <v>18364.002474313987</v>
      </c>
      <c r="BZ19" s="3">
        <f t="shared" si="22"/>
        <v>18614.536754227989</v>
      </c>
      <c r="CA19" s="3">
        <f t="shared" si="22"/>
        <v>18871.38812286692</v>
      </c>
      <c r="CB19" s="3">
        <f t="shared" si="22"/>
        <v>19134.66678033811</v>
      </c>
      <c r="CC19" s="3">
        <f t="shared" si="22"/>
        <v>19404.507435264077</v>
      </c>
      <c r="CD19" s="3">
        <f t="shared" si="22"/>
        <v>19681.037845667426</v>
      </c>
    </row>
    <row r="20" spans="3:82" s="2" customFormat="1" x14ac:dyDescent="0.2">
      <c r="D20" s="2" t="s">
        <v>15</v>
      </c>
      <c r="F20" s="2" t="s">
        <v>6</v>
      </c>
      <c r="G20" s="2">
        <f t="shared" ref="G20:G46" si="23">O266</f>
        <v>1</v>
      </c>
      <c r="H20" s="2">
        <f t="shared" ref="H20:BS21" si="24">P266</f>
        <v>0</v>
      </c>
      <c r="I20" s="2" t="str">
        <f t="shared" si="24"/>
        <v>emission_co2e_ch4_inen_metals</v>
      </c>
      <c r="J20" s="2">
        <f t="shared" si="24"/>
        <v>0</v>
      </c>
      <c r="K20" s="2">
        <f t="shared" si="24"/>
        <v>0</v>
      </c>
      <c r="L20" s="2">
        <f t="shared" si="24"/>
        <v>0</v>
      </c>
      <c r="M20" s="2">
        <f t="shared" si="24"/>
        <v>0</v>
      </c>
      <c r="N20" s="2">
        <f t="shared" si="24"/>
        <v>0</v>
      </c>
      <c r="O20" s="2">
        <f t="shared" si="24"/>
        <v>0</v>
      </c>
      <c r="P20" s="2">
        <f t="shared" si="24"/>
        <v>0</v>
      </c>
      <c r="Q20" s="2">
        <f t="shared" si="24"/>
        <v>0</v>
      </c>
      <c r="R20" s="2">
        <f t="shared" si="24"/>
        <v>0</v>
      </c>
      <c r="S20" s="2">
        <f t="shared" si="24"/>
        <v>0</v>
      </c>
      <c r="T20" s="2">
        <f t="shared" si="24"/>
        <v>0</v>
      </c>
      <c r="U20" s="2">
        <f t="shared" si="24"/>
        <v>0</v>
      </c>
      <c r="V20" s="2">
        <f t="shared" si="24"/>
        <v>0</v>
      </c>
      <c r="W20" s="2">
        <f t="shared" si="24"/>
        <v>0</v>
      </c>
      <c r="X20" s="2">
        <f t="shared" si="24"/>
        <v>0</v>
      </c>
      <c r="Y20" s="2">
        <f t="shared" si="24"/>
        <v>0</v>
      </c>
      <c r="Z20" s="2">
        <f t="shared" si="24"/>
        <v>0</v>
      </c>
      <c r="AA20" s="2">
        <f t="shared" si="24"/>
        <v>0</v>
      </c>
      <c r="AB20" s="2">
        <f t="shared" si="24"/>
        <v>0</v>
      </c>
      <c r="AC20" s="2">
        <f t="shared" si="24"/>
        <v>0</v>
      </c>
      <c r="AD20" s="2">
        <f t="shared" si="24"/>
        <v>0</v>
      </c>
      <c r="AE20" s="2">
        <f t="shared" si="24"/>
        <v>0</v>
      </c>
      <c r="AF20" s="2">
        <f t="shared" si="24"/>
        <v>0</v>
      </c>
      <c r="AG20" s="2">
        <f t="shared" si="24"/>
        <v>0</v>
      </c>
      <c r="AH20" s="2">
        <f t="shared" si="24"/>
        <v>0</v>
      </c>
      <c r="AI20" s="2">
        <f t="shared" si="24"/>
        <v>0</v>
      </c>
      <c r="AJ20" s="2">
        <f t="shared" si="24"/>
        <v>0</v>
      </c>
      <c r="AK20" s="2">
        <f t="shared" si="24"/>
        <v>0</v>
      </c>
      <c r="AL20" s="2">
        <f t="shared" si="24"/>
        <v>0</v>
      </c>
      <c r="AM20" s="2">
        <f t="shared" si="24"/>
        <v>0</v>
      </c>
      <c r="AN20" s="2">
        <f t="shared" si="24"/>
        <v>0</v>
      </c>
      <c r="AO20" s="2">
        <f t="shared" si="24"/>
        <v>0</v>
      </c>
      <c r="AP20" s="2">
        <f t="shared" si="24"/>
        <v>0</v>
      </c>
      <c r="AQ20" s="2">
        <f t="shared" si="24"/>
        <v>0</v>
      </c>
      <c r="AR20" s="2">
        <f t="shared" si="24"/>
        <v>0</v>
      </c>
      <c r="AS20" s="2">
        <f t="shared" si="24"/>
        <v>0</v>
      </c>
      <c r="AT20" s="2">
        <f t="shared" si="24"/>
        <v>0</v>
      </c>
      <c r="AU20" s="2">
        <f t="shared" si="24"/>
        <v>0</v>
      </c>
      <c r="AV20" s="2">
        <f t="shared" si="24"/>
        <v>0</v>
      </c>
      <c r="AW20" s="2">
        <f t="shared" si="24"/>
        <v>0</v>
      </c>
      <c r="AX20" s="2">
        <f t="shared" si="24"/>
        <v>0</v>
      </c>
      <c r="AY20" s="2">
        <f t="shared" si="24"/>
        <v>0</v>
      </c>
      <c r="AZ20" s="2">
        <f t="shared" si="24"/>
        <v>0</v>
      </c>
      <c r="BA20" s="2">
        <f t="shared" si="24"/>
        <v>0</v>
      </c>
      <c r="BB20" s="2">
        <f t="shared" si="24"/>
        <v>0</v>
      </c>
      <c r="BC20" s="2">
        <f t="shared" si="24"/>
        <v>0</v>
      </c>
      <c r="BD20" s="2">
        <f t="shared" si="24"/>
        <v>0</v>
      </c>
      <c r="BE20" s="2">
        <f t="shared" si="24"/>
        <v>0</v>
      </c>
      <c r="BF20" s="2">
        <f t="shared" si="24"/>
        <v>0</v>
      </c>
      <c r="BG20" s="2">
        <f t="shared" si="24"/>
        <v>0</v>
      </c>
      <c r="BH20" s="2">
        <f t="shared" si="24"/>
        <v>0</v>
      </c>
      <c r="BI20" s="2">
        <f t="shared" si="24"/>
        <v>0</v>
      </c>
      <c r="BJ20" s="2">
        <f t="shared" si="24"/>
        <v>0</v>
      </c>
      <c r="BK20" s="2">
        <f t="shared" si="24"/>
        <v>0</v>
      </c>
      <c r="BL20" s="2">
        <f t="shared" si="24"/>
        <v>0</v>
      </c>
      <c r="BM20" s="2">
        <f t="shared" si="24"/>
        <v>0</v>
      </c>
      <c r="BN20" s="2">
        <f t="shared" si="24"/>
        <v>0</v>
      </c>
      <c r="BO20" s="2">
        <f t="shared" si="24"/>
        <v>0</v>
      </c>
      <c r="BP20" s="2">
        <f t="shared" si="24"/>
        <v>0</v>
      </c>
      <c r="BQ20" s="2">
        <f t="shared" si="24"/>
        <v>0</v>
      </c>
      <c r="BR20" s="2">
        <f t="shared" si="24"/>
        <v>0</v>
      </c>
      <c r="BS20" s="2">
        <f t="shared" si="24"/>
        <v>0</v>
      </c>
      <c r="BT20" s="2">
        <f t="shared" ref="BT20:CD20" si="25">CB266</f>
        <v>0</v>
      </c>
      <c r="BU20" s="2">
        <f t="shared" si="25"/>
        <v>0</v>
      </c>
      <c r="BV20" s="2">
        <f t="shared" si="25"/>
        <v>0</v>
      </c>
      <c r="BW20" s="2">
        <f t="shared" si="25"/>
        <v>0</v>
      </c>
      <c r="BX20" s="2">
        <f t="shared" si="25"/>
        <v>0</v>
      </c>
      <c r="BY20" s="2">
        <f t="shared" si="25"/>
        <v>0</v>
      </c>
      <c r="BZ20" s="2">
        <f t="shared" si="25"/>
        <v>0</v>
      </c>
      <c r="CA20" s="2">
        <f t="shared" si="25"/>
        <v>0</v>
      </c>
      <c r="CB20" s="2">
        <f t="shared" si="25"/>
        <v>0</v>
      </c>
      <c r="CC20" s="2">
        <f t="shared" si="25"/>
        <v>0</v>
      </c>
      <c r="CD20" s="2">
        <f t="shared" si="25"/>
        <v>0</v>
      </c>
    </row>
    <row r="21" spans="3:82" s="2" customFormat="1" x14ac:dyDescent="0.2">
      <c r="D21" s="2" t="s">
        <v>15</v>
      </c>
      <c r="F21" s="2" t="s">
        <v>7</v>
      </c>
      <c r="G21" s="2">
        <f t="shared" si="23"/>
        <v>1</v>
      </c>
      <c r="H21" s="2">
        <f t="shared" si="24"/>
        <v>0</v>
      </c>
      <c r="I21" s="2" t="str">
        <f t="shared" si="24"/>
        <v>emission_co2e_co2_inen_nbmass_metals</v>
      </c>
      <c r="J21" s="2">
        <f t="shared" si="24"/>
        <v>0</v>
      </c>
      <c r="K21" s="2">
        <f t="shared" si="24"/>
        <v>0</v>
      </c>
      <c r="L21" s="2">
        <f t="shared" si="24"/>
        <v>0</v>
      </c>
      <c r="M21" s="2">
        <f t="shared" si="24"/>
        <v>0</v>
      </c>
      <c r="N21" s="2">
        <f t="shared" si="24"/>
        <v>0</v>
      </c>
      <c r="O21" s="2">
        <f t="shared" si="24"/>
        <v>0</v>
      </c>
      <c r="P21" s="2">
        <f t="shared" si="24"/>
        <v>0</v>
      </c>
      <c r="Q21" s="2">
        <f t="shared" si="24"/>
        <v>0</v>
      </c>
      <c r="R21" s="2">
        <f t="shared" si="24"/>
        <v>0</v>
      </c>
      <c r="S21" s="2">
        <f t="shared" si="24"/>
        <v>0</v>
      </c>
      <c r="T21" s="2">
        <f t="shared" si="24"/>
        <v>0</v>
      </c>
      <c r="U21" s="2">
        <f t="shared" si="24"/>
        <v>0</v>
      </c>
      <c r="V21" s="2">
        <f t="shared" si="24"/>
        <v>0</v>
      </c>
      <c r="W21" s="2">
        <f t="shared" si="24"/>
        <v>0</v>
      </c>
      <c r="X21" s="2">
        <f t="shared" si="24"/>
        <v>0</v>
      </c>
      <c r="Y21" s="2">
        <f t="shared" si="24"/>
        <v>0</v>
      </c>
      <c r="Z21" s="2">
        <f t="shared" si="24"/>
        <v>0</v>
      </c>
      <c r="AA21" s="2">
        <f t="shared" si="24"/>
        <v>0</v>
      </c>
      <c r="AB21" s="2">
        <f t="shared" si="24"/>
        <v>0</v>
      </c>
      <c r="AC21" s="2">
        <f t="shared" si="24"/>
        <v>0</v>
      </c>
      <c r="AD21" s="2">
        <f t="shared" si="24"/>
        <v>0</v>
      </c>
      <c r="AE21" s="2">
        <f t="shared" si="24"/>
        <v>0</v>
      </c>
      <c r="AF21" s="2">
        <f t="shared" si="24"/>
        <v>0</v>
      </c>
      <c r="AG21" s="2">
        <f t="shared" si="24"/>
        <v>0</v>
      </c>
      <c r="AH21" s="2">
        <f t="shared" si="24"/>
        <v>0</v>
      </c>
      <c r="AI21" s="2">
        <f t="shared" si="24"/>
        <v>0</v>
      </c>
      <c r="AJ21" s="2">
        <f t="shared" si="24"/>
        <v>0</v>
      </c>
      <c r="AK21" s="2">
        <f t="shared" si="24"/>
        <v>0</v>
      </c>
      <c r="AL21" s="2">
        <f t="shared" si="24"/>
        <v>0</v>
      </c>
      <c r="AM21" s="2">
        <f t="shared" si="24"/>
        <v>0</v>
      </c>
      <c r="AN21" s="2">
        <f t="shared" si="24"/>
        <v>0</v>
      </c>
      <c r="AO21" s="2">
        <f t="shared" si="24"/>
        <v>0</v>
      </c>
      <c r="AP21" s="2">
        <f t="shared" si="24"/>
        <v>0</v>
      </c>
      <c r="AQ21" s="2">
        <f t="shared" si="24"/>
        <v>0</v>
      </c>
      <c r="AR21" s="2">
        <f t="shared" si="24"/>
        <v>0</v>
      </c>
      <c r="AS21" s="2">
        <f t="shared" si="24"/>
        <v>0</v>
      </c>
      <c r="AT21" s="2">
        <f t="shared" si="24"/>
        <v>0</v>
      </c>
      <c r="AU21" s="2">
        <f t="shared" si="24"/>
        <v>0</v>
      </c>
      <c r="AV21" s="2">
        <f t="shared" si="24"/>
        <v>0</v>
      </c>
      <c r="AW21" s="2">
        <f t="shared" si="24"/>
        <v>0</v>
      </c>
      <c r="AX21" s="2">
        <f t="shared" si="24"/>
        <v>0</v>
      </c>
      <c r="AY21" s="2">
        <f t="shared" si="24"/>
        <v>0</v>
      </c>
      <c r="AZ21" s="2">
        <f t="shared" si="24"/>
        <v>0</v>
      </c>
      <c r="BA21" s="2">
        <f t="shared" si="24"/>
        <v>0</v>
      </c>
      <c r="BB21" s="2">
        <f t="shared" si="24"/>
        <v>0</v>
      </c>
      <c r="BC21" s="2">
        <f t="shared" si="24"/>
        <v>0</v>
      </c>
      <c r="BD21" s="2">
        <f t="shared" si="24"/>
        <v>0</v>
      </c>
      <c r="BE21" s="2">
        <f t="shared" si="24"/>
        <v>0</v>
      </c>
      <c r="BF21" s="2">
        <f t="shared" si="24"/>
        <v>0</v>
      </c>
      <c r="BG21" s="2">
        <f t="shared" si="24"/>
        <v>0</v>
      </c>
      <c r="BH21" s="2">
        <f t="shared" si="24"/>
        <v>0</v>
      </c>
      <c r="BI21" s="2">
        <f t="shared" si="24"/>
        <v>0</v>
      </c>
      <c r="BJ21" s="2">
        <f t="shared" si="24"/>
        <v>0</v>
      </c>
      <c r="BK21" s="2">
        <f t="shared" si="24"/>
        <v>0</v>
      </c>
      <c r="BL21" s="2">
        <f t="shared" si="24"/>
        <v>0</v>
      </c>
      <c r="BM21" s="2">
        <f t="shared" si="24"/>
        <v>0</v>
      </c>
      <c r="BN21" s="2">
        <f t="shared" si="24"/>
        <v>0</v>
      </c>
      <c r="BO21" s="2">
        <f t="shared" si="24"/>
        <v>0</v>
      </c>
      <c r="BP21" s="2">
        <f t="shared" si="24"/>
        <v>0</v>
      </c>
      <c r="BQ21" s="2">
        <f t="shared" si="24"/>
        <v>0</v>
      </c>
      <c r="BR21" s="2">
        <f t="shared" si="24"/>
        <v>0</v>
      </c>
      <c r="BS21" s="2">
        <f t="shared" ref="BS21:CD24" si="26">CA267</f>
        <v>0</v>
      </c>
      <c r="BT21" s="2">
        <f t="shared" si="26"/>
        <v>0</v>
      </c>
      <c r="BU21" s="2">
        <f t="shared" si="26"/>
        <v>0</v>
      </c>
      <c r="BV21" s="2">
        <f t="shared" si="26"/>
        <v>0</v>
      </c>
      <c r="BW21" s="2">
        <f t="shared" si="26"/>
        <v>0</v>
      </c>
      <c r="BX21" s="2">
        <f t="shared" si="26"/>
        <v>0</v>
      </c>
      <c r="BY21" s="2">
        <f t="shared" si="26"/>
        <v>0</v>
      </c>
      <c r="BZ21" s="2">
        <f t="shared" si="26"/>
        <v>0</v>
      </c>
      <c r="CA21" s="2">
        <f t="shared" si="26"/>
        <v>0</v>
      </c>
      <c r="CB21" s="2">
        <f t="shared" si="26"/>
        <v>0</v>
      </c>
      <c r="CC21" s="2">
        <f t="shared" si="26"/>
        <v>0</v>
      </c>
      <c r="CD21" s="2">
        <f t="shared" si="26"/>
        <v>0</v>
      </c>
    </row>
    <row r="22" spans="3:82" s="2" customFormat="1" x14ac:dyDescent="0.2">
      <c r="D22" s="2" t="s">
        <v>15</v>
      </c>
      <c r="F22" s="2" t="s">
        <v>8</v>
      </c>
      <c r="G22" s="2">
        <f t="shared" si="23"/>
        <v>1</v>
      </c>
      <c r="H22" s="2">
        <f t="shared" ref="H22:BS25" si="27">P268</f>
        <v>0</v>
      </c>
      <c r="I22" s="2" t="str">
        <f t="shared" si="27"/>
        <v>emission_co2e_n2o_inen_metals</v>
      </c>
      <c r="J22" s="2">
        <f t="shared" si="27"/>
        <v>0</v>
      </c>
      <c r="K22" s="2">
        <f t="shared" si="27"/>
        <v>0</v>
      </c>
      <c r="L22" s="2">
        <f t="shared" si="27"/>
        <v>0</v>
      </c>
      <c r="M22" s="2">
        <f t="shared" si="27"/>
        <v>0</v>
      </c>
      <c r="N22" s="2">
        <f t="shared" si="27"/>
        <v>0</v>
      </c>
      <c r="O22" s="2">
        <f t="shared" si="27"/>
        <v>0</v>
      </c>
      <c r="P22" s="2">
        <f t="shared" si="27"/>
        <v>0</v>
      </c>
      <c r="Q22" s="2">
        <f t="shared" si="27"/>
        <v>0</v>
      </c>
      <c r="R22" s="2">
        <f t="shared" si="27"/>
        <v>0</v>
      </c>
      <c r="S22" s="2">
        <f t="shared" si="27"/>
        <v>0</v>
      </c>
      <c r="T22" s="2">
        <f t="shared" si="27"/>
        <v>0</v>
      </c>
      <c r="U22" s="2">
        <f t="shared" si="27"/>
        <v>0</v>
      </c>
      <c r="V22" s="2">
        <f t="shared" si="27"/>
        <v>0</v>
      </c>
      <c r="W22" s="2">
        <f t="shared" si="27"/>
        <v>0</v>
      </c>
      <c r="X22" s="2">
        <f t="shared" si="27"/>
        <v>0</v>
      </c>
      <c r="Y22" s="2">
        <f t="shared" si="27"/>
        <v>0</v>
      </c>
      <c r="Z22" s="2">
        <f t="shared" si="27"/>
        <v>0</v>
      </c>
      <c r="AA22" s="2">
        <f t="shared" si="27"/>
        <v>0</v>
      </c>
      <c r="AB22" s="2">
        <f t="shared" si="27"/>
        <v>0</v>
      </c>
      <c r="AC22" s="2">
        <f t="shared" si="27"/>
        <v>0</v>
      </c>
      <c r="AD22" s="2">
        <f t="shared" si="27"/>
        <v>0</v>
      </c>
      <c r="AE22" s="2">
        <f t="shared" si="27"/>
        <v>0</v>
      </c>
      <c r="AF22" s="2">
        <f t="shared" si="27"/>
        <v>0</v>
      </c>
      <c r="AG22" s="2">
        <f t="shared" si="27"/>
        <v>0</v>
      </c>
      <c r="AH22" s="2">
        <f t="shared" si="27"/>
        <v>0</v>
      </c>
      <c r="AI22" s="2">
        <f t="shared" si="27"/>
        <v>0</v>
      </c>
      <c r="AJ22" s="2">
        <f t="shared" si="27"/>
        <v>0</v>
      </c>
      <c r="AK22" s="2">
        <f t="shared" si="27"/>
        <v>0</v>
      </c>
      <c r="AL22" s="2">
        <f t="shared" si="27"/>
        <v>0</v>
      </c>
      <c r="AM22" s="2">
        <f t="shared" si="27"/>
        <v>0</v>
      </c>
      <c r="AN22" s="2">
        <f t="shared" si="27"/>
        <v>0</v>
      </c>
      <c r="AO22" s="2">
        <f t="shared" si="27"/>
        <v>0</v>
      </c>
      <c r="AP22" s="2">
        <f t="shared" si="27"/>
        <v>0</v>
      </c>
      <c r="AQ22" s="2">
        <f t="shared" si="27"/>
        <v>0</v>
      </c>
      <c r="AR22" s="2">
        <f t="shared" si="27"/>
        <v>0</v>
      </c>
      <c r="AS22" s="2">
        <f t="shared" si="27"/>
        <v>0</v>
      </c>
      <c r="AT22" s="2">
        <f t="shared" si="27"/>
        <v>0</v>
      </c>
      <c r="AU22" s="2">
        <f t="shared" si="27"/>
        <v>0</v>
      </c>
      <c r="AV22" s="2">
        <f t="shared" si="27"/>
        <v>0</v>
      </c>
      <c r="AW22" s="2">
        <f t="shared" si="27"/>
        <v>0</v>
      </c>
      <c r="AX22" s="2">
        <f t="shared" si="27"/>
        <v>0</v>
      </c>
      <c r="AY22" s="2">
        <f t="shared" si="27"/>
        <v>0</v>
      </c>
      <c r="AZ22" s="2">
        <f t="shared" si="27"/>
        <v>0</v>
      </c>
      <c r="BA22" s="2">
        <f t="shared" si="27"/>
        <v>0</v>
      </c>
      <c r="BB22" s="2">
        <f t="shared" si="27"/>
        <v>0</v>
      </c>
      <c r="BC22" s="2">
        <f t="shared" si="27"/>
        <v>0</v>
      </c>
      <c r="BD22" s="2">
        <f t="shared" si="27"/>
        <v>0</v>
      </c>
      <c r="BE22" s="2">
        <f t="shared" si="27"/>
        <v>0</v>
      </c>
      <c r="BF22" s="2">
        <f t="shared" si="27"/>
        <v>0</v>
      </c>
      <c r="BG22" s="2">
        <f t="shared" si="27"/>
        <v>0</v>
      </c>
      <c r="BH22" s="2">
        <f t="shared" si="27"/>
        <v>0</v>
      </c>
      <c r="BI22" s="2">
        <f t="shared" si="27"/>
        <v>0</v>
      </c>
      <c r="BJ22" s="2">
        <f t="shared" si="27"/>
        <v>0</v>
      </c>
      <c r="BK22" s="2">
        <f t="shared" si="27"/>
        <v>0</v>
      </c>
      <c r="BL22" s="2">
        <f t="shared" si="27"/>
        <v>0</v>
      </c>
      <c r="BM22" s="2">
        <f t="shared" si="27"/>
        <v>0</v>
      </c>
      <c r="BN22" s="2">
        <f t="shared" si="27"/>
        <v>0</v>
      </c>
      <c r="BO22" s="2">
        <f t="shared" si="27"/>
        <v>0</v>
      </c>
      <c r="BP22" s="2">
        <f t="shared" si="27"/>
        <v>0</v>
      </c>
      <c r="BQ22" s="2">
        <f t="shared" si="27"/>
        <v>0</v>
      </c>
      <c r="BR22" s="2">
        <f t="shared" si="27"/>
        <v>0</v>
      </c>
      <c r="BS22" s="2">
        <f t="shared" si="27"/>
        <v>0</v>
      </c>
      <c r="BT22" s="2">
        <f t="shared" si="26"/>
        <v>0</v>
      </c>
      <c r="BU22" s="2">
        <f t="shared" si="26"/>
        <v>0</v>
      </c>
      <c r="BV22" s="2">
        <f t="shared" si="26"/>
        <v>0</v>
      </c>
      <c r="BW22" s="2">
        <f t="shared" si="26"/>
        <v>0</v>
      </c>
      <c r="BX22" s="2">
        <f t="shared" si="26"/>
        <v>0</v>
      </c>
      <c r="BY22" s="2">
        <f t="shared" si="26"/>
        <v>0</v>
      </c>
      <c r="BZ22" s="2">
        <f t="shared" si="26"/>
        <v>0</v>
      </c>
      <c r="CA22" s="2">
        <f t="shared" si="26"/>
        <v>0</v>
      </c>
      <c r="CB22" s="2">
        <f t="shared" si="26"/>
        <v>0</v>
      </c>
      <c r="CC22" s="2">
        <f t="shared" si="26"/>
        <v>0</v>
      </c>
      <c r="CD22" s="2">
        <f t="shared" si="26"/>
        <v>0</v>
      </c>
    </row>
    <row r="23" spans="3:82" s="2" customFormat="1" x14ac:dyDescent="0.2">
      <c r="D23" s="2" t="s">
        <v>17</v>
      </c>
      <c r="F23" s="2" t="s">
        <v>6</v>
      </c>
      <c r="G23" s="2">
        <f t="shared" si="23"/>
        <v>1</v>
      </c>
      <c r="H23" s="2">
        <f t="shared" si="27"/>
        <v>0</v>
      </c>
      <c r="I23" s="2" t="str">
        <f t="shared" si="27"/>
        <v>emission_co2e_ch4_inen_chemicals|emission_co2e_ch4_inen_plastic</v>
      </c>
      <c r="J23" s="2">
        <f t="shared" si="27"/>
        <v>0</v>
      </c>
      <c r="K23" s="2">
        <f t="shared" si="27"/>
        <v>0</v>
      </c>
      <c r="L23" s="2">
        <f t="shared" si="27"/>
        <v>0</v>
      </c>
      <c r="M23" s="2">
        <f t="shared" si="27"/>
        <v>0</v>
      </c>
      <c r="N23" s="2">
        <f t="shared" si="27"/>
        <v>0</v>
      </c>
      <c r="O23" s="2">
        <f t="shared" si="27"/>
        <v>0</v>
      </c>
      <c r="P23" s="2">
        <f t="shared" si="27"/>
        <v>0</v>
      </c>
      <c r="Q23" s="2">
        <f t="shared" si="27"/>
        <v>0</v>
      </c>
      <c r="R23" s="2">
        <f t="shared" si="27"/>
        <v>0</v>
      </c>
      <c r="S23" s="2">
        <f t="shared" si="27"/>
        <v>0</v>
      </c>
      <c r="T23" s="2">
        <f t="shared" si="27"/>
        <v>0</v>
      </c>
      <c r="U23" s="2">
        <f t="shared" si="27"/>
        <v>0</v>
      </c>
      <c r="V23" s="2">
        <f t="shared" si="27"/>
        <v>0</v>
      </c>
      <c r="W23" s="2">
        <f t="shared" si="27"/>
        <v>0</v>
      </c>
      <c r="X23" s="2">
        <f t="shared" si="27"/>
        <v>0</v>
      </c>
      <c r="Y23" s="2">
        <f t="shared" si="27"/>
        <v>0</v>
      </c>
      <c r="Z23" s="2">
        <f t="shared" si="27"/>
        <v>0</v>
      </c>
      <c r="AA23" s="2">
        <f t="shared" si="27"/>
        <v>0</v>
      </c>
      <c r="AB23" s="2">
        <f t="shared" si="27"/>
        <v>0</v>
      </c>
      <c r="AC23" s="2">
        <f t="shared" si="27"/>
        <v>0</v>
      </c>
      <c r="AD23" s="2">
        <f t="shared" si="27"/>
        <v>0</v>
      </c>
      <c r="AE23" s="2">
        <f t="shared" si="27"/>
        <v>0</v>
      </c>
      <c r="AF23" s="2">
        <f t="shared" si="27"/>
        <v>0</v>
      </c>
      <c r="AG23" s="2">
        <f t="shared" si="27"/>
        <v>0</v>
      </c>
      <c r="AH23" s="2">
        <f t="shared" si="27"/>
        <v>0</v>
      </c>
      <c r="AI23" s="2">
        <f t="shared" si="27"/>
        <v>0</v>
      </c>
      <c r="AJ23" s="2">
        <f t="shared" si="27"/>
        <v>1.860356319575416</v>
      </c>
      <c r="AK23" s="2">
        <f t="shared" si="27"/>
        <v>1.606717457067788</v>
      </c>
      <c r="AL23" s="2">
        <f t="shared" si="27"/>
        <v>1.602772617860301</v>
      </c>
      <c r="AM23" s="2">
        <f t="shared" si="27"/>
        <v>1.6013492233796891</v>
      </c>
      <c r="AN23" s="2">
        <f t="shared" si="27"/>
        <v>1.59836945554738</v>
      </c>
      <c r="AO23" s="2">
        <f t="shared" si="27"/>
        <v>1.594051104795952</v>
      </c>
      <c r="AP23" s="2">
        <f t="shared" si="27"/>
        <v>1.588174669843698</v>
      </c>
      <c r="AQ23" s="2">
        <f t="shared" si="27"/>
        <v>1.58841926600559</v>
      </c>
      <c r="AR23" s="2">
        <f t="shared" si="27"/>
        <v>1.5817128854102791</v>
      </c>
      <c r="AS23" s="2">
        <f t="shared" si="27"/>
        <v>1.574536392425161</v>
      </c>
      <c r="AT23" s="2">
        <f t="shared" si="27"/>
        <v>1.5501513693735409</v>
      </c>
      <c r="AU23" s="2">
        <f t="shared" si="27"/>
        <v>1.5191233822716741</v>
      </c>
      <c r="AV23" s="2">
        <f t="shared" si="27"/>
        <v>1.4761732781996579</v>
      </c>
      <c r="AW23" s="2">
        <f t="shared" si="27"/>
        <v>1.4142868585330051</v>
      </c>
      <c r="AX23" s="2">
        <f t="shared" si="27"/>
        <v>1.3296595091647621</v>
      </c>
      <c r="AY23" s="2">
        <f t="shared" si="27"/>
        <v>1.2238846116464599</v>
      </c>
      <c r="AZ23" s="2">
        <f t="shared" si="27"/>
        <v>1.104596168772944</v>
      </c>
      <c r="BA23" s="2">
        <f t="shared" si="27"/>
        <v>0.98330511817271016</v>
      </c>
      <c r="BB23" s="2">
        <f t="shared" si="27"/>
        <v>0.87126352181663569</v>
      </c>
      <c r="BC23" s="2">
        <f t="shared" si="27"/>
        <v>0.77590877915094958</v>
      </c>
      <c r="BD23" s="2">
        <f t="shared" si="27"/>
        <v>0.70014244225861455</v>
      </c>
      <c r="BE23" s="2">
        <f t="shared" si="27"/>
        <v>0.6425408504915755</v>
      </c>
      <c r="BF23" s="2">
        <f t="shared" si="27"/>
        <v>0.60294147791018271</v>
      </c>
      <c r="BG23" s="2">
        <f t="shared" si="27"/>
        <v>0.57618191431298027</v>
      </c>
      <c r="BH23" s="2">
        <f t="shared" si="27"/>
        <v>0.55823069934080338</v>
      </c>
      <c r="BI23" s="2">
        <f t="shared" si="27"/>
        <v>0.54622233357343042</v>
      </c>
      <c r="BJ23" s="2">
        <f t="shared" si="27"/>
        <v>0.54736892507747592</v>
      </c>
      <c r="BK23" s="2">
        <f t="shared" si="27"/>
        <v>0.54838391265908926</v>
      </c>
      <c r="BL23" s="2">
        <f t="shared" si="27"/>
        <v>0.54924788116225387</v>
      </c>
      <c r="BM23" s="2">
        <f t="shared" si="27"/>
        <v>0.54996805050624376</v>
      </c>
      <c r="BN23" s="2">
        <f t="shared" si="27"/>
        <v>0.55051289432422179</v>
      </c>
      <c r="BO23" s="2">
        <f t="shared" si="27"/>
        <v>0.55082934468667255</v>
      </c>
      <c r="BP23" s="2">
        <f t="shared" si="27"/>
        <v>0.55086916829110588</v>
      </c>
      <c r="BQ23" s="2">
        <f t="shared" si="27"/>
        <v>0.55058864205684543</v>
      </c>
      <c r="BR23" s="2">
        <f t="shared" si="27"/>
        <v>0.54998010984271428</v>
      </c>
      <c r="BS23" s="2">
        <f t="shared" si="27"/>
        <v>0.54902659665104558</v>
      </c>
      <c r="BT23" s="2">
        <f t="shared" si="26"/>
        <v>0.54768273111412435</v>
      </c>
      <c r="BU23" s="2">
        <f t="shared" si="26"/>
        <v>0.54654528653228629</v>
      </c>
      <c r="BV23" s="2">
        <f t="shared" si="26"/>
        <v>0.54561981850912367</v>
      </c>
      <c r="BW23" s="2">
        <f t="shared" si="26"/>
        <v>0.54493481223093043</v>
      </c>
      <c r="BX23" s="2">
        <f t="shared" si="26"/>
        <v>0.54452383291921402</v>
      </c>
      <c r="BY23" s="2">
        <f t="shared" si="26"/>
        <v>0.54434619175434418</v>
      </c>
      <c r="BZ23" s="2">
        <f t="shared" si="26"/>
        <v>0.54439685233292268</v>
      </c>
      <c r="CA23" s="2">
        <f t="shared" si="26"/>
        <v>0.54473821263126077</v>
      </c>
      <c r="CB23" s="2">
        <f t="shared" si="26"/>
        <v>0.54536033765307779</v>
      </c>
      <c r="CC23" s="2">
        <f t="shared" si="26"/>
        <v>0.54628279988653394</v>
      </c>
      <c r="CD23" s="2">
        <f t="shared" si="26"/>
        <v>0.54751079064833474</v>
      </c>
    </row>
    <row r="24" spans="3:82" s="2" customFormat="1" x14ac:dyDescent="0.2">
      <c r="D24" s="2" t="s">
        <v>17</v>
      </c>
      <c r="F24" s="2" t="s">
        <v>7</v>
      </c>
      <c r="G24" s="2">
        <f t="shared" si="23"/>
        <v>1</v>
      </c>
      <c r="H24" s="2">
        <f t="shared" si="27"/>
        <v>0</v>
      </c>
      <c r="I24" s="2" t="str">
        <f t="shared" si="27"/>
        <v>emission_co2e_co2_inen_nbmass_chemicals|emission_co2e_co2_inen_nbmass_plastic</v>
      </c>
      <c r="J24" s="2">
        <f t="shared" si="27"/>
        <v>0</v>
      </c>
      <c r="K24" s="2">
        <f t="shared" si="27"/>
        <v>0</v>
      </c>
      <c r="L24" s="2">
        <f t="shared" si="27"/>
        <v>0</v>
      </c>
      <c r="M24" s="2">
        <f t="shared" si="27"/>
        <v>0</v>
      </c>
      <c r="N24" s="2">
        <f t="shared" si="27"/>
        <v>0</v>
      </c>
      <c r="O24" s="2">
        <f t="shared" si="27"/>
        <v>0</v>
      </c>
      <c r="P24" s="2">
        <f t="shared" si="27"/>
        <v>0</v>
      </c>
      <c r="Q24" s="2">
        <f t="shared" si="27"/>
        <v>0</v>
      </c>
      <c r="R24" s="2">
        <f t="shared" si="27"/>
        <v>0</v>
      </c>
      <c r="S24" s="2">
        <f t="shared" si="27"/>
        <v>0</v>
      </c>
      <c r="T24" s="2">
        <f t="shared" si="27"/>
        <v>0</v>
      </c>
      <c r="U24" s="2">
        <f t="shared" si="27"/>
        <v>0</v>
      </c>
      <c r="V24" s="2">
        <f t="shared" si="27"/>
        <v>0</v>
      </c>
      <c r="W24" s="2">
        <f t="shared" si="27"/>
        <v>0</v>
      </c>
      <c r="X24" s="2">
        <f t="shared" si="27"/>
        <v>0</v>
      </c>
      <c r="Y24" s="2">
        <f t="shared" si="27"/>
        <v>0</v>
      </c>
      <c r="Z24" s="2">
        <f t="shared" si="27"/>
        <v>0</v>
      </c>
      <c r="AA24" s="2">
        <f t="shared" si="27"/>
        <v>0</v>
      </c>
      <c r="AB24" s="2">
        <f t="shared" si="27"/>
        <v>0</v>
      </c>
      <c r="AC24" s="2">
        <f t="shared" si="27"/>
        <v>0</v>
      </c>
      <c r="AD24" s="2">
        <f t="shared" si="27"/>
        <v>0</v>
      </c>
      <c r="AE24" s="2">
        <f t="shared" si="27"/>
        <v>0</v>
      </c>
      <c r="AF24" s="2">
        <f t="shared" si="27"/>
        <v>0</v>
      </c>
      <c r="AG24" s="2">
        <f t="shared" si="27"/>
        <v>0</v>
      </c>
      <c r="AH24" s="2">
        <f t="shared" si="27"/>
        <v>0</v>
      </c>
      <c r="AI24" s="2">
        <f t="shared" si="27"/>
        <v>0</v>
      </c>
      <c r="AJ24" s="2">
        <f t="shared" si="27"/>
        <v>349.7315818964118</v>
      </c>
      <c r="AK24" s="2">
        <f t="shared" si="27"/>
        <v>304.01220546905893</v>
      </c>
      <c r="AL24" s="2">
        <f t="shared" si="27"/>
        <v>303.01099976496539</v>
      </c>
      <c r="AM24" s="2">
        <f t="shared" si="27"/>
        <v>302.86021395781108</v>
      </c>
      <c r="AN24" s="2">
        <f t="shared" si="27"/>
        <v>302.42655037398259</v>
      </c>
      <c r="AO24" s="2">
        <f t="shared" si="27"/>
        <v>301.74976263344541</v>
      </c>
      <c r="AP24" s="2">
        <f t="shared" si="27"/>
        <v>300.78980832764381</v>
      </c>
      <c r="AQ24" s="2">
        <f t="shared" si="27"/>
        <v>302.64115383001928</v>
      </c>
      <c r="AR24" s="2">
        <f t="shared" si="27"/>
        <v>304.03455069745229</v>
      </c>
      <c r="AS24" s="2">
        <f t="shared" si="27"/>
        <v>306.58786888096301</v>
      </c>
      <c r="AT24" s="2">
        <f t="shared" si="27"/>
        <v>307.61736755386852</v>
      </c>
      <c r="AU24" s="2">
        <f t="shared" si="27"/>
        <v>309.8096954021147</v>
      </c>
      <c r="AV24" s="2">
        <f t="shared" si="27"/>
        <v>312.96187712226379</v>
      </c>
      <c r="AW24" s="2">
        <f t="shared" si="27"/>
        <v>316.38587222051189</v>
      </c>
      <c r="AX24" s="2">
        <f t="shared" si="27"/>
        <v>319.53593975702472</v>
      </c>
      <c r="AY24" s="2">
        <f t="shared" si="27"/>
        <v>322.08876035900693</v>
      </c>
      <c r="AZ24" s="2">
        <f t="shared" si="27"/>
        <v>323.97098744184473</v>
      </c>
      <c r="BA24" s="2">
        <f t="shared" si="27"/>
        <v>325.28141358577562</v>
      </c>
      <c r="BB24" s="2">
        <f t="shared" si="27"/>
        <v>326.14084064709903</v>
      </c>
      <c r="BC24" s="2">
        <f t="shared" si="27"/>
        <v>326.56618204354618</v>
      </c>
      <c r="BD24" s="2">
        <f t="shared" si="27"/>
        <v>326.62307699589769</v>
      </c>
      <c r="BE24" s="2">
        <f t="shared" si="27"/>
        <v>326.12454041311082</v>
      </c>
      <c r="BF24" s="2">
        <f t="shared" si="27"/>
        <v>326.6320897286588</v>
      </c>
      <c r="BG24" s="2">
        <f t="shared" si="27"/>
        <v>327.50075704638652</v>
      </c>
      <c r="BH24" s="2">
        <f t="shared" si="27"/>
        <v>328.3270187997</v>
      </c>
      <c r="BI24" s="2">
        <f t="shared" si="27"/>
        <v>328.95281684257498</v>
      </c>
      <c r="BJ24" s="2">
        <f t="shared" si="27"/>
        <v>329.58349741445232</v>
      </c>
      <c r="BK24" s="2">
        <f t="shared" si="27"/>
        <v>330.13382022289278</v>
      </c>
      <c r="BL24" s="2">
        <f t="shared" si="27"/>
        <v>330.59212132382549</v>
      </c>
      <c r="BM24" s="2">
        <f t="shared" si="27"/>
        <v>330.96312240667942</v>
      </c>
      <c r="BN24" s="2">
        <f t="shared" si="27"/>
        <v>331.22773273035432</v>
      </c>
      <c r="BO24" s="2">
        <f t="shared" si="27"/>
        <v>331.3536264676581</v>
      </c>
      <c r="BP24" s="2">
        <f t="shared" si="27"/>
        <v>331.31145872637251</v>
      </c>
      <c r="BQ24" s="2">
        <f t="shared" si="27"/>
        <v>331.07466540765569</v>
      </c>
      <c r="BR24" s="2">
        <f t="shared" si="27"/>
        <v>330.63886406729409</v>
      </c>
      <c r="BS24" s="2">
        <f t="shared" si="27"/>
        <v>329.99394890394791</v>
      </c>
      <c r="BT24" s="2">
        <f t="shared" si="26"/>
        <v>329.11236045561878</v>
      </c>
      <c r="BU24" s="2">
        <f t="shared" si="26"/>
        <v>328.35591978380569</v>
      </c>
      <c r="BV24" s="2">
        <f t="shared" si="26"/>
        <v>327.72800928162729</v>
      </c>
      <c r="BW24" s="2">
        <f t="shared" si="26"/>
        <v>327.24610768624621</v>
      </c>
      <c r="BX24" s="2">
        <f t="shared" si="26"/>
        <v>326.93081579981367</v>
      </c>
      <c r="BY24" s="2">
        <f t="shared" si="26"/>
        <v>326.75708033094651</v>
      </c>
      <c r="BZ24" s="2">
        <f t="shared" si="26"/>
        <v>326.72176647264121</v>
      </c>
      <c r="CA24" s="2">
        <f t="shared" si="26"/>
        <v>326.86319802923282</v>
      </c>
      <c r="CB24" s="2">
        <f t="shared" si="26"/>
        <v>327.17522570904919</v>
      </c>
      <c r="CC24" s="2">
        <f t="shared" si="26"/>
        <v>327.66984056410388</v>
      </c>
      <c r="CD24" s="2">
        <f t="shared" si="26"/>
        <v>328.35019035435857</v>
      </c>
    </row>
    <row r="25" spans="3:82" s="2" customFormat="1" x14ac:dyDescent="0.2">
      <c r="D25" s="2" t="s">
        <v>17</v>
      </c>
      <c r="F25" s="2" t="s">
        <v>8</v>
      </c>
      <c r="G25" s="2">
        <f t="shared" si="23"/>
        <v>1</v>
      </c>
      <c r="H25" s="2">
        <f t="shared" si="27"/>
        <v>0</v>
      </c>
      <c r="I25" s="2" t="str">
        <f t="shared" si="27"/>
        <v>emission_co2e_n2o_inen_chemicals|emission_co2e_n2o_inen_plastic</v>
      </c>
      <c r="J25" s="2">
        <f t="shared" si="27"/>
        <v>0</v>
      </c>
      <c r="K25" s="2">
        <f t="shared" si="27"/>
        <v>0</v>
      </c>
      <c r="L25" s="2">
        <f t="shared" si="27"/>
        <v>0</v>
      </c>
      <c r="M25" s="2">
        <f t="shared" si="27"/>
        <v>0</v>
      </c>
      <c r="N25" s="2">
        <f t="shared" si="27"/>
        <v>0</v>
      </c>
      <c r="O25" s="2">
        <f t="shared" si="27"/>
        <v>0</v>
      </c>
      <c r="P25" s="2">
        <f t="shared" si="27"/>
        <v>0</v>
      </c>
      <c r="Q25" s="2">
        <f t="shared" si="27"/>
        <v>0</v>
      </c>
      <c r="R25" s="2">
        <f t="shared" si="27"/>
        <v>0</v>
      </c>
      <c r="S25" s="2">
        <f t="shared" si="27"/>
        <v>0</v>
      </c>
      <c r="T25" s="2">
        <f t="shared" si="27"/>
        <v>0</v>
      </c>
      <c r="U25" s="2">
        <f t="shared" si="27"/>
        <v>0</v>
      </c>
      <c r="V25" s="2">
        <f t="shared" si="27"/>
        <v>0</v>
      </c>
      <c r="W25" s="2">
        <f t="shared" si="27"/>
        <v>0</v>
      </c>
      <c r="X25" s="2">
        <f t="shared" si="27"/>
        <v>0</v>
      </c>
      <c r="Y25" s="2">
        <f t="shared" si="27"/>
        <v>0</v>
      </c>
      <c r="Z25" s="2">
        <f t="shared" si="27"/>
        <v>0</v>
      </c>
      <c r="AA25" s="2">
        <f t="shared" si="27"/>
        <v>0</v>
      </c>
      <c r="AB25" s="2">
        <f t="shared" si="27"/>
        <v>0</v>
      </c>
      <c r="AC25" s="2">
        <f t="shared" si="27"/>
        <v>0</v>
      </c>
      <c r="AD25" s="2">
        <f t="shared" si="27"/>
        <v>0</v>
      </c>
      <c r="AE25" s="2">
        <f t="shared" si="27"/>
        <v>0</v>
      </c>
      <c r="AF25" s="2">
        <f t="shared" si="27"/>
        <v>0</v>
      </c>
      <c r="AG25" s="2">
        <f t="shared" si="27"/>
        <v>0</v>
      </c>
      <c r="AH25" s="2">
        <f t="shared" si="27"/>
        <v>0</v>
      </c>
      <c r="AI25" s="2">
        <f t="shared" si="27"/>
        <v>0</v>
      </c>
      <c r="AJ25" s="2">
        <f t="shared" si="27"/>
        <v>1.674330332475807</v>
      </c>
      <c r="AK25" s="2">
        <f t="shared" si="27"/>
        <v>1.4525414471796181</v>
      </c>
      <c r="AL25" s="2">
        <f t="shared" si="27"/>
        <v>1.448132943819721</v>
      </c>
      <c r="AM25" s="2">
        <f t="shared" si="27"/>
        <v>1.447237961809928</v>
      </c>
      <c r="AN25" s="2">
        <f t="shared" si="27"/>
        <v>1.4449743236153141</v>
      </c>
      <c r="AO25" s="2">
        <f t="shared" si="27"/>
        <v>1.4415341109668289</v>
      </c>
      <c r="AP25" s="2">
        <f t="shared" si="27"/>
        <v>1.436723810901877</v>
      </c>
      <c r="AQ25" s="2">
        <f t="shared" si="27"/>
        <v>1.441794616427196</v>
      </c>
      <c r="AR25" s="2">
        <f t="shared" si="27"/>
        <v>1.4428512864047449</v>
      </c>
      <c r="AS25" s="2">
        <f t="shared" si="27"/>
        <v>1.446770278489657</v>
      </c>
      <c r="AT25" s="2">
        <f t="shared" si="27"/>
        <v>1.439710712112358</v>
      </c>
      <c r="AU25" s="2">
        <f t="shared" si="27"/>
        <v>1.4330068038626269</v>
      </c>
      <c r="AV25" s="2">
        <f t="shared" si="27"/>
        <v>1.423992704897213</v>
      </c>
      <c r="AW25" s="2">
        <f t="shared" si="27"/>
        <v>1.4080167877966989</v>
      </c>
      <c r="AX25" s="2">
        <f t="shared" si="27"/>
        <v>1.3821014929227491</v>
      </c>
      <c r="AY25" s="2">
        <f t="shared" si="27"/>
        <v>1.3460405594258389</v>
      </c>
      <c r="AZ25" s="2">
        <f t="shared" si="27"/>
        <v>1.302731817773561</v>
      </c>
      <c r="BA25" s="2">
        <f t="shared" si="27"/>
        <v>1.2570960894399199</v>
      </c>
      <c r="BB25" s="2">
        <f t="shared" si="27"/>
        <v>1.21400712703957</v>
      </c>
      <c r="BC25" s="2">
        <f t="shared" si="27"/>
        <v>1.1765203011346059</v>
      </c>
      <c r="BD25" s="2">
        <f t="shared" si="27"/>
        <v>1.1459838056518321</v>
      </c>
      <c r="BE25" s="2">
        <f t="shared" si="27"/>
        <v>1.1213291063899751</v>
      </c>
      <c r="BF25" s="2">
        <f t="shared" si="27"/>
        <v>1.106617539495333</v>
      </c>
      <c r="BG25" s="2">
        <f t="shared" si="27"/>
        <v>1.098058444062131</v>
      </c>
      <c r="BH25" s="2">
        <f t="shared" si="27"/>
        <v>1.0929541894244099</v>
      </c>
      <c r="BI25" s="2">
        <f t="shared" si="27"/>
        <v>1.089727307381992</v>
      </c>
      <c r="BJ25" s="2">
        <f t="shared" si="27"/>
        <v>1.091846017037055</v>
      </c>
      <c r="BK25" s="2">
        <f t="shared" si="27"/>
        <v>1.0936990663267341</v>
      </c>
      <c r="BL25" s="2">
        <f t="shared" si="27"/>
        <v>1.0952478018943339</v>
      </c>
      <c r="BM25" s="2">
        <f t="shared" si="27"/>
        <v>1.0965076815007779</v>
      </c>
      <c r="BN25" s="2">
        <f t="shared" si="27"/>
        <v>1.0974155143827069</v>
      </c>
      <c r="BO25" s="2">
        <f t="shared" si="27"/>
        <v>1.097864394651511</v>
      </c>
      <c r="BP25" s="2">
        <f t="shared" si="27"/>
        <v>1.097757257274387</v>
      </c>
      <c r="BQ25" s="2">
        <f t="shared" si="27"/>
        <v>1.0970062174133011</v>
      </c>
      <c r="BR25" s="2">
        <f t="shared" si="27"/>
        <v>1.0955966449138259</v>
      </c>
      <c r="BS25" s="2">
        <f t="shared" ref="BS25:CD28" si="28">CA271</f>
        <v>1.0934950045036891</v>
      </c>
      <c r="BT25" s="2">
        <f t="shared" si="28"/>
        <v>1.0906101153232031</v>
      </c>
      <c r="BU25" s="2">
        <f t="shared" si="28"/>
        <v>1.0881393946107469</v>
      </c>
      <c r="BV25" s="2">
        <f t="shared" si="28"/>
        <v>1.0860940292496899</v>
      </c>
      <c r="BW25" s="2">
        <f t="shared" si="28"/>
        <v>1.084531761880452</v>
      </c>
      <c r="BX25" s="2">
        <f t="shared" si="28"/>
        <v>1.0835206468021401</v>
      </c>
      <c r="BY25" s="2">
        <f t="shared" si="28"/>
        <v>1.082977959811694</v>
      </c>
      <c r="BZ25" s="2">
        <f t="shared" si="28"/>
        <v>1.082893366240276</v>
      </c>
      <c r="CA25" s="2">
        <f t="shared" si="28"/>
        <v>1.0833934550098689</v>
      </c>
      <c r="CB25" s="2">
        <f t="shared" si="28"/>
        <v>1.0844579370067511</v>
      </c>
      <c r="CC25" s="2">
        <f t="shared" si="28"/>
        <v>1.0861264348619579</v>
      </c>
      <c r="CD25" s="2">
        <f t="shared" si="28"/>
        <v>1.088409365689929</v>
      </c>
    </row>
    <row r="26" spans="3:82" s="2" customFormat="1" x14ac:dyDescent="0.2">
      <c r="D26" s="2" t="s">
        <v>18</v>
      </c>
      <c r="F26" s="2" t="s">
        <v>6</v>
      </c>
      <c r="G26" s="2">
        <f t="shared" si="23"/>
        <v>1</v>
      </c>
      <c r="H26" s="2">
        <f t="shared" ref="H26:BS29" si="29">P272</f>
        <v>0</v>
      </c>
      <c r="I26" s="2" t="str">
        <f t="shared" si="29"/>
        <v>emission_co2e_ch4_inen_paper</v>
      </c>
      <c r="J26" s="2">
        <f t="shared" si="29"/>
        <v>0</v>
      </c>
      <c r="K26" s="2">
        <f t="shared" si="29"/>
        <v>0</v>
      </c>
      <c r="L26" s="2">
        <f t="shared" si="29"/>
        <v>0</v>
      </c>
      <c r="M26" s="2">
        <f t="shared" si="29"/>
        <v>0</v>
      </c>
      <c r="N26" s="2">
        <f t="shared" si="29"/>
        <v>0</v>
      </c>
      <c r="O26" s="2">
        <f t="shared" si="29"/>
        <v>0</v>
      </c>
      <c r="P26" s="2">
        <f t="shared" si="29"/>
        <v>0</v>
      </c>
      <c r="Q26" s="2">
        <f t="shared" si="29"/>
        <v>0</v>
      </c>
      <c r="R26" s="2">
        <f t="shared" si="29"/>
        <v>0</v>
      </c>
      <c r="S26" s="2">
        <f t="shared" si="29"/>
        <v>0</v>
      </c>
      <c r="T26" s="2">
        <f t="shared" si="29"/>
        <v>0</v>
      </c>
      <c r="U26" s="2">
        <f t="shared" si="29"/>
        <v>0</v>
      </c>
      <c r="V26" s="2">
        <f t="shared" si="29"/>
        <v>0</v>
      </c>
      <c r="W26" s="2">
        <f t="shared" si="29"/>
        <v>0</v>
      </c>
      <c r="X26" s="2">
        <f t="shared" si="29"/>
        <v>0</v>
      </c>
      <c r="Y26" s="2">
        <f t="shared" si="29"/>
        <v>0</v>
      </c>
      <c r="Z26" s="2">
        <f t="shared" si="29"/>
        <v>0</v>
      </c>
      <c r="AA26" s="2">
        <f t="shared" si="29"/>
        <v>0</v>
      </c>
      <c r="AB26" s="2">
        <f t="shared" si="29"/>
        <v>0</v>
      </c>
      <c r="AC26" s="2">
        <f t="shared" si="29"/>
        <v>0</v>
      </c>
      <c r="AD26" s="2">
        <f t="shared" si="29"/>
        <v>0</v>
      </c>
      <c r="AE26" s="2">
        <f t="shared" si="29"/>
        <v>0</v>
      </c>
      <c r="AF26" s="2">
        <f t="shared" si="29"/>
        <v>0</v>
      </c>
      <c r="AG26" s="2">
        <f t="shared" si="29"/>
        <v>0</v>
      </c>
      <c r="AH26" s="2">
        <f t="shared" si="29"/>
        <v>0</v>
      </c>
      <c r="AI26" s="2">
        <f t="shared" si="29"/>
        <v>0</v>
      </c>
      <c r="AJ26" s="2">
        <f t="shared" si="29"/>
        <v>0</v>
      </c>
      <c r="AK26" s="2">
        <f t="shared" si="29"/>
        <v>0</v>
      </c>
      <c r="AL26" s="2">
        <f t="shared" si="29"/>
        <v>0</v>
      </c>
      <c r="AM26" s="2">
        <f t="shared" si="29"/>
        <v>0</v>
      </c>
      <c r="AN26" s="2">
        <f t="shared" si="29"/>
        <v>0</v>
      </c>
      <c r="AO26" s="2">
        <f t="shared" si="29"/>
        <v>0</v>
      </c>
      <c r="AP26" s="2">
        <f t="shared" si="29"/>
        <v>0</v>
      </c>
      <c r="AQ26" s="2">
        <f t="shared" si="29"/>
        <v>0</v>
      </c>
      <c r="AR26" s="2">
        <f t="shared" si="29"/>
        <v>0</v>
      </c>
      <c r="AS26" s="2">
        <f t="shared" si="29"/>
        <v>0</v>
      </c>
      <c r="AT26" s="2">
        <f t="shared" si="29"/>
        <v>0</v>
      </c>
      <c r="AU26" s="2">
        <f t="shared" si="29"/>
        <v>0</v>
      </c>
      <c r="AV26" s="2">
        <f t="shared" si="29"/>
        <v>0</v>
      </c>
      <c r="AW26" s="2">
        <f t="shared" si="29"/>
        <v>0</v>
      </c>
      <c r="AX26" s="2">
        <f t="shared" si="29"/>
        <v>0</v>
      </c>
      <c r="AY26" s="2">
        <f t="shared" si="29"/>
        <v>0</v>
      </c>
      <c r="AZ26" s="2">
        <f t="shared" si="29"/>
        <v>0</v>
      </c>
      <c r="BA26" s="2">
        <f t="shared" si="29"/>
        <v>0</v>
      </c>
      <c r="BB26" s="2">
        <f t="shared" si="29"/>
        <v>0</v>
      </c>
      <c r="BC26" s="2">
        <f t="shared" si="29"/>
        <v>0</v>
      </c>
      <c r="BD26" s="2">
        <f t="shared" si="29"/>
        <v>0</v>
      </c>
      <c r="BE26" s="2">
        <f t="shared" si="29"/>
        <v>0</v>
      </c>
      <c r="BF26" s="2">
        <f t="shared" si="29"/>
        <v>0</v>
      </c>
      <c r="BG26" s="2">
        <f t="shared" si="29"/>
        <v>0</v>
      </c>
      <c r="BH26" s="2">
        <f t="shared" si="29"/>
        <v>0</v>
      </c>
      <c r="BI26" s="2">
        <f t="shared" si="29"/>
        <v>0</v>
      </c>
      <c r="BJ26" s="2">
        <f t="shared" si="29"/>
        <v>0</v>
      </c>
      <c r="BK26" s="2">
        <f t="shared" si="29"/>
        <v>0</v>
      </c>
      <c r="BL26" s="2">
        <f t="shared" si="29"/>
        <v>0</v>
      </c>
      <c r="BM26" s="2">
        <f t="shared" si="29"/>
        <v>0</v>
      </c>
      <c r="BN26" s="2">
        <f t="shared" si="29"/>
        <v>0</v>
      </c>
      <c r="BO26" s="2">
        <f t="shared" si="29"/>
        <v>0</v>
      </c>
      <c r="BP26" s="2">
        <f t="shared" si="29"/>
        <v>0</v>
      </c>
      <c r="BQ26" s="2">
        <f t="shared" si="29"/>
        <v>0</v>
      </c>
      <c r="BR26" s="2">
        <f t="shared" si="29"/>
        <v>0</v>
      </c>
      <c r="BS26" s="2">
        <f t="shared" si="29"/>
        <v>0</v>
      </c>
      <c r="BT26" s="2">
        <f t="shared" si="28"/>
        <v>0</v>
      </c>
      <c r="BU26" s="2">
        <f t="shared" si="28"/>
        <v>0</v>
      </c>
      <c r="BV26" s="2">
        <f t="shared" si="28"/>
        <v>0</v>
      </c>
      <c r="BW26" s="2">
        <f t="shared" si="28"/>
        <v>0</v>
      </c>
      <c r="BX26" s="2">
        <f t="shared" si="28"/>
        <v>0</v>
      </c>
      <c r="BY26" s="2">
        <f t="shared" si="28"/>
        <v>0</v>
      </c>
      <c r="BZ26" s="2">
        <f t="shared" si="28"/>
        <v>0</v>
      </c>
      <c r="CA26" s="2">
        <f t="shared" si="28"/>
        <v>0</v>
      </c>
      <c r="CB26" s="2">
        <f t="shared" si="28"/>
        <v>0</v>
      </c>
      <c r="CC26" s="2">
        <f t="shared" si="28"/>
        <v>0</v>
      </c>
      <c r="CD26" s="2">
        <f t="shared" si="28"/>
        <v>0</v>
      </c>
    </row>
    <row r="27" spans="3:82" s="2" customFormat="1" x14ac:dyDescent="0.2">
      <c r="D27" s="2" t="s">
        <v>18</v>
      </c>
      <c r="F27" s="2" t="s">
        <v>7</v>
      </c>
      <c r="G27" s="2">
        <f t="shared" si="23"/>
        <v>1</v>
      </c>
      <c r="H27" s="2">
        <f t="shared" si="29"/>
        <v>0</v>
      </c>
      <c r="I27" s="2" t="str">
        <f t="shared" si="29"/>
        <v>emission_co2e_co2_inen_nbmass_paper</v>
      </c>
      <c r="J27" s="2">
        <f t="shared" si="29"/>
        <v>0</v>
      </c>
      <c r="K27" s="2">
        <f t="shared" si="29"/>
        <v>0</v>
      </c>
      <c r="L27" s="2">
        <f t="shared" si="29"/>
        <v>0</v>
      </c>
      <c r="M27" s="2">
        <f t="shared" si="29"/>
        <v>0</v>
      </c>
      <c r="N27" s="2">
        <f t="shared" si="29"/>
        <v>0</v>
      </c>
      <c r="O27" s="2">
        <f t="shared" si="29"/>
        <v>0</v>
      </c>
      <c r="P27" s="2">
        <f t="shared" si="29"/>
        <v>0</v>
      </c>
      <c r="Q27" s="2">
        <f t="shared" si="29"/>
        <v>0</v>
      </c>
      <c r="R27" s="2">
        <f t="shared" si="29"/>
        <v>0</v>
      </c>
      <c r="S27" s="2">
        <f t="shared" si="29"/>
        <v>0</v>
      </c>
      <c r="T27" s="2">
        <f t="shared" si="29"/>
        <v>0</v>
      </c>
      <c r="U27" s="2">
        <f t="shared" si="29"/>
        <v>0</v>
      </c>
      <c r="V27" s="2">
        <f t="shared" si="29"/>
        <v>0</v>
      </c>
      <c r="W27" s="2">
        <f t="shared" si="29"/>
        <v>0</v>
      </c>
      <c r="X27" s="2">
        <f t="shared" si="29"/>
        <v>0</v>
      </c>
      <c r="Y27" s="2">
        <f t="shared" si="29"/>
        <v>0</v>
      </c>
      <c r="Z27" s="2">
        <f t="shared" si="29"/>
        <v>0</v>
      </c>
      <c r="AA27" s="2">
        <f t="shared" si="29"/>
        <v>0</v>
      </c>
      <c r="AB27" s="2">
        <f t="shared" si="29"/>
        <v>0</v>
      </c>
      <c r="AC27" s="2">
        <f t="shared" si="29"/>
        <v>0</v>
      </c>
      <c r="AD27" s="2">
        <f t="shared" si="29"/>
        <v>0</v>
      </c>
      <c r="AE27" s="2">
        <f t="shared" si="29"/>
        <v>0</v>
      </c>
      <c r="AF27" s="2">
        <f t="shared" si="29"/>
        <v>0</v>
      </c>
      <c r="AG27" s="2">
        <f t="shared" si="29"/>
        <v>0</v>
      </c>
      <c r="AH27" s="2">
        <f t="shared" si="29"/>
        <v>0</v>
      </c>
      <c r="AI27" s="2">
        <f t="shared" si="29"/>
        <v>0</v>
      </c>
      <c r="AJ27" s="2">
        <f t="shared" si="29"/>
        <v>0</v>
      </c>
      <c r="AK27" s="2">
        <f t="shared" si="29"/>
        <v>0</v>
      </c>
      <c r="AL27" s="2">
        <f t="shared" si="29"/>
        <v>0</v>
      </c>
      <c r="AM27" s="2">
        <f t="shared" si="29"/>
        <v>0</v>
      </c>
      <c r="AN27" s="2">
        <f t="shared" si="29"/>
        <v>0</v>
      </c>
      <c r="AO27" s="2">
        <f t="shared" si="29"/>
        <v>0</v>
      </c>
      <c r="AP27" s="2">
        <f t="shared" si="29"/>
        <v>0</v>
      </c>
      <c r="AQ27" s="2">
        <f t="shared" si="29"/>
        <v>0</v>
      </c>
      <c r="AR27" s="2">
        <f t="shared" si="29"/>
        <v>0</v>
      </c>
      <c r="AS27" s="2">
        <f t="shared" si="29"/>
        <v>0</v>
      </c>
      <c r="AT27" s="2">
        <f t="shared" si="29"/>
        <v>0</v>
      </c>
      <c r="AU27" s="2">
        <f t="shared" si="29"/>
        <v>0</v>
      </c>
      <c r="AV27" s="2">
        <f t="shared" si="29"/>
        <v>0</v>
      </c>
      <c r="AW27" s="2">
        <f t="shared" si="29"/>
        <v>0</v>
      </c>
      <c r="AX27" s="2">
        <f t="shared" si="29"/>
        <v>0</v>
      </c>
      <c r="AY27" s="2">
        <f t="shared" si="29"/>
        <v>0</v>
      </c>
      <c r="AZ27" s="2">
        <f t="shared" si="29"/>
        <v>0</v>
      </c>
      <c r="BA27" s="2">
        <f t="shared" si="29"/>
        <v>0</v>
      </c>
      <c r="BB27" s="2">
        <f t="shared" si="29"/>
        <v>0</v>
      </c>
      <c r="BC27" s="2">
        <f t="shared" si="29"/>
        <v>0</v>
      </c>
      <c r="BD27" s="2">
        <f t="shared" si="29"/>
        <v>0</v>
      </c>
      <c r="BE27" s="2">
        <f t="shared" si="29"/>
        <v>0</v>
      </c>
      <c r="BF27" s="2">
        <f t="shared" si="29"/>
        <v>0</v>
      </c>
      <c r="BG27" s="2">
        <f t="shared" si="29"/>
        <v>0</v>
      </c>
      <c r="BH27" s="2">
        <f t="shared" si="29"/>
        <v>0</v>
      </c>
      <c r="BI27" s="2">
        <f t="shared" si="29"/>
        <v>0</v>
      </c>
      <c r="BJ27" s="2">
        <f t="shared" si="29"/>
        <v>0</v>
      </c>
      <c r="BK27" s="2">
        <f t="shared" si="29"/>
        <v>0</v>
      </c>
      <c r="BL27" s="2">
        <f t="shared" si="29"/>
        <v>0</v>
      </c>
      <c r="BM27" s="2">
        <f t="shared" si="29"/>
        <v>0</v>
      </c>
      <c r="BN27" s="2">
        <f t="shared" si="29"/>
        <v>0</v>
      </c>
      <c r="BO27" s="2">
        <f t="shared" si="29"/>
        <v>0</v>
      </c>
      <c r="BP27" s="2">
        <f t="shared" si="29"/>
        <v>0</v>
      </c>
      <c r="BQ27" s="2">
        <f t="shared" si="29"/>
        <v>0</v>
      </c>
      <c r="BR27" s="2">
        <f t="shared" si="29"/>
        <v>0</v>
      </c>
      <c r="BS27" s="2">
        <f t="shared" si="29"/>
        <v>0</v>
      </c>
      <c r="BT27" s="2">
        <f t="shared" si="28"/>
        <v>0</v>
      </c>
      <c r="BU27" s="2">
        <f t="shared" si="28"/>
        <v>0</v>
      </c>
      <c r="BV27" s="2">
        <f t="shared" si="28"/>
        <v>0</v>
      </c>
      <c r="BW27" s="2">
        <f t="shared" si="28"/>
        <v>0</v>
      </c>
      <c r="BX27" s="2">
        <f t="shared" si="28"/>
        <v>0</v>
      </c>
      <c r="BY27" s="2">
        <f t="shared" si="28"/>
        <v>0</v>
      </c>
      <c r="BZ27" s="2">
        <f t="shared" si="28"/>
        <v>0</v>
      </c>
      <c r="CA27" s="2">
        <f t="shared" si="28"/>
        <v>0</v>
      </c>
      <c r="CB27" s="2">
        <f t="shared" si="28"/>
        <v>0</v>
      </c>
      <c r="CC27" s="2">
        <f t="shared" si="28"/>
        <v>0</v>
      </c>
      <c r="CD27" s="2">
        <f t="shared" si="28"/>
        <v>0</v>
      </c>
    </row>
    <row r="28" spans="3:82" s="2" customFormat="1" x14ac:dyDescent="0.2">
      <c r="D28" s="2" t="s">
        <v>18</v>
      </c>
      <c r="F28" s="2" t="s">
        <v>8</v>
      </c>
      <c r="G28" s="2">
        <f t="shared" si="23"/>
        <v>1</v>
      </c>
      <c r="H28" s="2">
        <f t="shared" si="29"/>
        <v>0</v>
      </c>
      <c r="I28" s="2" t="str">
        <f t="shared" si="29"/>
        <v>emission_co2e_n2o_inen_paper</v>
      </c>
      <c r="J28" s="2">
        <f t="shared" si="29"/>
        <v>0</v>
      </c>
      <c r="K28" s="2">
        <f t="shared" si="29"/>
        <v>0</v>
      </c>
      <c r="L28" s="2">
        <f t="shared" si="29"/>
        <v>0</v>
      </c>
      <c r="M28" s="2">
        <f t="shared" si="29"/>
        <v>0</v>
      </c>
      <c r="N28" s="2">
        <f t="shared" si="29"/>
        <v>0</v>
      </c>
      <c r="O28" s="2">
        <f t="shared" si="29"/>
        <v>0</v>
      </c>
      <c r="P28" s="2">
        <f t="shared" si="29"/>
        <v>0</v>
      </c>
      <c r="Q28" s="2">
        <f t="shared" si="29"/>
        <v>0</v>
      </c>
      <c r="R28" s="2">
        <f t="shared" si="29"/>
        <v>0</v>
      </c>
      <c r="S28" s="2">
        <f t="shared" si="29"/>
        <v>0</v>
      </c>
      <c r="T28" s="2">
        <f t="shared" si="29"/>
        <v>0</v>
      </c>
      <c r="U28" s="2">
        <f t="shared" si="29"/>
        <v>0</v>
      </c>
      <c r="V28" s="2">
        <f t="shared" si="29"/>
        <v>0</v>
      </c>
      <c r="W28" s="2">
        <f t="shared" si="29"/>
        <v>0</v>
      </c>
      <c r="X28" s="2">
        <f t="shared" si="29"/>
        <v>0</v>
      </c>
      <c r="Y28" s="2">
        <f t="shared" si="29"/>
        <v>0</v>
      </c>
      <c r="Z28" s="2">
        <f t="shared" si="29"/>
        <v>0</v>
      </c>
      <c r="AA28" s="2">
        <f t="shared" si="29"/>
        <v>0</v>
      </c>
      <c r="AB28" s="2">
        <f t="shared" si="29"/>
        <v>0</v>
      </c>
      <c r="AC28" s="2">
        <f t="shared" si="29"/>
        <v>0</v>
      </c>
      <c r="AD28" s="2">
        <f t="shared" si="29"/>
        <v>0</v>
      </c>
      <c r="AE28" s="2">
        <f t="shared" si="29"/>
        <v>0</v>
      </c>
      <c r="AF28" s="2">
        <f t="shared" si="29"/>
        <v>0</v>
      </c>
      <c r="AG28" s="2">
        <f t="shared" si="29"/>
        <v>0</v>
      </c>
      <c r="AH28" s="2">
        <f t="shared" si="29"/>
        <v>0</v>
      </c>
      <c r="AI28" s="2">
        <f t="shared" si="29"/>
        <v>0</v>
      </c>
      <c r="AJ28" s="2">
        <f t="shared" si="29"/>
        <v>0</v>
      </c>
      <c r="AK28" s="2">
        <f t="shared" si="29"/>
        <v>0</v>
      </c>
      <c r="AL28" s="2">
        <f t="shared" si="29"/>
        <v>0</v>
      </c>
      <c r="AM28" s="2">
        <f t="shared" si="29"/>
        <v>0</v>
      </c>
      <c r="AN28" s="2">
        <f t="shared" si="29"/>
        <v>0</v>
      </c>
      <c r="AO28" s="2">
        <f t="shared" si="29"/>
        <v>0</v>
      </c>
      <c r="AP28" s="2">
        <f t="shared" si="29"/>
        <v>0</v>
      </c>
      <c r="AQ28" s="2">
        <f t="shared" si="29"/>
        <v>0</v>
      </c>
      <c r="AR28" s="2">
        <f t="shared" si="29"/>
        <v>0</v>
      </c>
      <c r="AS28" s="2">
        <f t="shared" si="29"/>
        <v>0</v>
      </c>
      <c r="AT28" s="2">
        <f t="shared" si="29"/>
        <v>0</v>
      </c>
      <c r="AU28" s="2">
        <f t="shared" si="29"/>
        <v>0</v>
      </c>
      <c r="AV28" s="2">
        <f t="shared" si="29"/>
        <v>0</v>
      </c>
      <c r="AW28" s="2">
        <f t="shared" si="29"/>
        <v>0</v>
      </c>
      <c r="AX28" s="2">
        <f t="shared" si="29"/>
        <v>0</v>
      </c>
      <c r="AY28" s="2">
        <f t="shared" si="29"/>
        <v>0</v>
      </c>
      <c r="AZ28" s="2">
        <f t="shared" si="29"/>
        <v>0</v>
      </c>
      <c r="BA28" s="2">
        <f t="shared" si="29"/>
        <v>0</v>
      </c>
      <c r="BB28" s="2">
        <f t="shared" si="29"/>
        <v>0</v>
      </c>
      <c r="BC28" s="2">
        <f t="shared" si="29"/>
        <v>0</v>
      </c>
      <c r="BD28" s="2">
        <f t="shared" si="29"/>
        <v>0</v>
      </c>
      <c r="BE28" s="2">
        <f t="shared" si="29"/>
        <v>0</v>
      </c>
      <c r="BF28" s="2">
        <f t="shared" si="29"/>
        <v>0</v>
      </c>
      <c r="BG28" s="2">
        <f t="shared" si="29"/>
        <v>0</v>
      </c>
      <c r="BH28" s="2">
        <f t="shared" si="29"/>
        <v>0</v>
      </c>
      <c r="BI28" s="2">
        <f t="shared" si="29"/>
        <v>0</v>
      </c>
      <c r="BJ28" s="2">
        <f t="shared" si="29"/>
        <v>0</v>
      </c>
      <c r="BK28" s="2">
        <f t="shared" si="29"/>
        <v>0</v>
      </c>
      <c r="BL28" s="2">
        <f t="shared" si="29"/>
        <v>0</v>
      </c>
      <c r="BM28" s="2">
        <f t="shared" si="29"/>
        <v>0</v>
      </c>
      <c r="BN28" s="2">
        <f t="shared" si="29"/>
        <v>0</v>
      </c>
      <c r="BO28" s="2">
        <f t="shared" si="29"/>
        <v>0</v>
      </c>
      <c r="BP28" s="2">
        <f t="shared" si="29"/>
        <v>0</v>
      </c>
      <c r="BQ28" s="2">
        <f t="shared" si="29"/>
        <v>0</v>
      </c>
      <c r="BR28" s="2">
        <f t="shared" si="29"/>
        <v>0</v>
      </c>
      <c r="BS28" s="2">
        <f t="shared" si="29"/>
        <v>0</v>
      </c>
      <c r="BT28" s="2">
        <f t="shared" si="28"/>
        <v>0</v>
      </c>
      <c r="BU28" s="2">
        <f t="shared" si="28"/>
        <v>0</v>
      </c>
      <c r="BV28" s="2">
        <f t="shared" si="28"/>
        <v>0</v>
      </c>
      <c r="BW28" s="2">
        <f t="shared" si="28"/>
        <v>0</v>
      </c>
      <c r="BX28" s="2">
        <f t="shared" si="28"/>
        <v>0</v>
      </c>
      <c r="BY28" s="2">
        <f t="shared" si="28"/>
        <v>0</v>
      </c>
      <c r="BZ28" s="2">
        <f t="shared" si="28"/>
        <v>0</v>
      </c>
      <c r="CA28" s="2">
        <f t="shared" si="28"/>
        <v>0</v>
      </c>
      <c r="CB28" s="2">
        <f t="shared" si="28"/>
        <v>0</v>
      </c>
      <c r="CC28" s="2">
        <f t="shared" si="28"/>
        <v>0</v>
      </c>
      <c r="CD28" s="2">
        <f t="shared" si="28"/>
        <v>0</v>
      </c>
    </row>
    <row r="29" spans="3:82" s="2" customFormat="1" x14ac:dyDescent="0.2">
      <c r="D29" s="2" t="s">
        <v>19</v>
      </c>
      <c r="F29" s="2" t="s">
        <v>6</v>
      </c>
      <c r="G29" s="2">
        <f t="shared" si="23"/>
        <v>1</v>
      </c>
      <c r="H29" s="2">
        <f t="shared" si="29"/>
        <v>0</v>
      </c>
      <c r="I29" s="2" t="str">
        <f t="shared" si="29"/>
        <v>emission_co2e_ch4_inen_electronics|emission_co2e_ch4_inen_glass|emission_co2e_ch4_inen_other_product_manufacturing|emission_co2e_ch4_inen_recycled_glass|emission_co2e_ch4_inen_recycled_metals|emission_co2e_ch4_inen_recycled_paper|emission_co2e_ch4_inen_recycled_plastic|emission_co2e_ch4_inen_recycled_rubber_and_leather|emission_co2e_ch4_inen_recycled_textiles|emission_co2e_ch4_inen_recycled_wood</v>
      </c>
      <c r="J29" s="2">
        <f t="shared" si="29"/>
        <v>0</v>
      </c>
      <c r="K29" s="2">
        <f t="shared" si="29"/>
        <v>11.6343</v>
      </c>
      <c r="L29" s="2">
        <f t="shared" si="29"/>
        <v>11.6343</v>
      </c>
      <c r="M29" s="2">
        <f t="shared" si="29"/>
        <v>12.945600000000001</v>
      </c>
      <c r="N29" s="2">
        <f t="shared" si="29"/>
        <v>13.587300000000001</v>
      </c>
      <c r="O29" s="2">
        <f t="shared" si="29"/>
        <v>13.0014</v>
      </c>
      <c r="P29" s="2">
        <f t="shared" si="29"/>
        <v>13.6152</v>
      </c>
      <c r="Q29" s="2">
        <f t="shared" si="29"/>
        <v>36.660600000000002</v>
      </c>
      <c r="R29" s="2">
        <f t="shared" si="29"/>
        <v>22.375800000000002</v>
      </c>
      <c r="S29" s="2">
        <f t="shared" si="29"/>
        <v>24.663599999999999</v>
      </c>
      <c r="T29" s="2">
        <f t="shared" si="29"/>
        <v>26.9514</v>
      </c>
      <c r="U29" s="2">
        <f t="shared" si="29"/>
        <v>28.932300000000001</v>
      </c>
      <c r="V29" s="2">
        <f t="shared" si="29"/>
        <v>29.267099999999999</v>
      </c>
      <c r="W29" s="2">
        <f t="shared" si="29"/>
        <v>32.921999999999997</v>
      </c>
      <c r="X29" s="2">
        <f t="shared" si="29"/>
        <v>43.747199999999999</v>
      </c>
      <c r="Y29" s="2">
        <f t="shared" si="29"/>
        <v>38.083500000000001</v>
      </c>
      <c r="Z29" s="2">
        <f t="shared" si="29"/>
        <v>39.534300000000002</v>
      </c>
      <c r="AA29" s="2">
        <f t="shared" si="29"/>
        <v>39.394799999999996</v>
      </c>
      <c r="AB29" s="2">
        <f t="shared" si="29"/>
        <v>39.645899999999997</v>
      </c>
      <c r="AC29" s="2">
        <f t="shared" si="29"/>
        <v>78.566399999999987</v>
      </c>
      <c r="AD29" s="2">
        <f t="shared" si="29"/>
        <v>80.826299999999989</v>
      </c>
      <c r="AE29" s="2">
        <f t="shared" si="29"/>
        <v>87.159599999999998</v>
      </c>
      <c r="AF29" s="2">
        <f t="shared" si="29"/>
        <v>81.551699999999997</v>
      </c>
      <c r="AG29" s="2">
        <f t="shared" si="29"/>
        <v>57.473999999999997</v>
      </c>
      <c r="AH29" s="2">
        <f t="shared" si="29"/>
        <v>62.942399999999992</v>
      </c>
      <c r="AI29" s="2">
        <f t="shared" si="29"/>
        <v>1587.0356999999999</v>
      </c>
      <c r="AJ29" s="2">
        <f t="shared" si="29"/>
        <v>358.6912080860281</v>
      </c>
      <c r="AK29" s="2">
        <f t="shared" si="29"/>
        <v>358.70863386776631</v>
      </c>
      <c r="AL29" s="2">
        <f t="shared" si="29"/>
        <v>360.37419764983082</v>
      </c>
      <c r="AM29" s="2">
        <f t="shared" si="29"/>
        <v>362.44248785419131</v>
      </c>
      <c r="AN29" s="2">
        <f t="shared" si="29"/>
        <v>384.34634666139868</v>
      </c>
      <c r="AO29" s="2">
        <f t="shared" si="29"/>
        <v>409.48925600405738</v>
      </c>
      <c r="AP29" s="2">
        <f t="shared" si="29"/>
        <v>439.33552776703237</v>
      </c>
      <c r="AQ29" s="2">
        <f t="shared" si="29"/>
        <v>474.90779096608071</v>
      </c>
      <c r="AR29" s="2">
        <f t="shared" si="29"/>
        <v>514.84838372129423</v>
      </c>
      <c r="AS29" s="2">
        <f t="shared" si="29"/>
        <v>557.46106774011162</v>
      </c>
      <c r="AT29" s="2">
        <f t="shared" si="29"/>
        <v>597.12140902916076</v>
      </c>
      <c r="AU29" s="2">
        <f t="shared" si="29"/>
        <v>621.36164523424964</v>
      </c>
      <c r="AV29" s="2">
        <f t="shared" si="29"/>
        <v>635.37808347011605</v>
      </c>
      <c r="AW29" s="2">
        <f t="shared" si="29"/>
        <v>635.18200112394402</v>
      </c>
      <c r="AX29" s="2">
        <f t="shared" si="29"/>
        <v>617.84812721873061</v>
      </c>
      <c r="AY29" s="2">
        <f t="shared" si="29"/>
        <v>583.12027808755147</v>
      </c>
      <c r="AZ29" s="2">
        <f t="shared" si="29"/>
        <v>534.41741640379416</v>
      </c>
      <c r="BA29" s="2">
        <f t="shared" si="29"/>
        <v>478.2948297542037</v>
      </c>
      <c r="BB29" s="2">
        <f t="shared" si="29"/>
        <v>422.3298014841647</v>
      </c>
      <c r="BC29" s="2">
        <f t="shared" si="29"/>
        <v>372.75161428278068</v>
      </c>
      <c r="BD29" s="2">
        <f t="shared" si="29"/>
        <v>331.55180349421778</v>
      </c>
      <c r="BE29" s="2">
        <f t="shared" si="29"/>
        <v>300.25002570875478</v>
      </c>
      <c r="BF29" s="2">
        <f t="shared" si="29"/>
        <v>278.3884861970987</v>
      </c>
      <c r="BG29" s="2">
        <f t="shared" si="29"/>
        <v>264.48071381331209</v>
      </c>
      <c r="BH29" s="2">
        <f t="shared" si="29"/>
        <v>256.72306085703741</v>
      </c>
      <c r="BI29" s="2">
        <f t="shared" si="29"/>
        <v>253.39135644327541</v>
      </c>
      <c r="BJ29" s="2">
        <f t="shared" si="29"/>
        <v>263.27009184090491</v>
      </c>
      <c r="BK29" s="2">
        <f t="shared" si="29"/>
        <v>273.03406036569351</v>
      </c>
      <c r="BL29" s="2">
        <f t="shared" si="29"/>
        <v>282.64167873189717</v>
      </c>
      <c r="BM29" s="2">
        <f t="shared" si="29"/>
        <v>292.0506379439766</v>
      </c>
      <c r="BN29" s="2">
        <f t="shared" si="29"/>
        <v>301.21818449209468</v>
      </c>
      <c r="BO29" s="2">
        <f t="shared" si="29"/>
        <v>310.10143210681571</v>
      </c>
      <c r="BP29" s="2">
        <f t="shared" si="29"/>
        <v>318.65768785211088</v>
      </c>
      <c r="BQ29" s="2">
        <f t="shared" si="29"/>
        <v>326.84478286027388</v>
      </c>
      <c r="BR29" s="2">
        <f t="shared" si="29"/>
        <v>334.62141489281032</v>
      </c>
      <c r="BS29" s="2">
        <f t="shared" ref="BS29:CD32" si="30">CA275</f>
        <v>341.94747935853582</v>
      </c>
      <c r="BT29" s="2">
        <f t="shared" si="30"/>
        <v>348.78440371712219</v>
      </c>
      <c r="BU29" s="2">
        <f t="shared" si="30"/>
        <v>355.75812472457488</v>
      </c>
      <c r="BV29" s="2">
        <f t="shared" si="30"/>
        <v>362.87137879314997</v>
      </c>
      <c r="BW29" s="2">
        <f t="shared" si="30"/>
        <v>370.12696122227482</v>
      </c>
      <c r="BX29" s="2">
        <f t="shared" si="30"/>
        <v>377.52772405757253</v>
      </c>
      <c r="BY29" s="2">
        <f t="shared" si="30"/>
        <v>385.07656282433862</v>
      </c>
      <c r="BZ29" s="2">
        <f t="shared" si="30"/>
        <v>392.77643759374598</v>
      </c>
      <c r="CA29" s="2">
        <f t="shared" si="30"/>
        <v>400.63037990749831</v>
      </c>
      <c r="CB29" s="2">
        <f t="shared" si="30"/>
        <v>408.6414686229578</v>
      </c>
      <c r="CC29" s="2">
        <f t="shared" si="30"/>
        <v>416.81284958685973</v>
      </c>
      <c r="CD29" s="2">
        <f t="shared" si="30"/>
        <v>425.14772891176398</v>
      </c>
    </row>
    <row r="30" spans="3:82" s="2" customFormat="1" x14ac:dyDescent="0.2">
      <c r="D30" s="2" t="s">
        <v>19</v>
      </c>
      <c r="F30" s="2" t="s">
        <v>7</v>
      </c>
      <c r="G30" s="2">
        <f t="shared" si="23"/>
        <v>1</v>
      </c>
      <c r="H30" s="2">
        <f t="shared" ref="H30:BS33" si="31">P276</f>
        <v>0</v>
      </c>
      <c r="I30" s="2" t="str">
        <f t="shared" si="31"/>
        <v>emission_co2e_co2_inen_nbmass_electronics|emission_co2e_co2_inen_nbmass_glass|emission_co2e_co2_inen_nbmass_other_product_manufacturing|emission_co2e_co2_inen_nbmass_recycled_glass|emission_co2e_co2_inen_nbmass_recycled_metals|emission_co2e_co2_inen_nbmass_recycled_paper|emission_co2e_co2_inen_nbmass_recycled_plastic|emission_co2e_co2_inen_nbmass_recycled_rubber_and_leather|emission_co2e_co2_inen_nbmass_recycled_textiles|emission_co2e_co2_inen_nbmass_recycled_wood</v>
      </c>
      <c r="J30" s="2">
        <f t="shared" si="31"/>
        <v>0</v>
      </c>
      <c r="K30" s="2">
        <f t="shared" si="31"/>
        <v>151.40600000000001</v>
      </c>
      <c r="L30" s="2">
        <f t="shared" si="31"/>
        <v>151.40600000000001</v>
      </c>
      <c r="M30" s="2">
        <f t="shared" si="31"/>
        <v>185.87299999999999</v>
      </c>
      <c r="N30" s="2">
        <f t="shared" si="31"/>
        <v>216.286</v>
      </c>
      <c r="O30" s="2">
        <f t="shared" si="31"/>
        <v>170.49199999999999</v>
      </c>
      <c r="P30" s="2">
        <f t="shared" si="31"/>
        <v>150.95400000000001</v>
      </c>
      <c r="Q30" s="2">
        <f t="shared" si="31"/>
        <v>148.203</v>
      </c>
      <c r="R30" s="2">
        <f t="shared" si="31"/>
        <v>144.13200000000001</v>
      </c>
      <c r="S30" s="2">
        <f t="shared" si="31"/>
        <v>185.02199999999999</v>
      </c>
      <c r="T30" s="2">
        <f t="shared" si="31"/>
        <v>224.358</v>
      </c>
      <c r="U30" s="2">
        <f t="shared" si="31"/>
        <v>209.20699999999999</v>
      </c>
      <c r="V30" s="2">
        <f t="shared" si="31"/>
        <v>232.65700000000001</v>
      </c>
      <c r="W30" s="2">
        <f t="shared" si="31"/>
        <v>198.518</v>
      </c>
      <c r="X30" s="2">
        <f t="shared" si="31"/>
        <v>186.86799999999999</v>
      </c>
      <c r="Y30" s="2">
        <f t="shared" si="31"/>
        <v>814.41499999999996</v>
      </c>
      <c r="Z30" s="2">
        <f t="shared" si="31"/>
        <v>378.85899999999998</v>
      </c>
      <c r="AA30" s="2">
        <f t="shared" si="31"/>
        <v>244.435</v>
      </c>
      <c r="AB30" s="2">
        <f t="shared" si="31"/>
        <v>485.38099999999997</v>
      </c>
      <c r="AC30" s="2">
        <f t="shared" si="31"/>
        <v>578.72900000000004</v>
      </c>
      <c r="AD30" s="2">
        <f t="shared" si="31"/>
        <v>661.58799999999997</v>
      </c>
      <c r="AE30" s="2">
        <f t="shared" si="31"/>
        <v>1022.672</v>
      </c>
      <c r="AF30" s="2">
        <f t="shared" si="31"/>
        <v>941.85400000000004</v>
      </c>
      <c r="AG30" s="2">
        <f t="shared" si="31"/>
        <v>928.00800000000004</v>
      </c>
      <c r="AH30" s="2">
        <f t="shared" si="31"/>
        <v>927.82799999999997</v>
      </c>
      <c r="AI30" s="2">
        <f t="shared" si="31"/>
        <v>1005.206</v>
      </c>
      <c r="AJ30" s="2">
        <f t="shared" si="31"/>
        <v>54.1890859522222</v>
      </c>
      <c r="AK30" s="2">
        <f t="shared" si="31"/>
        <v>84.45296231691681</v>
      </c>
      <c r="AL30" s="2">
        <f t="shared" si="31"/>
        <v>121.4740590087585</v>
      </c>
      <c r="AM30" s="2">
        <f t="shared" si="31"/>
        <v>165.4984657241655</v>
      </c>
      <c r="AN30" s="2">
        <f t="shared" si="31"/>
        <v>175.49642702893379</v>
      </c>
      <c r="AO30" s="2">
        <f t="shared" si="31"/>
        <v>186.9728075927965</v>
      </c>
      <c r="AP30" s="2">
        <f t="shared" si="31"/>
        <v>200.595985874896</v>
      </c>
      <c r="AQ30" s="2">
        <f t="shared" si="31"/>
        <v>232.57133102969871</v>
      </c>
      <c r="AR30" s="2">
        <f t="shared" si="31"/>
        <v>278.02566142554753</v>
      </c>
      <c r="AS30" s="2">
        <f t="shared" si="31"/>
        <v>343.54457172924691</v>
      </c>
      <c r="AT30" s="2">
        <f t="shared" si="31"/>
        <v>436.85978294065148</v>
      </c>
      <c r="AU30" s="2">
        <f t="shared" si="31"/>
        <v>562.65980249022005</v>
      </c>
      <c r="AV30" s="2">
        <f t="shared" si="31"/>
        <v>741.08333256099888</v>
      </c>
      <c r="AW30" s="2">
        <f t="shared" si="31"/>
        <v>987.38622793789398</v>
      </c>
      <c r="AX30" s="2">
        <f t="shared" si="31"/>
        <v>1313.103622195146</v>
      </c>
      <c r="AY30" s="2">
        <f t="shared" si="31"/>
        <v>1720.418821896023</v>
      </c>
      <c r="AZ30" s="2">
        <f t="shared" si="31"/>
        <v>2198.473140717349</v>
      </c>
      <c r="BA30" s="2">
        <f t="shared" si="31"/>
        <v>2725.3488516747402</v>
      </c>
      <c r="BB30" s="2">
        <f t="shared" si="31"/>
        <v>3275.5931593249602</v>
      </c>
      <c r="BC30" s="2">
        <f t="shared" si="31"/>
        <v>3828.6449920638051</v>
      </c>
      <c r="BD30" s="2">
        <f t="shared" si="31"/>
        <v>4352.1289542752584</v>
      </c>
      <c r="BE30" s="2">
        <f t="shared" si="31"/>
        <v>4836.3529705033779</v>
      </c>
      <c r="BF30" s="2">
        <f t="shared" si="31"/>
        <v>5278.5276380098376</v>
      </c>
      <c r="BG30" s="2">
        <f t="shared" si="31"/>
        <v>5679.1453998234574</v>
      </c>
      <c r="BH30" s="2">
        <f t="shared" si="31"/>
        <v>6039.7384884619323</v>
      </c>
      <c r="BI30" s="2">
        <f t="shared" si="31"/>
        <v>6361.5829468322218</v>
      </c>
      <c r="BJ30" s="2">
        <f t="shared" si="31"/>
        <v>6608.7669730304406</v>
      </c>
      <c r="BK30" s="2">
        <f t="shared" si="31"/>
        <v>6853.080208270957</v>
      </c>
      <c r="BL30" s="2">
        <f t="shared" si="31"/>
        <v>7093.4811834307766</v>
      </c>
      <c r="BM30" s="2">
        <f t="shared" si="31"/>
        <v>7328.911371778433</v>
      </c>
      <c r="BN30" s="2">
        <f t="shared" si="31"/>
        <v>7558.2994335702679</v>
      </c>
      <c r="BO30" s="2">
        <f t="shared" si="31"/>
        <v>7780.5697464703226</v>
      </c>
      <c r="BP30" s="2">
        <f t="shared" si="31"/>
        <v>7994.6516862231892</v>
      </c>
      <c r="BQ30" s="2">
        <f t="shared" si="31"/>
        <v>8199.4878857633539</v>
      </c>
      <c r="BR30" s="2">
        <f t="shared" si="31"/>
        <v>8394.0441500265733</v>
      </c>
      <c r="BS30" s="2">
        <f t="shared" si="31"/>
        <v>8577.3158025049215</v>
      </c>
      <c r="BT30" s="2">
        <f t="shared" si="30"/>
        <v>8748.3352388894364</v>
      </c>
      <c r="BU30" s="2">
        <f t="shared" si="30"/>
        <v>8922.7901952389184</v>
      </c>
      <c r="BV30" s="2">
        <f t="shared" si="30"/>
        <v>9100.7495066406682</v>
      </c>
      <c r="BW30" s="2">
        <f t="shared" si="30"/>
        <v>9282.2844668631315</v>
      </c>
      <c r="BX30" s="2">
        <f t="shared" si="30"/>
        <v>9467.4680141350909</v>
      </c>
      <c r="BY30" s="2">
        <f t="shared" si="30"/>
        <v>9656.3710173848776</v>
      </c>
      <c r="BZ30" s="2">
        <f t="shared" si="30"/>
        <v>9849.0674891648159</v>
      </c>
      <c r="CA30" s="2">
        <f t="shared" si="30"/>
        <v>10045.63611418479</v>
      </c>
      <c r="CB30" s="2">
        <f t="shared" si="30"/>
        <v>10246.15368680036</v>
      </c>
      <c r="CC30" s="2">
        <f t="shared" si="30"/>
        <v>10450.69994528582</v>
      </c>
      <c r="CD30" s="2">
        <f t="shared" si="30"/>
        <v>10659.355532975251</v>
      </c>
    </row>
    <row r="31" spans="3:82" s="2" customFormat="1" x14ac:dyDescent="0.2">
      <c r="D31" s="2" t="s">
        <v>19</v>
      </c>
      <c r="F31" s="2" t="s">
        <v>8</v>
      </c>
      <c r="G31" s="2">
        <f t="shared" si="23"/>
        <v>1</v>
      </c>
      <c r="H31" s="2">
        <f t="shared" si="31"/>
        <v>0</v>
      </c>
      <c r="I31" s="2" t="str">
        <f t="shared" si="31"/>
        <v>emission_co2e_n2o_inen_electronics|emission_co2e_n2o_inen_glass|emission_co2e_n2o_inen_other_product_manufacturing|emission_co2e_n2o_inen_recycled_glass|emission_co2e_n2o_inen_recycled_metals|emission_co2e_n2o_inen_recycled_paper|emission_co2e_n2o_inen_recycled_plastic|emission_co2e_n2o_inen_recycled_rubber_and_leather|emission_co2e_n2o_inen_recycled_textiles|emission_co2e_n2o_inen_recycled_wood</v>
      </c>
      <c r="J31" s="2">
        <f t="shared" si="31"/>
        <v>0</v>
      </c>
      <c r="K31" s="2">
        <f t="shared" si="31"/>
        <v>15.288</v>
      </c>
      <c r="L31" s="2">
        <f t="shared" si="31"/>
        <v>15.288</v>
      </c>
      <c r="M31" s="2">
        <f t="shared" si="31"/>
        <v>16.925999999999998</v>
      </c>
      <c r="N31" s="2">
        <f t="shared" si="31"/>
        <v>18.018000000000001</v>
      </c>
      <c r="O31" s="2">
        <f t="shared" si="31"/>
        <v>17.199000000000002</v>
      </c>
      <c r="P31" s="2">
        <f t="shared" si="31"/>
        <v>18.018000000000001</v>
      </c>
      <c r="Q31" s="2">
        <f t="shared" si="31"/>
        <v>48.047999999999988</v>
      </c>
      <c r="R31" s="2">
        <f t="shared" si="31"/>
        <v>29.210999999999999</v>
      </c>
      <c r="S31" s="2">
        <f t="shared" si="31"/>
        <v>32.213999999999999</v>
      </c>
      <c r="T31" s="2">
        <f t="shared" si="31"/>
        <v>35.216999999999999</v>
      </c>
      <c r="U31" s="2">
        <f t="shared" si="31"/>
        <v>37.947000000000003</v>
      </c>
      <c r="V31" s="2">
        <f t="shared" si="31"/>
        <v>38.220000000000013</v>
      </c>
      <c r="W31" s="2">
        <f t="shared" si="31"/>
        <v>43.134</v>
      </c>
      <c r="X31" s="2">
        <f t="shared" si="31"/>
        <v>57.33</v>
      </c>
      <c r="Y31" s="2">
        <f t="shared" si="31"/>
        <v>50.231999999999999</v>
      </c>
      <c r="Z31" s="2">
        <f t="shared" si="31"/>
        <v>51.87</v>
      </c>
      <c r="AA31" s="2">
        <f t="shared" si="31"/>
        <v>51.597000000000001</v>
      </c>
      <c r="AB31" s="2">
        <f t="shared" si="31"/>
        <v>52.143000000000001</v>
      </c>
      <c r="AC31" s="2">
        <f t="shared" si="31"/>
        <v>102.92100000000001</v>
      </c>
      <c r="AD31" s="2">
        <f t="shared" si="31"/>
        <v>105.92400000000001</v>
      </c>
      <c r="AE31" s="2">
        <f t="shared" si="31"/>
        <v>114.387</v>
      </c>
      <c r="AF31" s="2">
        <f t="shared" si="31"/>
        <v>107.01600000000001</v>
      </c>
      <c r="AG31" s="2">
        <f t="shared" si="31"/>
        <v>75.621000000000009</v>
      </c>
      <c r="AH31" s="2">
        <f t="shared" si="31"/>
        <v>82.718999999999994</v>
      </c>
      <c r="AI31" s="2">
        <f t="shared" si="31"/>
        <v>382.2</v>
      </c>
      <c r="AJ31" s="2">
        <f t="shared" si="31"/>
        <v>58.586932304393287</v>
      </c>
      <c r="AK31" s="2">
        <f t="shared" si="31"/>
        <v>58.693723221826097</v>
      </c>
      <c r="AL31" s="2">
        <f t="shared" si="31"/>
        <v>59.092101571886097</v>
      </c>
      <c r="AM31" s="2">
        <f t="shared" si="31"/>
        <v>59.580050948545598</v>
      </c>
      <c r="AN31" s="2">
        <f t="shared" si="31"/>
        <v>63.180561732404691</v>
      </c>
      <c r="AO31" s="2">
        <f t="shared" si="31"/>
        <v>67.3134994174886</v>
      </c>
      <c r="AP31" s="2">
        <f t="shared" si="31"/>
        <v>72.219564426666295</v>
      </c>
      <c r="AQ31" s="2">
        <f t="shared" si="31"/>
        <v>78.148798275361798</v>
      </c>
      <c r="AR31" s="2">
        <f t="shared" si="31"/>
        <v>84.855855184033302</v>
      </c>
      <c r="AS31" s="2">
        <f t="shared" si="31"/>
        <v>92.100218730339691</v>
      </c>
      <c r="AT31" s="2">
        <f t="shared" si="31"/>
        <v>99.010922686076313</v>
      </c>
      <c r="AU31" s="2">
        <f t="shared" si="31"/>
        <v>103.5925732747157</v>
      </c>
      <c r="AV31" s="2">
        <f t="shared" si="31"/>
        <v>106.7917693791286</v>
      </c>
      <c r="AW31" s="2">
        <f t="shared" si="31"/>
        <v>108.0416931136171</v>
      </c>
      <c r="AX31" s="2">
        <f t="shared" si="31"/>
        <v>106.9284414912665</v>
      </c>
      <c r="AY31" s="2">
        <f t="shared" si="31"/>
        <v>103.4218443860578</v>
      </c>
      <c r="AZ31" s="2">
        <f t="shared" si="31"/>
        <v>98.019252489493596</v>
      </c>
      <c r="BA31" s="2">
        <f t="shared" si="31"/>
        <v>91.668571385391104</v>
      </c>
      <c r="BB31" s="2">
        <f t="shared" si="31"/>
        <v>85.464888832529994</v>
      </c>
      <c r="BC31" s="2">
        <f t="shared" si="31"/>
        <v>80.310376214418213</v>
      </c>
      <c r="BD31" s="2">
        <f t="shared" si="31"/>
        <v>76.359252861028409</v>
      </c>
      <c r="BE31" s="2">
        <f t="shared" si="31"/>
        <v>73.807297064161403</v>
      </c>
      <c r="BF31" s="2">
        <f t="shared" si="31"/>
        <v>72.5659051814294</v>
      </c>
      <c r="BG31" s="2">
        <f t="shared" si="31"/>
        <v>72.396831261359907</v>
      </c>
      <c r="BH31" s="2">
        <f t="shared" si="31"/>
        <v>73.015855567730696</v>
      </c>
      <c r="BI31" s="2">
        <f t="shared" si="31"/>
        <v>74.150304535094904</v>
      </c>
      <c r="BJ31" s="2">
        <f t="shared" si="31"/>
        <v>77.036463884497095</v>
      </c>
      <c r="BK31" s="2">
        <f t="shared" si="31"/>
        <v>79.889098074560891</v>
      </c>
      <c r="BL31" s="2">
        <f t="shared" si="31"/>
        <v>82.696052667151292</v>
      </c>
      <c r="BM31" s="2">
        <f t="shared" si="31"/>
        <v>85.444967403020911</v>
      </c>
      <c r="BN31" s="2">
        <f t="shared" si="31"/>
        <v>88.123342632507615</v>
      </c>
      <c r="BO31" s="2">
        <f t="shared" si="31"/>
        <v>90.7186345077927</v>
      </c>
      <c r="BP31" s="2">
        <f t="shared" si="31"/>
        <v>93.2183565692863</v>
      </c>
      <c r="BQ31" s="2">
        <f t="shared" si="31"/>
        <v>95.610176279896194</v>
      </c>
      <c r="BR31" s="2">
        <f t="shared" si="31"/>
        <v>97.882022673554005</v>
      </c>
      <c r="BS31" s="2">
        <f t="shared" si="31"/>
        <v>100.0221721596306</v>
      </c>
      <c r="BT31" s="2">
        <f t="shared" si="30"/>
        <v>102.0193416383589</v>
      </c>
      <c r="BU31" s="2">
        <f t="shared" si="30"/>
        <v>104.056548530282</v>
      </c>
      <c r="BV31" s="2">
        <f t="shared" si="30"/>
        <v>106.1345943584584</v>
      </c>
      <c r="BW31" s="2">
        <f t="shared" si="30"/>
        <v>108.2543033996933</v>
      </c>
      <c r="BX31" s="2">
        <f t="shared" si="30"/>
        <v>110.41651777458929</v>
      </c>
      <c r="BY31" s="2">
        <f t="shared" si="30"/>
        <v>112.62207452320359</v>
      </c>
      <c r="BZ31" s="2">
        <f t="shared" si="30"/>
        <v>114.87183815306901</v>
      </c>
      <c r="CA31" s="2">
        <f t="shared" si="30"/>
        <v>117.1667102959771</v>
      </c>
      <c r="CB31" s="2">
        <f t="shared" si="30"/>
        <v>119.5075890911917</v>
      </c>
      <c r="CC31" s="2">
        <f t="shared" si="30"/>
        <v>121.89539939009229</v>
      </c>
      <c r="CD31" s="2">
        <f t="shared" si="30"/>
        <v>124.3310802553414</v>
      </c>
    </row>
    <row r="32" spans="3:82" s="2" customFormat="1" x14ac:dyDescent="0.2">
      <c r="D32" s="2" t="s">
        <v>20</v>
      </c>
      <c r="F32" s="2" t="s">
        <v>6</v>
      </c>
      <c r="G32" s="2">
        <f t="shared" si="23"/>
        <v>1</v>
      </c>
      <c r="H32" s="2">
        <f t="shared" si="31"/>
        <v>0</v>
      </c>
      <c r="I32" s="2" t="str">
        <f t="shared" si="31"/>
        <v>emission_co2e_ch4_inen_lime_and_carbonite</v>
      </c>
      <c r="J32" s="2">
        <f t="shared" si="31"/>
        <v>0</v>
      </c>
      <c r="K32" s="2">
        <f t="shared" si="31"/>
        <v>0</v>
      </c>
      <c r="L32" s="2">
        <f t="shared" si="31"/>
        <v>0</v>
      </c>
      <c r="M32" s="2">
        <f t="shared" si="31"/>
        <v>0</v>
      </c>
      <c r="N32" s="2">
        <f t="shared" si="31"/>
        <v>0</v>
      </c>
      <c r="O32" s="2">
        <f t="shared" si="31"/>
        <v>0</v>
      </c>
      <c r="P32" s="2">
        <f t="shared" si="31"/>
        <v>0</v>
      </c>
      <c r="Q32" s="2">
        <f t="shared" si="31"/>
        <v>0</v>
      </c>
      <c r="R32" s="2">
        <f t="shared" si="31"/>
        <v>0</v>
      </c>
      <c r="S32" s="2">
        <f t="shared" si="31"/>
        <v>0</v>
      </c>
      <c r="T32" s="2">
        <f t="shared" si="31"/>
        <v>0</v>
      </c>
      <c r="U32" s="2">
        <f t="shared" si="31"/>
        <v>0</v>
      </c>
      <c r="V32" s="2">
        <f t="shared" si="31"/>
        <v>0</v>
      </c>
      <c r="W32" s="2">
        <f t="shared" si="31"/>
        <v>0</v>
      </c>
      <c r="X32" s="2">
        <f t="shared" si="31"/>
        <v>0</v>
      </c>
      <c r="Y32" s="2">
        <f t="shared" si="31"/>
        <v>0</v>
      </c>
      <c r="Z32" s="2">
        <f t="shared" si="31"/>
        <v>0</v>
      </c>
      <c r="AA32" s="2">
        <f t="shared" si="31"/>
        <v>0</v>
      </c>
      <c r="AB32" s="2">
        <f t="shared" si="31"/>
        <v>0</v>
      </c>
      <c r="AC32" s="2">
        <f t="shared" si="31"/>
        <v>0</v>
      </c>
      <c r="AD32" s="2">
        <f t="shared" si="31"/>
        <v>0</v>
      </c>
      <c r="AE32" s="2">
        <f t="shared" si="31"/>
        <v>0</v>
      </c>
      <c r="AF32" s="2">
        <f t="shared" si="31"/>
        <v>0</v>
      </c>
      <c r="AG32" s="2">
        <f t="shared" si="31"/>
        <v>0</v>
      </c>
      <c r="AH32" s="2">
        <f t="shared" si="31"/>
        <v>0</v>
      </c>
      <c r="AI32" s="2">
        <f t="shared" si="31"/>
        <v>0</v>
      </c>
      <c r="AJ32" s="2">
        <f t="shared" si="31"/>
        <v>16.981374124233898</v>
      </c>
      <c r="AK32" s="2">
        <f t="shared" si="31"/>
        <v>15.7999864503929</v>
      </c>
      <c r="AL32" s="2">
        <f t="shared" si="31"/>
        <v>15.367745889061901</v>
      </c>
      <c r="AM32" s="2">
        <f t="shared" si="31"/>
        <v>14.816693735411899</v>
      </c>
      <c r="AN32" s="2">
        <f t="shared" si="31"/>
        <v>14.9698525144532</v>
      </c>
      <c r="AO32" s="2">
        <f t="shared" si="31"/>
        <v>15.1245944814863</v>
      </c>
      <c r="AP32" s="2">
        <f t="shared" si="31"/>
        <v>15.280936001777301</v>
      </c>
      <c r="AQ32" s="2">
        <f t="shared" si="31"/>
        <v>15.4173516378281</v>
      </c>
      <c r="AR32" s="2">
        <f t="shared" si="31"/>
        <v>15.481830284453601</v>
      </c>
      <c r="AS32" s="2">
        <f t="shared" si="31"/>
        <v>15.490781943531299</v>
      </c>
      <c r="AT32" s="2">
        <f t="shared" si="31"/>
        <v>15.3084817176779</v>
      </c>
      <c r="AU32" s="2">
        <f t="shared" si="31"/>
        <v>14.9476962531671</v>
      </c>
      <c r="AV32" s="2">
        <f t="shared" si="31"/>
        <v>14.3513890022281</v>
      </c>
      <c r="AW32" s="2">
        <f t="shared" si="31"/>
        <v>13.4430612238436</v>
      </c>
      <c r="AX32" s="2">
        <f t="shared" si="31"/>
        <v>12.187959724608</v>
      </c>
      <c r="AY32" s="2">
        <f t="shared" si="31"/>
        <v>10.622792688327101</v>
      </c>
      <c r="AZ32" s="2">
        <f t="shared" si="31"/>
        <v>8.8642814872907998</v>
      </c>
      <c r="BA32" s="2">
        <f t="shared" si="31"/>
        <v>7.0799037822070998</v>
      </c>
      <c r="BB32" s="2">
        <f t="shared" si="31"/>
        <v>5.4320005252644998</v>
      </c>
      <c r="BC32" s="2">
        <f t="shared" si="31"/>
        <v>4.0297187902899996</v>
      </c>
      <c r="BD32" s="2">
        <f t="shared" si="31"/>
        <v>2.9138462629166</v>
      </c>
      <c r="BE32" s="2">
        <f t="shared" si="31"/>
        <v>2.0711455600086999</v>
      </c>
      <c r="BF32" s="2">
        <f t="shared" si="31"/>
        <v>1.4631370576128999</v>
      </c>
      <c r="BG32" s="2">
        <f t="shared" si="31"/>
        <v>1.0355061267287999</v>
      </c>
      <c r="BH32" s="2">
        <f t="shared" si="31"/>
        <v>0.73987771147850001</v>
      </c>
      <c r="BI32" s="2">
        <f t="shared" si="31"/>
        <v>0.53820609371569994</v>
      </c>
      <c r="BJ32" s="2">
        <f t="shared" si="31"/>
        <v>0.54486557617809994</v>
      </c>
      <c r="BK32" s="2">
        <f t="shared" si="31"/>
        <v>0.55153372210829998</v>
      </c>
      <c r="BL32" s="2">
        <f t="shared" si="31"/>
        <v>0.55818242537329998</v>
      </c>
      <c r="BM32" s="2">
        <f t="shared" si="31"/>
        <v>0.56478228490460003</v>
      </c>
      <c r="BN32" s="2">
        <f t="shared" si="31"/>
        <v>0.57130261862289999</v>
      </c>
      <c r="BO32" s="2">
        <f t="shared" si="31"/>
        <v>0.57771149309430003</v>
      </c>
      <c r="BP32" s="2">
        <f t="shared" si="31"/>
        <v>0.58397576998430001</v>
      </c>
      <c r="BQ32" s="2">
        <f t="shared" si="31"/>
        <v>0.5900611703327</v>
      </c>
      <c r="BR32" s="2">
        <f t="shared" si="31"/>
        <v>0.59593235759320007</v>
      </c>
      <c r="BS32" s="2">
        <f t="shared" si="31"/>
        <v>0.60155304027800005</v>
      </c>
      <c r="BT32" s="2">
        <f t="shared" si="30"/>
        <v>0.60688609492279999</v>
      </c>
      <c r="BU32" s="2">
        <f t="shared" si="30"/>
        <v>0.61241937115870004</v>
      </c>
      <c r="BV32" s="2">
        <f t="shared" si="30"/>
        <v>0.61815743293059999</v>
      </c>
      <c r="BW32" s="2">
        <f t="shared" si="30"/>
        <v>0.62410503946859996</v>
      </c>
      <c r="BX32" s="2">
        <f t="shared" si="30"/>
        <v>0.63026715181760007</v>
      </c>
      <c r="BY32" s="2">
        <f t="shared" si="30"/>
        <v>0.63664893967790004</v>
      </c>
      <c r="BZ32" s="2">
        <f t="shared" si="30"/>
        <v>0.64325578857159993</v>
      </c>
      <c r="CA32" s="2">
        <f t="shared" si="30"/>
        <v>0.6500933073477001</v>
      </c>
      <c r="CB32" s="2">
        <f t="shared" si="30"/>
        <v>0.65716733604159994</v>
      </c>
      <c r="CC32" s="2">
        <f t="shared" si="30"/>
        <v>0.66448395410250005</v>
      </c>
      <c r="CD32" s="2">
        <f t="shared" si="30"/>
        <v>0.67204948900649997</v>
      </c>
    </row>
    <row r="33" spans="3:82" s="2" customFormat="1" x14ac:dyDescent="0.2">
      <c r="D33" s="2" t="s">
        <v>20</v>
      </c>
      <c r="F33" s="2" t="s">
        <v>7</v>
      </c>
      <c r="G33" s="2">
        <f t="shared" si="23"/>
        <v>1</v>
      </c>
      <c r="H33" s="2">
        <f t="shared" si="31"/>
        <v>0</v>
      </c>
      <c r="I33" s="2" t="str">
        <f t="shared" si="31"/>
        <v>emission_co2e_co2_inen_nbmass_lime_and_carbonite</v>
      </c>
      <c r="J33" s="2">
        <f t="shared" si="31"/>
        <v>0</v>
      </c>
      <c r="K33" s="2">
        <f t="shared" si="31"/>
        <v>0</v>
      </c>
      <c r="L33" s="2">
        <f t="shared" si="31"/>
        <v>0</v>
      </c>
      <c r="M33" s="2">
        <f t="shared" si="31"/>
        <v>0</v>
      </c>
      <c r="N33" s="2">
        <f t="shared" si="31"/>
        <v>0</v>
      </c>
      <c r="O33" s="2">
        <f t="shared" si="31"/>
        <v>0</v>
      </c>
      <c r="P33" s="2">
        <f t="shared" si="31"/>
        <v>0</v>
      </c>
      <c r="Q33" s="2">
        <f t="shared" si="31"/>
        <v>0</v>
      </c>
      <c r="R33" s="2">
        <f t="shared" si="31"/>
        <v>0</v>
      </c>
      <c r="S33" s="2">
        <f t="shared" si="31"/>
        <v>0</v>
      </c>
      <c r="T33" s="2">
        <f t="shared" si="31"/>
        <v>0</v>
      </c>
      <c r="U33" s="2">
        <f t="shared" si="31"/>
        <v>0</v>
      </c>
      <c r="V33" s="2">
        <f t="shared" si="31"/>
        <v>0</v>
      </c>
      <c r="W33" s="2">
        <f t="shared" si="31"/>
        <v>0</v>
      </c>
      <c r="X33" s="2">
        <f t="shared" si="31"/>
        <v>0</v>
      </c>
      <c r="Y33" s="2">
        <f t="shared" si="31"/>
        <v>0</v>
      </c>
      <c r="Z33" s="2">
        <f t="shared" si="31"/>
        <v>0</v>
      </c>
      <c r="AA33" s="2">
        <f t="shared" si="31"/>
        <v>0</v>
      </c>
      <c r="AB33" s="2">
        <f t="shared" si="31"/>
        <v>0</v>
      </c>
      <c r="AC33" s="2">
        <f t="shared" si="31"/>
        <v>0</v>
      </c>
      <c r="AD33" s="2">
        <f t="shared" si="31"/>
        <v>0</v>
      </c>
      <c r="AE33" s="2">
        <f t="shared" si="31"/>
        <v>0</v>
      </c>
      <c r="AF33" s="2">
        <f t="shared" si="31"/>
        <v>0</v>
      </c>
      <c r="AG33" s="2">
        <f t="shared" si="31"/>
        <v>0</v>
      </c>
      <c r="AH33" s="2">
        <f t="shared" si="31"/>
        <v>0</v>
      </c>
      <c r="AI33" s="2">
        <f t="shared" si="31"/>
        <v>0</v>
      </c>
      <c r="AJ33" s="2">
        <f t="shared" si="31"/>
        <v>2.6684396177468002</v>
      </c>
      <c r="AK33" s="2">
        <f t="shared" si="31"/>
        <v>3.8681366387296001</v>
      </c>
      <c r="AL33" s="2">
        <f t="shared" si="31"/>
        <v>5.3872221683178001</v>
      </c>
      <c r="AM33" s="2">
        <f t="shared" si="31"/>
        <v>7.0384316835612006</v>
      </c>
      <c r="AN33" s="2">
        <f t="shared" si="31"/>
        <v>7.1111872943790999</v>
      </c>
      <c r="AO33" s="2">
        <f t="shared" si="31"/>
        <v>7.1846949731493996</v>
      </c>
      <c r="AP33" s="2">
        <f t="shared" si="31"/>
        <v>7.2589624939285002</v>
      </c>
      <c r="AQ33" s="2">
        <f t="shared" si="31"/>
        <v>8.2294545366341012</v>
      </c>
      <c r="AR33" s="2">
        <f t="shared" si="31"/>
        <v>9.6493432125548999</v>
      </c>
      <c r="AS33" s="2">
        <f t="shared" si="31"/>
        <v>11.766587655770399</v>
      </c>
      <c r="AT33" s="2">
        <f t="shared" si="31"/>
        <v>14.806570439421201</v>
      </c>
      <c r="AU33" s="2">
        <f t="shared" si="31"/>
        <v>19.1839363062169</v>
      </c>
      <c r="AV33" s="2">
        <f t="shared" si="31"/>
        <v>25.3274815212575</v>
      </c>
      <c r="AW33" s="2">
        <f t="shared" si="31"/>
        <v>33.574010795070002</v>
      </c>
      <c r="AX33" s="2">
        <f t="shared" si="31"/>
        <v>44.023124474907902</v>
      </c>
      <c r="AY33" s="2">
        <f t="shared" si="31"/>
        <v>56.3640236507743</v>
      </c>
      <c r="AZ33" s="2">
        <f t="shared" si="31"/>
        <v>69.826382276681201</v>
      </c>
      <c r="BA33" s="2">
        <f t="shared" si="31"/>
        <v>83.35148203369711</v>
      </c>
      <c r="BB33" s="2">
        <f t="shared" si="31"/>
        <v>95.918551593556501</v>
      </c>
      <c r="BC33" s="2">
        <f t="shared" si="31"/>
        <v>106.82617240389099</v>
      </c>
      <c r="BD33" s="2">
        <f t="shared" si="31"/>
        <v>115.783190846925</v>
      </c>
      <c r="BE33" s="2">
        <f t="shared" si="31"/>
        <v>122.828498507003</v>
      </c>
      <c r="BF33" s="2">
        <f t="shared" si="31"/>
        <v>128.52566006216901</v>
      </c>
      <c r="BG33" s="2">
        <f t="shared" si="31"/>
        <v>133.15820610441</v>
      </c>
      <c r="BH33" s="2">
        <f t="shared" si="31"/>
        <v>136.924371469199</v>
      </c>
      <c r="BI33" s="2">
        <f t="shared" si="31"/>
        <v>140.01868670090701</v>
      </c>
      <c r="BJ33" s="2">
        <f t="shared" si="31"/>
        <v>141.75120515321399</v>
      </c>
      <c r="BK33" s="2">
        <f t="shared" si="31"/>
        <v>143.48597747700299</v>
      </c>
      <c r="BL33" s="2">
        <f t="shared" si="31"/>
        <v>145.215691633522</v>
      </c>
      <c r="BM33" s="2">
        <f t="shared" si="31"/>
        <v>146.93269869599101</v>
      </c>
      <c r="BN33" s="2">
        <f t="shared" si="31"/>
        <v>148.62901647233099</v>
      </c>
      <c r="BO33" s="2">
        <f t="shared" si="31"/>
        <v>150.29633722026199</v>
      </c>
      <c r="BP33" s="2">
        <f t="shared" si="31"/>
        <v>151.926039732932</v>
      </c>
      <c r="BQ33" s="2">
        <f t="shared" si="31"/>
        <v>153.509206060476</v>
      </c>
      <c r="BR33" s="2">
        <f t="shared" si="31"/>
        <v>155.03664311326199</v>
      </c>
      <c r="BS33" s="2">
        <f t="shared" ref="BS33:CD36" si="32">CA279</f>
        <v>156.49890936606101</v>
      </c>
      <c r="BT33" s="2">
        <f t="shared" si="32"/>
        <v>157.88634684805299</v>
      </c>
      <c r="BU33" s="2">
        <f t="shared" si="32"/>
        <v>159.32587360325701</v>
      </c>
      <c r="BV33" s="2">
        <f t="shared" si="32"/>
        <v>160.818676978924</v>
      </c>
      <c r="BW33" s="2">
        <f t="shared" si="32"/>
        <v>162.365995127476</v>
      </c>
      <c r="BX33" s="2">
        <f t="shared" si="32"/>
        <v>163.969118705016</v>
      </c>
      <c r="BY33" s="2">
        <f t="shared" si="32"/>
        <v>165.62939265106701</v>
      </c>
      <c r="BZ33" s="2">
        <f t="shared" si="32"/>
        <v>167.34821805293399</v>
      </c>
      <c r="CA33" s="2">
        <f t="shared" si="32"/>
        <v>169.127054098283</v>
      </c>
      <c r="CB33" s="2">
        <f t="shared" si="32"/>
        <v>170.96742011972199</v>
      </c>
      <c r="CC33" s="2">
        <f t="shared" si="32"/>
        <v>172.870897735342</v>
      </c>
      <c r="CD33" s="2">
        <f t="shared" si="32"/>
        <v>174.83913308942999</v>
      </c>
    </row>
    <row r="34" spans="3:82" s="2" customFormat="1" x14ac:dyDescent="0.2">
      <c r="D34" s="2" t="s">
        <v>20</v>
      </c>
      <c r="F34" s="2" t="s">
        <v>8</v>
      </c>
      <c r="G34" s="2">
        <f t="shared" si="23"/>
        <v>1</v>
      </c>
      <c r="H34" s="2">
        <f t="shared" ref="H34:BS37" si="33">P280</f>
        <v>0</v>
      </c>
      <c r="I34" s="2" t="str">
        <f t="shared" si="33"/>
        <v>emission_co2e_n2o_inen_lime_and_carbonite</v>
      </c>
      <c r="J34" s="2">
        <f t="shared" si="33"/>
        <v>0</v>
      </c>
      <c r="K34" s="2">
        <f t="shared" si="33"/>
        <v>0</v>
      </c>
      <c r="L34" s="2">
        <f t="shared" si="33"/>
        <v>0</v>
      </c>
      <c r="M34" s="2">
        <f t="shared" si="33"/>
        <v>0</v>
      </c>
      <c r="N34" s="2">
        <f t="shared" si="33"/>
        <v>0</v>
      </c>
      <c r="O34" s="2">
        <f t="shared" si="33"/>
        <v>0</v>
      </c>
      <c r="P34" s="2">
        <f t="shared" si="33"/>
        <v>0</v>
      </c>
      <c r="Q34" s="2">
        <f t="shared" si="33"/>
        <v>0</v>
      </c>
      <c r="R34" s="2">
        <f t="shared" si="33"/>
        <v>0</v>
      </c>
      <c r="S34" s="2">
        <f t="shared" si="33"/>
        <v>0</v>
      </c>
      <c r="T34" s="2">
        <f t="shared" si="33"/>
        <v>0</v>
      </c>
      <c r="U34" s="2">
        <f t="shared" si="33"/>
        <v>0</v>
      </c>
      <c r="V34" s="2">
        <f t="shared" si="33"/>
        <v>0</v>
      </c>
      <c r="W34" s="2">
        <f t="shared" si="33"/>
        <v>0</v>
      </c>
      <c r="X34" s="2">
        <f t="shared" si="33"/>
        <v>0</v>
      </c>
      <c r="Y34" s="2">
        <f t="shared" si="33"/>
        <v>0</v>
      </c>
      <c r="Z34" s="2">
        <f t="shared" si="33"/>
        <v>0</v>
      </c>
      <c r="AA34" s="2">
        <f t="shared" si="33"/>
        <v>0</v>
      </c>
      <c r="AB34" s="2">
        <f t="shared" si="33"/>
        <v>0</v>
      </c>
      <c r="AC34" s="2">
        <f t="shared" si="33"/>
        <v>0</v>
      </c>
      <c r="AD34" s="2">
        <f t="shared" si="33"/>
        <v>0</v>
      </c>
      <c r="AE34" s="2">
        <f t="shared" si="33"/>
        <v>0</v>
      </c>
      <c r="AF34" s="2">
        <f t="shared" si="33"/>
        <v>0</v>
      </c>
      <c r="AG34" s="2">
        <f t="shared" si="33"/>
        <v>0</v>
      </c>
      <c r="AH34" s="2">
        <f t="shared" si="33"/>
        <v>0</v>
      </c>
      <c r="AI34" s="2">
        <f t="shared" si="33"/>
        <v>0</v>
      </c>
      <c r="AJ34" s="2">
        <f t="shared" si="33"/>
        <v>2.7777993442767999</v>
      </c>
      <c r="AK34" s="2">
        <f t="shared" si="33"/>
        <v>2.5912799389158998</v>
      </c>
      <c r="AL34" s="2">
        <f t="shared" si="33"/>
        <v>2.5282852643942002</v>
      </c>
      <c r="AM34" s="2">
        <f t="shared" si="33"/>
        <v>2.4465881576003001</v>
      </c>
      <c r="AN34" s="2">
        <f t="shared" si="33"/>
        <v>2.4718783108374001</v>
      </c>
      <c r="AO34" s="2">
        <f t="shared" si="33"/>
        <v>2.4974298860259001</v>
      </c>
      <c r="AP34" s="2">
        <f t="shared" si="33"/>
        <v>2.5232455854603999</v>
      </c>
      <c r="AQ34" s="2">
        <f t="shared" si="33"/>
        <v>2.5508332895982999</v>
      </c>
      <c r="AR34" s="2">
        <f t="shared" si="33"/>
        <v>2.5692453372588</v>
      </c>
      <c r="AS34" s="2">
        <f t="shared" si="33"/>
        <v>2.5825337754776001</v>
      </c>
      <c r="AT34" s="2">
        <f t="shared" si="33"/>
        <v>2.5699073159446999</v>
      </c>
      <c r="AU34" s="2">
        <f t="shared" si="33"/>
        <v>2.5357577432391998</v>
      </c>
      <c r="AV34" s="2">
        <f t="shared" si="33"/>
        <v>2.4732151118145</v>
      </c>
      <c r="AW34" s="2">
        <f t="shared" si="33"/>
        <v>2.3717333051748</v>
      </c>
      <c r="AX34" s="2">
        <f t="shared" si="33"/>
        <v>2.2262227238571999</v>
      </c>
      <c r="AY34" s="2">
        <f t="shared" si="33"/>
        <v>2.0409101238018001</v>
      </c>
      <c r="AZ34" s="2">
        <f t="shared" si="33"/>
        <v>1.8304534231219001</v>
      </c>
      <c r="BA34" s="2">
        <f t="shared" si="33"/>
        <v>1.6161449110902999</v>
      </c>
      <c r="BB34" s="2">
        <f t="shared" si="33"/>
        <v>1.4186544230446001</v>
      </c>
      <c r="BC34" s="2">
        <f t="shared" si="33"/>
        <v>1.2517944411797</v>
      </c>
      <c r="BD34" s="2">
        <f t="shared" si="33"/>
        <v>1.1205643173688999</v>
      </c>
      <c r="BE34" s="2">
        <f t="shared" si="33"/>
        <v>1.0230307719749001</v>
      </c>
      <c r="BF34" s="2">
        <f t="shared" si="33"/>
        <v>0.95609204846090001</v>
      </c>
      <c r="BG34" s="2">
        <f t="shared" si="33"/>
        <v>0.91250848323700007</v>
      </c>
      <c r="BH34" s="2">
        <f t="shared" si="33"/>
        <v>0.88552865691049998</v>
      </c>
      <c r="BI34" s="2">
        <f t="shared" si="33"/>
        <v>0.87005863861470001</v>
      </c>
      <c r="BJ34" s="2">
        <f t="shared" si="33"/>
        <v>0.88082429198229995</v>
      </c>
      <c r="BK34" s="2">
        <f t="shared" si="33"/>
        <v>0.89160395062570008</v>
      </c>
      <c r="BL34" s="2">
        <f t="shared" si="33"/>
        <v>0.90235217844920002</v>
      </c>
      <c r="BM34" s="2">
        <f t="shared" si="33"/>
        <v>0.91302144597669999</v>
      </c>
      <c r="BN34" s="2">
        <f t="shared" si="33"/>
        <v>0.92356215286309995</v>
      </c>
      <c r="BO34" s="2">
        <f t="shared" si="33"/>
        <v>0.93392267583519994</v>
      </c>
      <c r="BP34" s="2">
        <f t="shared" si="33"/>
        <v>0.94404944378989997</v>
      </c>
      <c r="BQ34" s="2">
        <f t="shared" si="33"/>
        <v>0.95388704169979999</v>
      </c>
      <c r="BR34" s="2">
        <f t="shared" si="33"/>
        <v>0.96337834485389995</v>
      </c>
      <c r="BS34" s="2">
        <f t="shared" si="33"/>
        <v>0.97246468479299997</v>
      </c>
      <c r="BT34" s="2">
        <f t="shared" si="32"/>
        <v>0.98108604809239996</v>
      </c>
      <c r="BU34" s="2">
        <f t="shared" si="32"/>
        <v>0.99003108763229997</v>
      </c>
      <c r="BV34" s="2">
        <f t="shared" si="32"/>
        <v>0.9993071814408</v>
      </c>
      <c r="BW34" s="2">
        <f t="shared" si="32"/>
        <v>1.0089220232419001</v>
      </c>
      <c r="BX34" s="2">
        <f t="shared" si="32"/>
        <v>1.0188836330116999</v>
      </c>
      <c r="BY34" s="2">
        <f t="shared" si="32"/>
        <v>1.0292003680366999</v>
      </c>
      <c r="BZ34" s="2">
        <f t="shared" si="32"/>
        <v>1.0398809344982001</v>
      </c>
      <c r="CA34" s="2">
        <f t="shared" si="32"/>
        <v>1.0509343996061999</v>
      </c>
      <c r="CB34" s="2">
        <f t="shared" si="32"/>
        <v>1.0623702043043</v>
      </c>
      <c r="CC34" s="2">
        <f t="shared" si="32"/>
        <v>1.0741981765691</v>
      </c>
      <c r="CD34" s="2">
        <f t="shared" si="32"/>
        <v>1.0864285453364999</v>
      </c>
    </row>
    <row r="35" spans="3:82" s="2" customFormat="1" x14ac:dyDescent="0.2">
      <c r="D35" s="2" t="s">
        <v>21</v>
      </c>
      <c r="F35" s="2" t="s">
        <v>6</v>
      </c>
      <c r="G35" s="2">
        <f t="shared" si="23"/>
        <v>1</v>
      </c>
      <c r="H35" s="2">
        <f t="shared" si="33"/>
        <v>0</v>
      </c>
      <c r="I35" s="2" t="str">
        <f t="shared" si="33"/>
        <v>emission_co2e_ch4_inen_mining</v>
      </c>
      <c r="J35" s="2">
        <f t="shared" si="33"/>
        <v>0</v>
      </c>
      <c r="K35" s="2">
        <f t="shared" si="33"/>
        <v>0</v>
      </c>
      <c r="L35" s="2">
        <f t="shared" si="33"/>
        <v>0</v>
      </c>
      <c r="M35" s="2">
        <f t="shared" si="33"/>
        <v>0</v>
      </c>
      <c r="N35" s="2">
        <f t="shared" si="33"/>
        <v>0</v>
      </c>
      <c r="O35" s="2">
        <f t="shared" si="33"/>
        <v>0</v>
      </c>
      <c r="P35" s="2">
        <f t="shared" si="33"/>
        <v>0</v>
      </c>
      <c r="Q35" s="2">
        <f t="shared" si="33"/>
        <v>0</v>
      </c>
      <c r="R35" s="2">
        <f t="shared" si="33"/>
        <v>0</v>
      </c>
      <c r="S35" s="2">
        <f t="shared" si="33"/>
        <v>0</v>
      </c>
      <c r="T35" s="2">
        <f t="shared" si="33"/>
        <v>0</v>
      </c>
      <c r="U35" s="2">
        <f t="shared" si="33"/>
        <v>0</v>
      </c>
      <c r="V35" s="2">
        <f t="shared" si="33"/>
        <v>0</v>
      </c>
      <c r="W35" s="2">
        <f t="shared" si="33"/>
        <v>0</v>
      </c>
      <c r="X35" s="2">
        <f t="shared" si="33"/>
        <v>0</v>
      </c>
      <c r="Y35" s="2">
        <f t="shared" si="33"/>
        <v>0</v>
      </c>
      <c r="Z35" s="2">
        <f t="shared" si="33"/>
        <v>0</v>
      </c>
      <c r="AA35" s="2">
        <f t="shared" si="33"/>
        <v>0</v>
      </c>
      <c r="AB35" s="2">
        <f t="shared" si="33"/>
        <v>0</v>
      </c>
      <c r="AC35" s="2">
        <f t="shared" si="33"/>
        <v>0</v>
      </c>
      <c r="AD35" s="2">
        <f t="shared" si="33"/>
        <v>0</v>
      </c>
      <c r="AE35" s="2">
        <f t="shared" si="33"/>
        <v>0</v>
      </c>
      <c r="AF35" s="2">
        <f t="shared" si="33"/>
        <v>0</v>
      </c>
      <c r="AG35" s="2">
        <f t="shared" si="33"/>
        <v>0</v>
      </c>
      <c r="AH35" s="2">
        <f t="shared" si="33"/>
        <v>0</v>
      </c>
      <c r="AI35" s="2">
        <f t="shared" si="33"/>
        <v>0</v>
      </c>
      <c r="AJ35" s="2">
        <f t="shared" si="33"/>
        <v>1448.1132097490799</v>
      </c>
      <c r="AK35" s="2">
        <f t="shared" si="33"/>
        <v>1274.6134277379099</v>
      </c>
      <c r="AL35" s="2">
        <f t="shared" si="33"/>
        <v>1234.8484655719101</v>
      </c>
      <c r="AM35" s="2">
        <f t="shared" si="33"/>
        <v>1181.9978887361699</v>
      </c>
      <c r="AN35" s="2">
        <f t="shared" si="33"/>
        <v>1185.6180966649199</v>
      </c>
      <c r="AO35" s="2">
        <f t="shared" si="33"/>
        <v>1189.2493925199401</v>
      </c>
      <c r="AP35" s="2">
        <f t="shared" si="33"/>
        <v>1192.8918102611999</v>
      </c>
      <c r="AQ35" s="2">
        <f t="shared" si="33"/>
        <v>1188.0426648918601</v>
      </c>
      <c r="AR35" s="2">
        <f t="shared" si="33"/>
        <v>1177.58908205834</v>
      </c>
      <c r="AS35" s="2">
        <f t="shared" si="33"/>
        <v>1159.46859215788</v>
      </c>
      <c r="AT35" s="2">
        <f t="shared" si="33"/>
        <v>1129.5177336588299</v>
      </c>
      <c r="AU35" s="2">
        <f t="shared" si="33"/>
        <v>1084.56296878436</v>
      </c>
      <c r="AV35" s="2">
        <f t="shared" si="33"/>
        <v>1020.76013490806</v>
      </c>
      <c r="AW35" s="2">
        <f t="shared" si="33"/>
        <v>935.190772073635</v>
      </c>
      <c r="AX35" s="2">
        <f t="shared" si="33"/>
        <v>828.01093581914802</v>
      </c>
      <c r="AY35" s="2">
        <f t="shared" si="33"/>
        <v>704.01930101251196</v>
      </c>
      <c r="AZ35" s="2">
        <f t="shared" si="33"/>
        <v>572.59784978545508</v>
      </c>
      <c r="BA35" s="2">
        <f t="shared" si="33"/>
        <v>445.27810791996097</v>
      </c>
      <c r="BB35" s="2">
        <f t="shared" si="33"/>
        <v>332.04272021790803</v>
      </c>
      <c r="BC35" s="2">
        <f t="shared" si="33"/>
        <v>238.64497159461101</v>
      </c>
      <c r="BD35" s="2">
        <f t="shared" si="33"/>
        <v>166.23738349046599</v>
      </c>
      <c r="BE35" s="2">
        <f t="shared" si="33"/>
        <v>112.735210641649</v>
      </c>
      <c r="BF35" s="2">
        <f t="shared" si="33"/>
        <v>74.604639240644005</v>
      </c>
      <c r="BG35" s="2">
        <f t="shared" si="33"/>
        <v>48.1001052685207</v>
      </c>
      <c r="BH35" s="2">
        <f t="shared" si="33"/>
        <v>30.004798420016801</v>
      </c>
      <c r="BI35" s="2">
        <f t="shared" si="33"/>
        <v>17.7885493838949</v>
      </c>
      <c r="BJ35" s="2">
        <f t="shared" si="33"/>
        <v>17.856890812860001</v>
      </c>
      <c r="BK35" s="2">
        <f t="shared" si="33"/>
        <v>17.929021262909298</v>
      </c>
      <c r="BL35" s="2">
        <f t="shared" si="33"/>
        <v>18.004277405125102</v>
      </c>
      <c r="BM35" s="2">
        <f t="shared" si="33"/>
        <v>18.081986319069198</v>
      </c>
      <c r="BN35" s="2">
        <f t="shared" si="33"/>
        <v>18.1614643445564</v>
      </c>
      <c r="BO35" s="2">
        <f t="shared" si="33"/>
        <v>18.242016187762101</v>
      </c>
      <c r="BP35" s="2">
        <f t="shared" si="33"/>
        <v>18.3229342884581</v>
      </c>
      <c r="BQ35" s="2">
        <f t="shared" si="33"/>
        <v>18.403498456083</v>
      </c>
      <c r="BR35" s="2">
        <f t="shared" si="33"/>
        <v>18.482975782974499</v>
      </c>
      <c r="BS35" s="2">
        <f t="shared" si="33"/>
        <v>18.5606208434419</v>
      </c>
      <c r="BT35" s="2">
        <f t="shared" si="32"/>
        <v>18.635676187373701</v>
      </c>
      <c r="BU35" s="2">
        <f t="shared" si="32"/>
        <v>18.7148993359095</v>
      </c>
      <c r="BV35" s="2">
        <f t="shared" si="32"/>
        <v>18.798339998240799</v>
      </c>
      <c r="BW35" s="2">
        <f t="shared" si="32"/>
        <v>18.886050708205101</v>
      </c>
      <c r="BX35" s="2">
        <f t="shared" si="32"/>
        <v>18.9780868792826</v>
      </c>
      <c r="BY35" s="2">
        <f t="shared" si="32"/>
        <v>19.074506862799701</v>
      </c>
      <c r="BZ35" s="2">
        <f t="shared" si="32"/>
        <v>19.175372009426599</v>
      </c>
      <c r="CA35" s="2">
        <f t="shared" si="32"/>
        <v>19.280746734058301</v>
      </c>
      <c r="CB35" s="2">
        <f t="shared" si="32"/>
        <v>19.3906985841761</v>
      </c>
      <c r="CC35" s="2">
        <f t="shared" si="32"/>
        <v>19.5052983117893</v>
      </c>
      <c r="CD35" s="2">
        <f t="shared" si="32"/>
        <v>19.624619949065</v>
      </c>
    </row>
    <row r="36" spans="3:82" s="2" customFormat="1" x14ac:dyDescent="0.2">
      <c r="D36" s="2" t="s">
        <v>21</v>
      </c>
      <c r="F36" s="2" t="s">
        <v>7</v>
      </c>
      <c r="G36" s="2">
        <f t="shared" si="23"/>
        <v>1</v>
      </c>
      <c r="H36" s="2">
        <f t="shared" si="33"/>
        <v>0</v>
      </c>
      <c r="I36" s="2" t="str">
        <f t="shared" si="33"/>
        <v>emission_co2e_co2_inen_nbmass_mining</v>
      </c>
      <c r="J36" s="2">
        <f t="shared" si="33"/>
        <v>0</v>
      </c>
      <c r="K36" s="2">
        <f t="shared" si="33"/>
        <v>0</v>
      </c>
      <c r="L36" s="2">
        <f t="shared" si="33"/>
        <v>0</v>
      </c>
      <c r="M36" s="2">
        <f t="shared" si="33"/>
        <v>0</v>
      </c>
      <c r="N36" s="2">
        <f t="shared" si="33"/>
        <v>0</v>
      </c>
      <c r="O36" s="2">
        <f t="shared" si="33"/>
        <v>0</v>
      </c>
      <c r="P36" s="2">
        <f t="shared" si="33"/>
        <v>0</v>
      </c>
      <c r="Q36" s="2">
        <f t="shared" si="33"/>
        <v>0</v>
      </c>
      <c r="R36" s="2">
        <f t="shared" si="33"/>
        <v>0</v>
      </c>
      <c r="S36" s="2">
        <f t="shared" si="33"/>
        <v>0</v>
      </c>
      <c r="T36" s="2">
        <f t="shared" si="33"/>
        <v>0</v>
      </c>
      <c r="U36" s="2">
        <f t="shared" si="33"/>
        <v>0</v>
      </c>
      <c r="V36" s="2">
        <f t="shared" si="33"/>
        <v>0</v>
      </c>
      <c r="W36" s="2">
        <f t="shared" si="33"/>
        <v>0</v>
      </c>
      <c r="X36" s="2">
        <f t="shared" si="33"/>
        <v>0</v>
      </c>
      <c r="Y36" s="2">
        <f t="shared" si="33"/>
        <v>0</v>
      </c>
      <c r="Z36" s="2">
        <f t="shared" si="33"/>
        <v>0</v>
      </c>
      <c r="AA36" s="2">
        <f t="shared" si="33"/>
        <v>0</v>
      </c>
      <c r="AB36" s="2">
        <f t="shared" si="33"/>
        <v>0</v>
      </c>
      <c r="AC36" s="2">
        <f t="shared" si="33"/>
        <v>0</v>
      </c>
      <c r="AD36" s="2">
        <f t="shared" si="33"/>
        <v>0</v>
      </c>
      <c r="AE36" s="2">
        <f t="shared" si="33"/>
        <v>0</v>
      </c>
      <c r="AF36" s="2">
        <f t="shared" si="33"/>
        <v>0</v>
      </c>
      <c r="AG36" s="2">
        <f t="shared" si="33"/>
        <v>0</v>
      </c>
      <c r="AH36" s="2">
        <f t="shared" si="33"/>
        <v>0</v>
      </c>
      <c r="AI36" s="2">
        <f t="shared" si="33"/>
        <v>0</v>
      </c>
      <c r="AJ36" s="2">
        <f t="shared" si="33"/>
        <v>227.55535751152399</v>
      </c>
      <c r="AK36" s="2">
        <f t="shared" si="33"/>
        <v>312.04956507587701</v>
      </c>
      <c r="AL36" s="2">
        <f t="shared" si="33"/>
        <v>432.88085814700401</v>
      </c>
      <c r="AM36" s="2">
        <f t="shared" si="33"/>
        <v>561.48905677248695</v>
      </c>
      <c r="AN36" s="2">
        <f t="shared" si="33"/>
        <v>563.20877823273997</v>
      </c>
      <c r="AO36" s="2">
        <f t="shared" si="33"/>
        <v>564.93376683375891</v>
      </c>
      <c r="AP36" s="2">
        <f t="shared" si="33"/>
        <v>566.66403870767499</v>
      </c>
      <c r="AQ36" s="2">
        <f t="shared" si="33"/>
        <v>617.27898538647798</v>
      </c>
      <c r="AR36" s="2">
        <f t="shared" si="33"/>
        <v>691.77209021914496</v>
      </c>
      <c r="AS36" s="2">
        <f t="shared" si="33"/>
        <v>801.04487606420503</v>
      </c>
      <c r="AT36" s="2">
        <f t="shared" si="33"/>
        <v>958.38339182337097</v>
      </c>
      <c r="AU36" s="2">
        <f t="shared" si="33"/>
        <v>1180.79268048066</v>
      </c>
      <c r="AV36" s="2">
        <f t="shared" si="33"/>
        <v>1485.1789775817399</v>
      </c>
      <c r="AW36" s="2">
        <f t="shared" si="33"/>
        <v>1883.01298941298</v>
      </c>
      <c r="AX36" s="2">
        <f t="shared" si="33"/>
        <v>2372.83669388507</v>
      </c>
      <c r="AY36" s="2">
        <f t="shared" si="33"/>
        <v>2933.6288075766602</v>
      </c>
      <c r="AZ36" s="2">
        <f t="shared" si="33"/>
        <v>3525.05840209179</v>
      </c>
      <c r="BA36" s="2">
        <f t="shared" si="33"/>
        <v>4097.7875634379398</v>
      </c>
      <c r="BB36" s="2">
        <f t="shared" si="33"/>
        <v>4609.1263150778504</v>
      </c>
      <c r="BC36" s="2">
        <f t="shared" si="33"/>
        <v>5034.3799463329105</v>
      </c>
      <c r="BD36" s="2">
        <f t="shared" si="33"/>
        <v>5368.4246677820802</v>
      </c>
      <c r="BE36" s="2">
        <f t="shared" si="33"/>
        <v>5619.9411622260895</v>
      </c>
      <c r="BF36" s="2">
        <f t="shared" si="33"/>
        <v>5805.5757827902698</v>
      </c>
      <c r="BG36" s="2">
        <f t="shared" si="33"/>
        <v>5940.9441490661202</v>
      </c>
      <c r="BH36" s="2">
        <f t="shared" si="33"/>
        <v>6041.6506385173598</v>
      </c>
      <c r="BI36" s="2">
        <f t="shared" si="33"/>
        <v>6117.6772839454306</v>
      </c>
      <c r="BJ36" s="2">
        <f t="shared" si="33"/>
        <v>6141.1806511121104</v>
      </c>
      <c r="BK36" s="2">
        <f t="shared" si="33"/>
        <v>6165.9871041974293</v>
      </c>
      <c r="BL36" s="2">
        <f t="shared" si="33"/>
        <v>6191.8685171094594</v>
      </c>
      <c r="BM36" s="2">
        <f t="shared" si="33"/>
        <v>6218.5934651272401</v>
      </c>
      <c r="BN36" s="2">
        <f t="shared" si="33"/>
        <v>6245.9268300128797</v>
      </c>
      <c r="BO36" s="2">
        <f t="shared" si="33"/>
        <v>6273.6294925922602</v>
      </c>
      <c r="BP36" s="2">
        <f t="shared" si="33"/>
        <v>6301.4581151407001</v>
      </c>
      <c r="BQ36" s="2">
        <f t="shared" si="33"/>
        <v>6329.1650162230408</v>
      </c>
      <c r="BR36" s="2">
        <f t="shared" si="33"/>
        <v>6356.4981408539597</v>
      </c>
      <c r="BS36" s="2">
        <f t="shared" si="33"/>
        <v>6383.2011289605598</v>
      </c>
      <c r="BT36" s="2">
        <f t="shared" si="32"/>
        <v>6409.0134851398498</v>
      </c>
      <c r="BU36" s="2">
        <f t="shared" si="32"/>
        <v>6436.2591950457399</v>
      </c>
      <c r="BV36" s="2">
        <f t="shared" si="32"/>
        <v>6464.9553542144786</v>
      </c>
      <c r="BW36" s="2">
        <f t="shared" si="32"/>
        <v>6495.1200296091702</v>
      </c>
      <c r="BX36" s="2">
        <f t="shared" si="32"/>
        <v>6526.77227853355</v>
      </c>
      <c r="BY36" s="2">
        <f t="shared" si="32"/>
        <v>6559.9321686488702</v>
      </c>
      <c r="BZ36" s="2">
        <f t="shared" si="32"/>
        <v>6594.6207991236897</v>
      </c>
      <c r="CA36" s="2">
        <f t="shared" si="32"/>
        <v>6630.8603229471</v>
      </c>
      <c r="CB36" s="2">
        <f t="shared" si="32"/>
        <v>6668.6739704389202</v>
      </c>
      <c r="CC36" s="2">
        <f t="shared" si="32"/>
        <v>6708.0860739913214</v>
      </c>
      <c r="CD36" s="2">
        <f t="shared" si="32"/>
        <v>6749.1220940787998</v>
      </c>
    </row>
    <row r="37" spans="3:82" s="2" customFormat="1" x14ac:dyDescent="0.2">
      <c r="D37" s="2" t="s">
        <v>21</v>
      </c>
      <c r="F37" s="2" t="s">
        <v>8</v>
      </c>
      <c r="G37" s="2">
        <f t="shared" si="23"/>
        <v>1</v>
      </c>
      <c r="H37" s="2">
        <f t="shared" si="33"/>
        <v>0</v>
      </c>
      <c r="I37" s="2" t="str">
        <f t="shared" si="33"/>
        <v>emission_co2e_n2o_inen_mining</v>
      </c>
      <c r="J37" s="2">
        <f t="shared" si="33"/>
        <v>0</v>
      </c>
      <c r="K37" s="2">
        <f t="shared" si="33"/>
        <v>0</v>
      </c>
      <c r="L37" s="2">
        <f t="shared" si="33"/>
        <v>0</v>
      </c>
      <c r="M37" s="2">
        <f t="shared" si="33"/>
        <v>0</v>
      </c>
      <c r="N37" s="2">
        <f t="shared" si="33"/>
        <v>0</v>
      </c>
      <c r="O37" s="2">
        <f t="shared" si="33"/>
        <v>0</v>
      </c>
      <c r="P37" s="2">
        <f t="shared" si="33"/>
        <v>0</v>
      </c>
      <c r="Q37" s="2">
        <f t="shared" si="33"/>
        <v>0</v>
      </c>
      <c r="R37" s="2">
        <f t="shared" si="33"/>
        <v>0</v>
      </c>
      <c r="S37" s="2">
        <f t="shared" si="33"/>
        <v>0</v>
      </c>
      <c r="T37" s="2">
        <f t="shared" si="33"/>
        <v>0</v>
      </c>
      <c r="U37" s="2">
        <f t="shared" si="33"/>
        <v>0</v>
      </c>
      <c r="V37" s="2">
        <f t="shared" si="33"/>
        <v>0</v>
      </c>
      <c r="W37" s="2">
        <f t="shared" si="33"/>
        <v>0</v>
      </c>
      <c r="X37" s="2">
        <f t="shared" si="33"/>
        <v>0</v>
      </c>
      <c r="Y37" s="2">
        <f t="shared" si="33"/>
        <v>0</v>
      </c>
      <c r="Z37" s="2">
        <f t="shared" si="33"/>
        <v>0</v>
      </c>
      <c r="AA37" s="2">
        <f t="shared" si="33"/>
        <v>0</v>
      </c>
      <c r="AB37" s="2">
        <f t="shared" si="33"/>
        <v>0</v>
      </c>
      <c r="AC37" s="2">
        <f t="shared" si="33"/>
        <v>0</v>
      </c>
      <c r="AD37" s="2">
        <f t="shared" si="33"/>
        <v>0</v>
      </c>
      <c r="AE37" s="2">
        <f t="shared" si="33"/>
        <v>0</v>
      </c>
      <c r="AF37" s="2">
        <f t="shared" si="33"/>
        <v>0</v>
      </c>
      <c r="AG37" s="2">
        <f t="shared" si="33"/>
        <v>0</v>
      </c>
      <c r="AH37" s="2">
        <f t="shared" si="33"/>
        <v>0</v>
      </c>
      <c r="AI37" s="2">
        <f t="shared" si="33"/>
        <v>0</v>
      </c>
      <c r="AJ37" s="2">
        <f t="shared" si="33"/>
        <v>236.88117905247699</v>
      </c>
      <c r="AK37" s="2">
        <f t="shared" si="33"/>
        <v>209.043230229355</v>
      </c>
      <c r="AL37" s="2">
        <f t="shared" si="33"/>
        <v>203.15596065963001</v>
      </c>
      <c r="AM37" s="2">
        <f t="shared" si="33"/>
        <v>195.175933884567</v>
      </c>
      <c r="AN37" s="2">
        <f t="shared" si="33"/>
        <v>195.773716224183</v>
      </c>
      <c r="AO37" s="2">
        <f t="shared" si="33"/>
        <v>196.37332944385699</v>
      </c>
      <c r="AP37" s="2">
        <f t="shared" si="33"/>
        <v>196.97477915119001</v>
      </c>
      <c r="AQ37" s="2">
        <f t="shared" si="33"/>
        <v>196.38782575737699</v>
      </c>
      <c r="AR37" s="2">
        <f t="shared" si="33"/>
        <v>194.98265255193201</v>
      </c>
      <c r="AS37" s="2">
        <f t="shared" si="33"/>
        <v>192.46668929314299</v>
      </c>
      <c r="AT37" s="2">
        <f t="shared" si="33"/>
        <v>188.21410540469199</v>
      </c>
      <c r="AU37" s="2">
        <f t="shared" si="33"/>
        <v>181.775653039004</v>
      </c>
      <c r="AV37" s="2">
        <f t="shared" si="33"/>
        <v>172.59223594698301</v>
      </c>
      <c r="AW37" s="2">
        <f t="shared" si="33"/>
        <v>160.233881163771</v>
      </c>
      <c r="AX37" s="2">
        <f t="shared" si="33"/>
        <v>144.72016827398701</v>
      </c>
      <c r="AY37" s="2">
        <f t="shared" si="33"/>
        <v>126.749352550503</v>
      </c>
      <c r="AZ37" s="2">
        <f t="shared" si="33"/>
        <v>107.689709375696</v>
      </c>
      <c r="BA37" s="2">
        <f t="shared" si="33"/>
        <v>89.223947970953304</v>
      </c>
      <c r="BB37" s="2">
        <f t="shared" si="33"/>
        <v>72.808845829083708</v>
      </c>
      <c r="BC37" s="2">
        <f t="shared" si="33"/>
        <v>59.283617065659598</v>
      </c>
      <c r="BD37" s="2">
        <f t="shared" si="33"/>
        <v>48.815662131110699</v>
      </c>
      <c r="BE37" s="2">
        <f t="shared" si="33"/>
        <v>41.099804554385898</v>
      </c>
      <c r="BF37" s="2">
        <f t="shared" si="33"/>
        <v>35.626548791133096</v>
      </c>
      <c r="BG37" s="2">
        <f t="shared" si="33"/>
        <v>31.847677132851299</v>
      </c>
      <c r="BH37" s="2">
        <f t="shared" si="33"/>
        <v>29.3012216753587</v>
      </c>
      <c r="BI37" s="2">
        <f t="shared" si="33"/>
        <v>27.6145671423434</v>
      </c>
      <c r="BJ37" s="2">
        <f t="shared" si="33"/>
        <v>27.720658928583699</v>
      </c>
      <c r="BK37" s="2">
        <f t="shared" si="33"/>
        <v>27.832632710869799</v>
      </c>
      <c r="BL37" s="2">
        <f t="shared" si="33"/>
        <v>27.9494587514444</v>
      </c>
      <c r="BM37" s="2">
        <f t="shared" si="33"/>
        <v>28.070092422878901</v>
      </c>
      <c r="BN37" s="2">
        <f t="shared" si="33"/>
        <v>28.193472425587</v>
      </c>
      <c r="BO37" s="2">
        <f t="shared" si="33"/>
        <v>28.318519400167901</v>
      </c>
      <c r="BP37" s="2">
        <f t="shared" si="33"/>
        <v>28.444134945116598</v>
      </c>
      <c r="BQ37" s="2">
        <f t="shared" si="33"/>
        <v>28.569201051864798</v>
      </c>
      <c r="BR37" s="2">
        <f t="shared" si="33"/>
        <v>28.6925799700876</v>
      </c>
      <c r="BS37" s="2">
        <f t="shared" ref="BS37:CD40" si="34">CA283</f>
        <v>28.813114516737599</v>
      </c>
      <c r="BT37" s="2">
        <f t="shared" si="34"/>
        <v>28.9296288423111</v>
      </c>
      <c r="BU37" s="2">
        <f t="shared" si="34"/>
        <v>29.052613179440399</v>
      </c>
      <c r="BV37" s="2">
        <f t="shared" si="34"/>
        <v>29.182144695620899</v>
      </c>
      <c r="BW37" s="2">
        <f t="shared" si="34"/>
        <v>29.318304943269201</v>
      </c>
      <c r="BX37" s="2">
        <f t="shared" si="34"/>
        <v>29.461179945097399</v>
      </c>
      <c r="BY37" s="2">
        <f t="shared" si="34"/>
        <v>29.610860284468298</v>
      </c>
      <c r="BZ37" s="2">
        <f t="shared" si="34"/>
        <v>29.767441200862201</v>
      </c>
      <c r="CA37" s="2">
        <f t="shared" si="34"/>
        <v>29.9310226905977</v>
      </c>
      <c r="CB37" s="2">
        <f t="shared" si="34"/>
        <v>30.101709612953002</v>
      </c>
      <c r="CC37" s="2">
        <f t="shared" si="34"/>
        <v>30.279611801848201</v>
      </c>
      <c r="CD37" s="2">
        <f t="shared" si="34"/>
        <v>30.464844183251198</v>
      </c>
    </row>
    <row r="38" spans="3:82" s="2" customFormat="1" x14ac:dyDescent="0.2">
      <c r="D38" s="2" t="s">
        <v>22</v>
      </c>
      <c r="F38" s="2" t="s">
        <v>6</v>
      </c>
      <c r="G38" s="2">
        <f t="shared" si="23"/>
        <v>1</v>
      </c>
      <c r="H38" s="2">
        <f t="shared" ref="H38:BS41" si="35">P284</f>
        <v>0</v>
      </c>
      <c r="I38" s="2" t="str">
        <f t="shared" si="35"/>
        <v>emission_co2e_ch4_inen_wood</v>
      </c>
      <c r="J38" s="2">
        <f t="shared" si="35"/>
        <v>0</v>
      </c>
      <c r="K38" s="2">
        <f t="shared" si="35"/>
        <v>0</v>
      </c>
      <c r="L38" s="2">
        <f t="shared" si="35"/>
        <v>0</v>
      </c>
      <c r="M38" s="2">
        <f t="shared" si="35"/>
        <v>0</v>
      </c>
      <c r="N38" s="2">
        <f t="shared" si="35"/>
        <v>0</v>
      </c>
      <c r="O38" s="2">
        <f t="shared" si="35"/>
        <v>0</v>
      </c>
      <c r="P38" s="2">
        <f t="shared" si="35"/>
        <v>0</v>
      </c>
      <c r="Q38" s="2">
        <f t="shared" si="35"/>
        <v>0</v>
      </c>
      <c r="R38" s="2">
        <f t="shared" si="35"/>
        <v>0</v>
      </c>
      <c r="S38" s="2">
        <f t="shared" si="35"/>
        <v>0</v>
      </c>
      <c r="T38" s="2">
        <f t="shared" si="35"/>
        <v>0</v>
      </c>
      <c r="U38" s="2">
        <f t="shared" si="35"/>
        <v>0</v>
      </c>
      <c r="V38" s="2">
        <f t="shared" si="35"/>
        <v>0</v>
      </c>
      <c r="W38" s="2">
        <f t="shared" si="35"/>
        <v>0</v>
      </c>
      <c r="X38" s="2">
        <f t="shared" si="35"/>
        <v>0</v>
      </c>
      <c r="Y38" s="2">
        <f t="shared" si="35"/>
        <v>0</v>
      </c>
      <c r="Z38" s="2">
        <f t="shared" si="35"/>
        <v>0</v>
      </c>
      <c r="AA38" s="2">
        <f t="shared" si="35"/>
        <v>0</v>
      </c>
      <c r="AB38" s="2">
        <f t="shared" si="35"/>
        <v>0</v>
      </c>
      <c r="AC38" s="2">
        <f t="shared" si="35"/>
        <v>0</v>
      </c>
      <c r="AD38" s="2">
        <f t="shared" si="35"/>
        <v>0</v>
      </c>
      <c r="AE38" s="2">
        <f t="shared" si="35"/>
        <v>0</v>
      </c>
      <c r="AF38" s="2">
        <f t="shared" si="35"/>
        <v>0</v>
      </c>
      <c r="AG38" s="2">
        <f t="shared" si="35"/>
        <v>0</v>
      </c>
      <c r="AH38" s="2">
        <f t="shared" si="35"/>
        <v>0</v>
      </c>
      <c r="AI38" s="2">
        <f t="shared" si="35"/>
        <v>0</v>
      </c>
      <c r="AJ38" s="2">
        <f t="shared" si="35"/>
        <v>0</v>
      </c>
      <c r="AK38" s="2">
        <f t="shared" si="35"/>
        <v>0</v>
      </c>
      <c r="AL38" s="2">
        <f t="shared" si="35"/>
        <v>0</v>
      </c>
      <c r="AM38" s="2">
        <f t="shared" si="35"/>
        <v>0</v>
      </c>
      <c r="AN38" s="2">
        <f t="shared" si="35"/>
        <v>0</v>
      </c>
      <c r="AO38" s="2">
        <f t="shared" si="35"/>
        <v>0</v>
      </c>
      <c r="AP38" s="2">
        <f t="shared" si="35"/>
        <v>0</v>
      </c>
      <c r="AQ38" s="2">
        <f t="shared" si="35"/>
        <v>0</v>
      </c>
      <c r="AR38" s="2">
        <f t="shared" si="35"/>
        <v>0</v>
      </c>
      <c r="AS38" s="2">
        <f t="shared" si="35"/>
        <v>0</v>
      </c>
      <c r="AT38" s="2">
        <f t="shared" si="35"/>
        <v>0</v>
      </c>
      <c r="AU38" s="2">
        <f t="shared" si="35"/>
        <v>0</v>
      </c>
      <c r="AV38" s="2">
        <f t="shared" si="35"/>
        <v>0</v>
      </c>
      <c r="AW38" s="2">
        <f t="shared" si="35"/>
        <v>0</v>
      </c>
      <c r="AX38" s="2">
        <f t="shared" si="35"/>
        <v>0</v>
      </c>
      <c r="AY38" s="2">
        <f t="shared" si="35"/>
        <v>0</v>
      </c>
      <c r="AZ38" s="2">
        <f t="shared" si="35"/>
        <v>0</v>
      </c>
      <c r="BA38" s="2">
        <f t="shared" si="35"/>
        <v>0</v>
      </c>
      <c r="BB38" s="2">
        <f t="shared" si="35"/>
        <v>0</v>
      </c>
      <c r="BC38" s="2">
        <f t="shared" si="35"/>
        <v>0</v>
      </c>
      <c r="BD38" s="2">
        <f t="shared" si="35"/>
        <v>0</v>
      </c>
      <c r="BE38" s="2">
        <f t="shared" si="35"/>
        <v>0</v>
      </c>
      <c r="BF38" s="2">
        <f t="shared" si="35"/>
        <v>0</v>
      </c>
      <c r="BG38" s="2">
        <f t="shared" si="35"/>
        <v>0</v>
      </c>
      <c r="BH38" s="2">
        <f t="shared" si="35"/>
        <v>0</v>
      </c>
      <c r="BI38" s="2">
        <f t="shared" si="35"/>
        <v>0</v>
      </c>
      <c r="BJ38" s="2">
        <f t="shared" si="35"/>
        <v>0</v>
      </c>
      <c r="BK38" s="2">
        <f t="shared" si="35"/>
        <v>0</v>
      </c>
      <c r="BL38" s="2">
        <f t="shared" si="35"/>
        <v>0</v>
      </c>
      <c r="BM38" s="2">
        <f t="shared" si="35"/>
        <v>0</v>
      </c>
      <c r="BN38" s="2">
        <f t="shared" si="35"/>
        <v>0</v>
      </c>
      <c r="BO38" s="2">
        <f t="shared" si="35"/>
        <v>0</v>
      </c>
      <c r="BP38" s="2">
        <f t="shared" si="35"/>
        <v>0</v>
      </c>
      <c r="BQ38" s="2">
        <f t="shared" si="35"/>
        <v>0</v>
      </c>
      <c r="BR38" s="2">
        <f t="shared" si="35"/>
        <v>0</v>
      </c>
      <c r="BS38" s="2">
        <f t="shared" si="35"/>
        <v>0</v>
      </c>
      <c r="BT38" s="2">
        <f t="shared" si="34"/>
        <v>0</v>
      </c>
      <c r="BU38" s="2">
        <f t="shared" si="34"/>
        <v>0</v>
      </c>
      <c r="BV38" s="2">
        <f t="shared" si="34"/>
        <v>0</v>
      </c>
      <c r="BW38" s="2">
        <f t="shared" si="34"/>
        <v>0</v>
      </c>
      <c r="BX38" s="2">
        <f t="shared" si="34"/>
        <v>0</v>
      </c>
      <c r="BY38" s="2">
        <f t="shared" si="34"/>
        <v>0</v>
      </c>
      <c r="BZ38" s="2">
        <f t="shared" si="34"/>
        <v>0</v>
      </c>
      <c r="CA38" s="2">
        <f t="shared" si="34"/>
        <v>0</v>
      </c>
      <c r="CB38" s="2">
        <f t="shared" si="34"/>
        <v>0</v>
      </c>
      <c r="CC38" s="2">
        <f t="shared" si="34"/>
        <v>0</v>
      </c>
      <c r="CD38" s="2">
        <f t="shared" si="34"/>
        <v>0</v>
      </c>
    </row>
    <row r="39" spans="3:82" s="2" customFormat="1" x14ac:dyDescent="0.2">
      <c r="D39" s="2" t="s">
        <v>22</v>
      </c>
      <c r="F39" s="2" t="s">
        <v>7</v>
      </c>
      <c r="G39" s="2">
        <f t="shared" si="23"/>
        <v>1</v>
      </c>
      <c r="H39" s="2">
        <f t="shared" si="35"/>
        <v>0</v>
      </c>
      <c r="I39" s="2" t="str">
        <f t="shared" si="35"/>
        <v>emission_co2e_co2_inen_nbmass_wood</v>
      </c>
      <c r="J39" s="2">
        <f t="shared" si="35"/>
        <v>0</v>
      </c>
      <c r="K39" s="2">
        <f t="shared" si="35"/>
        <v>0</v>
      </c>
      <c r="L39" s="2">
        <f t="shared" si="35"/>
        <v>0</v>
      </c>
      <c r="M39" s="2">
        <f t="shared" si="35"/>
        <v>0</v>
      </c>
      <c r="N39" s="2">
        <f t="shared" si="35"/>
        <v>0</v>
      </c>
      <c r="O39" s="2">
        <f t="shared" si="35"/>
        <v>0</v>
      </c>
      <c r="P39" s="2">
        <f t="shared" si="35"/>
        <v>0</v>
      </c>
      <c r="Q39" s="2">
        <f t="shared" si="35"/>
        <v>0</v>
      </c>
      <c r="R39" s="2">
        <f t="shared" si="35"/>
        <v>0</v>
      </c>
      <c r="S39" s="2">
        <f t="shared" si="35"/>
        <v>0</v>
      </c>
      <c r="T39" s="2">
        <f t="shared" si="35"/>
        <v>0</v>
      </c>
      <c r="U39" s="2">
        <f t="shared" si="35"/>
        <v>0</v>
      </c>
      <c r="V39" s="2">
        <f t="shared" si="35"/>
        <v>0</v>
      </c>
      <c r="W39" s="2">
        <f t="shared" si="35"/>
        <v>0</v>
      </c>
      <c r="X39" s="2">
        <f t="shared" si="35"/>
        <v>0</v>
      </c>
      <c r="Y39" s="2">
        <f t="shared" si="35"/>
        <v>0</v>
      </c>
      <c r="Z39" s="2">
        <f t="shared" si="35"/>
        <v>0</v>
      </c>
      <c r="AA39" s="2">
        <f t="shared" si="35"/>
        <v>0</v>
      </c>
      <c r="AB39" s="2">
        <f t="shared" si="35"/>
        <v>0</v>
      </c>
      <c r="AC39" s="2">
        <f t="shared" si="35"/>
        <v>0</v>
      </c>
      <c r="AD39" s="2">
        <f t="shared" si="35"/>
        <v>0</v>
      </c>
      <c r="AE39" s="2">
        <f t="shared" si="35"/>
        <v>0</v>
      </c>
      <c r="AF39" s="2">
        <f t="shared" si="35"/>
        <v>0</v>
      </c>
      <c r="AG39" s="2">
        <f t="shared" si="35"/>
        <v>0</v>
      </c>
      <c r="AH39" s="2">
        <f t="shared" si="35"/>
        <v>0</v>
      </c>
      <c r="AI39" s="2">
        <f t="shared" si="35"/>
        <v>0</v>
      </c>
      <c r="AJ39" s="2">
        <f t="shared" si="35"/>
        <v>0</v>
      </c>
      <c r="AK39" s="2">
        <f t="shared" si="35"/>
        <v>0</v>
      </c>
      <c r="AL39" s="2">
        <f t="shared" si="35"/>
        <v>0</v>
      </c>
      <c r="AM39" s="2">
        <f t="shared" si="35"/>
        <v>0</v>
      </c>
      <c r="AN39" s="2">
        <f t="shared" si="35"/>
        <v>0</v>
      </c>
      <c r="AO39" s="2">
        <f t="shared" si="35"/>
        <v>0</v>
      </c>
      <c r="AP39" s="2">
        <f t="shared" si="35"/>
        <v>0</v>
      </c>
      <c r="AQ39" s="2">
        <f t="shared" si="35"/>
        <v>0</v>
      </c>
      <c r="AR39" s="2">
        <f t="shared" si="35"/>
        <v>0</v>
      </c>
      <c r="AS39" s="2">
        <f t="shared" si="35"/>
        <v>0</v>
      </c>
      <c r="AT39" s="2">
        <f t="shared" si="35"/>
        <v>0</v>
      </c>
      <c r="AU39" s="2">
        <f t="shared" si="35"/>
        <v>0</v>
      </c>
      <c r="AV39" s="2">
        <f t="shared" si="35"/>
        <v>0</v>
      </c>
      <c r="AW39" s="2">
        <f t="shared" si="35"/>
        <v>0</v>
      </c>
      <c r="AX39" s="2">
        <f t="shared" si="35"/>
        <v>0</v>
      </c>
      <c r="AY39" s="2">
        <f t="shared" si="35"/>
        <v>0</v>
      </c>
      <c r="AZ39" s="2">
        <f t="shared" si="35"/>
        <v>0</v>
      </c>
      <c r="BA39" s="2">
        <f t="shared" si="35"/>
        <v>0</v>
      </c>
      <c r="BB39" s="2">
        <f t="shared" si="35"/>
        <v>0</v>
      </c>
      <c r="BC39" s="2">
        <f t="shared" si="35"/>
        <v>0</v>
      </c>
      <c r="BD39" s="2">
        <f t="shared" si="35"/>
        <v>0</v>
      </c>
      <c r="BE39" s="2">
        <f t="shared" si="35"/>
        <v>0</v>
      </c>
      <c r="BF39" s="2">
        <f t="shared" si="35"/>
        <v>0</v>
      </c>
      <c r="BG39" s="2">
        <f t="shared" si="35"/>
        <v>0</v>
      </c>
      <c r="BH39" s="2">
        <f t="shared" si="35"/>
        <v>0</v>
      </c>
      <c r="BI39" s="2">
        <f t="shared" si="35"/>
        <v>0</v>
      </c>
      <c r="BJ39" s="2">
        <f t="shared" si="35"/>
        <v>0</v>
      </c>
      <c r="BK39" s="2">
        <f t="shared" si="35"/>
        <v>0</v>
      </c>
      <c r="BL39" s="2">
        <f t="shared" si="35"/>
        <v>0</v>
      </c>
      <c r="BM39" s="2">
        <f t="shared" si="35"/>
        <v>0</v>
      </c>
      <c r="BN39" s="2">
        <f t="shared" si="35"/>
        <v>0</v>
      </c>
      <c r="BO39" s="2">
        <f t="shared" si="35"/>
        <v>0</v>
      </c>
      <c r="BP39" s="2">
        <f t="shared" si="35"/>
        <v>0</v>
      </c>
      <c r="BQ39" s="2">
        <f t="shared" si="35"/>
        <v>0</v>
      </c>
      <c r="BR39" s="2">
        <f t="shared" si="35"/>
        <v>0</v>
      </c>
      <c r="BS39" s="2">
        <f t="shared" si="35"/>
        <v>0</v>
      </c>
      <c r="BT39" s="2">
        <f t="shared" si="34"/>
        <v>0</v>
      </c>
      <c r="BU39" s="2">
        <f t="shared" si="34"/>
        <v>0</v>
      </c>
      <c r="BV39" s="2">
        <f t="shared" si="34"/>
        <v>0</v>
      </c>
      <c r="BW39" s="2">
        <f t="shared" si="34"/>
        <v>0</v>
      </c>
      <c r="BX39" s="2">
        <f t="shared" si="34"/>
        <v>0</v>
      </c>
      <c r="BY39" s="2">
        <f t="shared" si="34"/>
        <v>0</v>
      </c>
      <c r="BZ39" s="2">
        <f t="shared" si="34"/>
        <v>0</v>
      </c>
      <c r="CA39" s="2">
        <f t="shared" si="34"/>
        <v>0</v>
      </c>
      <c r="CB39" s="2">
        <f t="shared" si="34"/>
        <v>0</v>
      </c>
      <c r="CC39" s="2">
        <f t="shared" si="34"/>
        <v>0</v>
      </c>
      <c r="CD39" s="2">
        <f t="shared" si="34"/>
        <v>0</v>
      </c>
    </row>
    <row r="40" spans="3:82" s="2" customFormat="1" x14ac:dyDescent="0.2">
      <c r="D40" s="2" t="s">
        <v>22</v>
      </c>
      <c r="F40" s="2" t="s">
        <v>8</v>
      </c>
      <c r="G40" s="2">
        <f t="shared" si="23"/>
        <v>1</v>
      </c>
      <c r="H40" s="2">
        <f t="shared" si="35"/>
        <v>0</v>
      </c>
      <c r="I40" s="2" t="str">
        <f t="shared" si="35"/>
        <v>emission_co2e_n2o_inen_wood</v>
      </c>
      <c r="J40" s="2">
        <f t="shared" si="35"/>
        <v>0</v>
      </c>
      <c r="K40" s="2">
        <f t="shared" si="35"/>
        <v>0</v>
      </c>
      <c r="L40" s="2">
        <f t="shared" si="35"/>
        <v>0</v>
      </c>
      <c r="M40" s="2">
        <f t="shared" si="35"/>
        <v>0</v>
      </c>
      <c r="N40" s="2">
        <f t="shared" si="35"/>
        <v>0</v>
      </c>
      <c r="O40" s="2">
        <f t="shared" si="35"/>
        <v>0</v>
      </c>
      <c r="P40" s="2">
        <f t="shared" si="35"/>
        <v>0</v>
      </c>
      <c r="Q40" s="2">
        <f t="shared" si="35"/>
        <v>0</v>
      </c>
      <c r="R40" s="2">
        <f t="shared" si="35"/>
        <v>0</v>
      </c>
      <c r="S40" s="2">
        <f t="shared" si="35"/>
        <v>0</v>
      </c>
      <c r="T40" s="2">
        <f t="shared" si="35"/>
        <v>0</v>
      </c>
      <c r="U40" s="2">
        <f t="shared" si="35"/>
        <v>0</v>
      </c>
      <c r="V40" s="2">
        <f t="shared" si="35"/>
        <v>0</v>
      </c>
      <c r="W40" s="2">
        <f t="shared" si="35"/>
        <v>0</v>
      </c>
      <c r="X40" s="2">
        <f t="shared" si="35"/>
        <v>0</v>
      </c>
      <c r="Y40" s="2">
        <f t="shared" si="35"/>
        <v>0</v>
      </c>
      <c r="Z40" s="2">
        <f t="shared" si="35"/>
        <v>0</v>
      </c>
      <c r="AA40" s="2">
        <f t="shared" si="35"/>
        <v>0</v>
      </c>
      <c r="AB40" s="2">
        <f t="shared" si="35"/>
        <v>0</v>
      </c>
      <c r="AC40" s="2">
        <f t="shared" si="35"/>
        <v>0</v>
      </c>
      <c r="AD40" s="2">
        <f t="shared" si="35"/>
        <v>0</v>
      </c>
      <c r="AE40" s="2">
        <f t="shared" si="35"/>
        <v>0</v>
      </c>
      <c r="AF40" s="2">
        <f t="shared" si="35"/>
        <v>0</v>
      </c>
      <c r="AG40" s="2">
        <f t="shared" si="35"/>
        <v>0</v>
      </c>
      <c r="AH40" s="2">
        <f t="shared" si="35"/>
        <v>0</v>
      </c>
      <c r="AI40" s="2">
        <f t="shared" si="35"/>
        <v>0</v>
      </c>
      <c r="AJ40" s="2">
        <f t="shared" si="35"/>
        <v>0</v>
      </c>
      <c r="AK40" s="2">
        <f t="shared" si="35"/>
        <v>0</v>
      </c>
      <c r="AL40" s="2">
        <f t="shared" si="35"/>
        <v>0</v>
      </c>
      <c r="AM40" s="2">
        <f t="shared" si="35"/>
        <v>0</v>
      </c>
      <c r="AN40" s="2">
        <f t="shared" si="35"/>
        <v>0</v>
      </c>
      <c r="AO40" s="2">
        <f t="shared" si="35"/>
        <v>0</v>
      </c>
      <c r="AP40" s="2">
        <f t="shared" si="35"/>
        <v>0</v>
      </c>
      <c r="AQ40" s="2">
        <f t="shared" si="35"/>
        <v>0</v>
      </c>
      <c r="AR40" s="2">
        <f t="shared" si="35"/>
        <v>0</v>
      </c>
      <c r="AS40" s="2">
        <f t="shared" si="35"/>
        <v>0</v>
      </c>
      <c r="AT40" s="2">
        <f t="shared" si="35"/>
        <v>0</v>
      </c>
      <c r="AU40" s="2">
        <f t="shared" si="35"/>
        <v>0</v>
      </c>
      <c r="AV40" s="2">
        <f t="shared" si="35"/>
        <v>0</v>
      </c>
      <c r="AW40" s="2">
        <f t="shared" si="35"/>
        <v>0</v>
      </c>
      <c r="AX40" s="2">
        <f t="shared" si="35"/>
        <v>0</v>
      </c>
      <c r="AY40" s="2">
        <f t="shared" si="35"/>
        <v>0</v>
      </c>
      <c r="AZ40" s="2">
        <f t="shared" si="35"/>
        <v>0</v>
      </c>
      <c r="BA40" s="2">
        <f t="shared" si="35"/>
        <v>0</v>
      </c>
      <c r="BB40" s="2">
        <f t="shared" si="35"/>
        <v>0</v>
      </c>
      <c r="BC40" s="2">
        <f t="shared" si="35"/>
        <v>0</v>
      </c>
      <c r="BD40" s="2">
        <f t="shared" si="35"/>
        <v>0</v>
      </c>
      <c r="BE40" s="2">
        <f t="shared" si="35"/>
        <v>0</v>
      </c>
      <c r="BF40" s="2">
        <f t="shared" si="35"/>
        <v>0</v>
      </c>
      <c r="BG40" s="2">
        <f t="shared" si="35"/>
        <v>0</v>
      </c>
      <c r="BH40" s="2">
        <f t="shared" si="35"/>
        <v>0</v>
      </c>
      <c r="BI40" s="2">
        <f t="shared" si="35"/>
        <v>0</v>
      </c>
      <c r="BJ40" s="2">
        <f t="shared" si="35"/>
        <v>0</v>
      </c>
      <c r="BK40" s="2">
        <f t="shared" si="35"/>
        <v>0</v>
      </c>
      <c r="BL40" s="2">
        <f t="shared" si="35"/>
        <v>0</v>
      </c>
      <c r="BM40" s="2">
        <f t="shared" si="35"/>
        <v>0</v>
      </c>
      <c r="BN40" s="2">
        <f t="shared" si="35"/>
        <v>0</v>
      </c>
      <c r="BO40" s="2">
        <f t="shared" si="35"/>
        <v>0</v>
      </c>
      <c r="BP40" s="2">
        <f t="shared" si="35"/>
        <v>0</v>
      </c>
      <c r="BQ40" s="2">
        <f t="shared" si="35"/>
        <v>0</v>
      </c>
      <c r="BR40" s="2">
        <f t="shared" si="35"/>
        <v>0</v>
      </c>
      <c r="BS40" s="2">
        <f t="shared" si="35"/>
        <v>0</v>
      </c>
      <c r="BT40" s="2">
        <f t="shared" si="34"/>
        <v>0</v>
      </c>
      <c r="BU40" s="2">
        <f t="shared" si="34"/>
        <v>0</v>
      </c>
      <c r="BV40" s="2">
        <f t="shared" si="34"/>
        <v>0</v>
      </c>
      <c r="BW40" s="2">
        <f t="shared" si="34"/>
        <v>0</v>
      </c>
      <c r="BX40" s="2">
        <f t="shared" si="34"/>
        <v>0</v>
      </c>
      <c r="BY40" s="2">
        <f t="shared" si="34"/>
        <v>0</v>
      </c>
      <c r="BZ40" s="2">
        <f t="shared" si="34"/>
        <v>0</v>
      </c>
      <c r="CA40" s="2">
        <f t="shared" si="34"/>
        <v>0</v>
      </c>
      <c r="CB40" s="2">
        <f t="shared" si="34"/>
        <v>0</v>
      </c>
      <c r="CC40" s="2">
        <f t="shared" si="34"/>
        <v>0</v>
      </c>
      <c r="CD40" s="2">
        <f t="shared" si="34"/>
        <v>0</v>
      </c>
    </row>
    <row r="41" spans="3:82" s="2" customFormat="1" x14ac:dyDescent="0.2">
      <c r="D41" s="2" t="s">
        <v>23</v>
      </c>
      <c r="F41" s="2" t="s">
        <v>6</v>
      </c>
      <c r="G41" s="2">
        <f t="shared" si="23"/>
        <v>1</v>
      </c>
      <c r="H41" s="2">
        <f t="shared" si="35"/>
        <v>0</v>
      </c>
      <c r="I41" s="2" t="str">
        <f t="shared" si="35"/>
        <v>emission_co2e_ch4_inen_cement</v>
      </c>
      <c r="J41" s="2">
        <f t="shared" si="35"/>
        <v>0</v>
      </c>
      <c r="K41" s="2">
        <f t="shared" si="35"/>
        <v>0</v>
      </c>
      <c r="L41" s="2">
        <f t="shared" si="35"/>
        <v>0</v>
      </c>
      <c r="M41" s="2">
        <f t="shared" si="35"/>
        <v>0</v>
      </c>
      <c r="N41" s="2">
        <f t="shared" si="35"/>
        <v>0</v>
      </c>
      <c r="O41" s="2">
        <f t="shared" si="35"/>
        <v>0</v>
      </c>
      <c r="P41" s="2">
        <f t="shared" si="35"/>
        <v>0</v>
      </c>
      <c r="Q41" s="2">
        <f t="shared" si="35"/>
        <v>0</v>
      </c>
      <c r="R41" s="2">
        <f t="shared" si="35"/>
        <v>0</v>
      </c>
      <c r="S41" s="2">
        <f t="shared" si="35"/>
        <v>0</v>
      </c>
      <c r="T41" s="2">
        <f t="shared" si="35"/>
        <v>0</v>
      </c>
      <c r="U41" s="2">
        <f t="shared" si="35"/>
        <v>0</v>
      </c>
      <c r="V41" s="2">
        <f t="shared" si="35"/>
        <v>0</v>
      </c>
      <c r="W41" s="2">
        <f t="shared" si="35"/>
        <v>0</v>
      </c>
      <c r="X41" s="2">
        <f t="shared" si="35"/>
        <v>0</v>
      </c>
      <c r="Y41" s="2">
        <f t="shared" si="35"/>
        <v>0</v>
      </c>
      <c r="Z41" s="2">
        <f t="shared" si="35"/>
        <v>0</v>
      </c>
      <c r="AA41" s="2">
        <f t="shared" si="35"/>
        <v>0</v>
      </c>
      <c r="AB41" s="2">
        <f t="shared" si="35"/>
        <v>0</v>
      </c>
      <c r="AC41" s="2">
        <f t="shared" si="35"/>
        <v>0</v>
      </c>
      <c r="AD41" s="2">
        <f t="shared" si="35"/>
        <v>0</v>
      </c>
      <c r="AE41" s="2">
        <f t="shared" si="35"/>
        <v>0</v>
      </c>
      <c r="AF41" s="2">
        <f t="shared" si="35"/>
        <v>0</v>
      </c>
      <c r="AG41" s="2">
        <f t="shared" si="35"/>
        <v>0</v>
      </c>
      <c r="AH41" s="2">
        <f t="shared" si="35"/>
        <v>0</v>
      </c>
      <c r="AI41" s="2">
        <f t="shared" si="35"/>
        <v>0</v>
      </c>
      <c r="AJ41" s="2">
        <f t="shared" si="35"/>
        <v>14.433765464736201</v>
      </c>
      <c r="AK41" s="2">
        <f t="shared" si="35"/>
        <v>17.781564998691799</v>
      </c>
      <c r="AL41" s="2">
        <f t="shared" si="35"/>
        <v>17.9900784644745</v>
      </c>
      <c r="AM41" s="2">
        <f t="shared" si="35"/>
        <v>18.300014732047799</v>
      </c>
      <c r="AN41" s="2">
        <f t="shared" si="35"/>
        <v>18.6152906366964</v>
      </c>
      <c r="AO41" s="2">
        <f t="shared" si="35"/>
        <v>18.935998170636399</v>
      </c>
      <c r="AP41" s="2">
        <f t="shared" si="35"/>
        <v>19.262230910942201</v>
      </c>
      <c r="AQ41" s="2">
        <f t="shared" si="35"/>
        <v>19.695280009267901</v>
      </c>
      <c r="AR41" s="2">
        <f t="shared" si="35"/>
        <v>20.053971979150599</v>
      </c>
      <c r="AS41" s="2">
        <f t="shared" si="35"/>
        <v>20.142898138417099</v>
      </c>
      <c r="AT41" s="2">
        <f t="shared" si="35"/>
        <v>20.1270175532255</v>
      </c>
      <c r="AU41" s="2">
        <f t="shared" si="35"/>
        <v>19.799882261728801</v>
      </c>
      <c r="AV41" s="2">
        <f t="shared" si="35"/>
        <v>19.0565520529541</v>
      </c>
      <c r="AW41" s="2">
        <f t="shared" si="35"/>
        <v>17.8724643006544</v>
      </c>
      <c r="AX41" s="2">
        <f t="shared" si="35"/>
        <v>16.271720049712801</v>
      </c>
      <c r="AY41" s="2">
        <f t="shared" si="35"/>
        <v>14.3512203625796</v>
      </c>
      <c r="AZ41" s="2">
        <f t="shared" si="35"/>
        <v>12.2787910461272</v>
      </c>
      <c r="BA41" s="2">
        <f t="shared" si="35"/>
        <v>10.253438358297799</v>
      </c>
      <c r="BB41" s="2">
        <f t="shared" si="35"/>
        <v>8.4457952961753993</v>
      </c>
      <c r="BC41" s="2">
        <f t="shared" si="35"/>
        <v>6.9554616447399997</v>
      </c>
      <c r="BD41" s="2">
        <f t="shared" si="35"/>
        <v>5.8057224949412998</v>
      </c>
      <c r="BE41" s="2">
        <f t="shared" si="35"/>
        <v>4.9661013743262998</v>
      </c>
      <c r="BF41" s="2">
        <f t="shared" si="35"/>
        <v>4.3651400406214007</v>
      </c>
      <c r="BG41" s="2">
        <f t="shared" si="35"/>
        <v>3.9491189004584002</v>
      </c>
      <c r="BH41" s="2">
        <f t="shared" si="35"/>
        <v>3.6728994099896002</v>
      </c>
      <c r="BI41" s="2">
        <f t="shared" si="35"/>
        <v>3.4948793146192001</v>
      </c>
      <c r="BJ41" s="2">
        <f t="shared" si="35"/>
        <v>3.5343617791156001</v>
      </c>
      <c r="BK41" s="2">
        <f t="shared" si="35"/>
        <v>3.5742524647475</v>
      </c>
      <c r="BL41" s="2">
        <f t="shared" si="35"/>
        <v>3.6143575560055998</v>
      </c>
      <c r="BM41" s="2">
        <f t="shared" si="35"/>
        <v>3.6544743902654</v>
      </c>
      <c r="BN41" s="2">
        <f t="shared" si="35"/>
        <v>3.6943913626193998</v>
      </c>
      <c r="BO41" s="2">
        <f t="shared" si="35"/>
        <v>3.733887947081</v>
      </c>
      <c r="BP41" s="2">
        <f t="shared" si="35"/>
        <v>3.7727348428710998</v>
      </c>
      <c r="BQ41" s="2">
        <f t="shared" si="35"/>
        <v>3.8106942544161999</v>
      </c>
      <c r="BR41" s="2">
        <f t="shared" si="35"/>
        <v>3.8475203133978</v>
      </c>
      <c r="BS41" s="2">
        <f t="shared" ref="BS41:CD44" si="36">CA287</f>
        <v>3.8829596506774999</v>
      </c>
      <c r="BT41" s="2">
        <f t="shared" si="36"/>
        <v>3.9167521251567998</v>
      </c>
      <c r="BU41" s="2">
        <f t="shared" si="36"/>
        <v>3.9519781919580002</v>
      </c>
      <c r="BV41" s="2">
        <f t="shared" si="36"/>
        <v>3.9886708240008999</v>
      </c>
      <c r="BW41" s="2">
        <f t="shared" si="36"/>
        <v>4.0268645611686003</v>
      </c>
      <c r="BX41" s="2">
        <f t="shared" si="36"/>
        <v>4.0665955641392992</v>
      </c>
      <c r="BY41" s="2">
        <f t="shared" si="36"/>
        <v>4.1079016710437006</v>
      </c>
      <c r="BZ41" s="2">
        <f t="shared" si="36"/>
        <v>4.1508224570734997</v>
      </c>
      <c r="CA41" s="2">
        <f t="shared" si="36"/>
        <v>4.1953992971686001</v>
      </c>
      <c r="CB41" s="2">
        <f t="shared" si="36"/>
        <v>4.2416754319240999</v>
      </c>
      <c r="CC41" s="2">
        <f t="shared" si="36"/>
        <v>4.2896960368596</v>
      </c>
      <c r="CD41" s="2">
        <f t="shared" si="36"/>
        <v>4.3395082952088</v>
      </c>
    </row>
    <row r="42" spans="3:82" s="2" customFormat="1" x14ac:dyDescent="0.2">
      <c r="D42" s="2" t="s">
        <v>23</v>
      </c>
      <c r="F42" s="2" t="s">
        <v>7</v>
      </c>
      <c r="G42" s="2">
        <f t="shared" si="23"/>
        <v>1</v>
      </c>
      <c r="H42" s="2">
        <f t="shared" ref="H42:BS45" si="37">P288</f>
        <v>0</v>
      </c>
      <c r="I42" s="2" t="str">
        <f t="shared" si="37"/>
        <v>emission_co2e_co2_inen_nbmass_cement</v>
      </c>
      <c r="J42" s="2">
        <f t="shared" si="37"/>
        <v>0</v>
      </c>
      <c r="K42" s="2">
        <f t="shared" si="37"/>
        <v>0</v>
      </c>
      <c r="L42" s="2">
        <f t="shared" si="37"/>
        <v>0</v>
      </c>
      <c r="M42" s="2">
        <f t="shared" si="37"/>
        <v>0</v>
      </c>
      <c r="N42" s="2">
        <f t="shared" si="37"/>
        <v>0</v>
      </c>
      <c r="O42" s="2">
        <f t="shared" si="37"/>
        <v>0</v>
      </c>
      <c r="P42" s="2">
        <f t="shared" si="37"/>
        <v>0</v>
      </c>
      <c r="Q42" s="2">
        <f t="shared" si="37"/>
        <v>0</v>
      </c>
      <c r="R42" s="2">
        <f t="shared" si="37"/>
        <v>0</v>
      </c>
      <c r="S42" s="2">
        <f t="shared" si="37"/>
        <v>0</v>
      </c>
      <c r="T42" s="2">
        <f t="shared" si="37"/>
        <v>0</v>
      </c>
      <c r="U42" s="2">
        <f t="shared" si="37"/>
        <v>0</v>
      </c>
      <c r="V42" s="2">
        <f t="shared" si="37"/>
        <v>0</v>
      </c>
      <c r="W42" s="2">
        <f t="shared" si="37"/>
        <v>0</v>
      </c>
      <c r="X42" s="2">
        <f t="shared" si="37"/>
        <v>0</v>
      </c>
      <c r="Y42" s="2">
        <f t="shared" si="37"/>
        <v>0</v>
      </c>
      <c r="Z42" s="2">
        <f t="shared" si="37"/>
        <v>0</v>
      </c>
      <c r="AA42" s="2">
        <f t="shared" si="37"/>
        <v>0</v>
      </c>
      <c r="AB42" s="2">
        <f t="shared" si="37"/>
        <v>0</v>
      </c>
      <c r="AC42" s="2">
        <f t="shared" si="37"/>
        <v>0</v>
      </c>
      <c r="AD42" s="2">
        <f t="shared" si="37"/>
        <v>0</v>
      </c>
      <c r="AE42" s="2">
        <f t="shared" si="37"/>
        <v>0</v>
      </c>
      <c r="AF42" s="2">
        <f t="shared" si="37"/>
        <v>0</v>
      </c>
      <c r="AG42" s="2">
        <f t="shared" si="37"/>
        <v>0</v>
      </c>
      <c r="AH42" s="2">
        <f t="shared" si="37"/>
        <v>0</v>
      </c>
      <c r="AI42" s="2">
        <f t="shared" si="37"/>
        <v>0</v>
      </c>
      <c r="AJ42" s="2">
        <f t="shared" si="37"/>
        <v>381.49293218088502</v>
      </c>
      <c r="AK42" s="2">
        <f t="shared" si="37"/>
        <v>469.97724791144299</v>
      </c>
      <c r="AL42" s="2">
        <f t="shared" si="37"/>
        <v>475.48838176317298</v>
      </c>
      <c r="AM42" s="2">
        <f t="shared" si="37"/>
        <v>483.68018007073198</v>
      </c>
      <c r="AN42" s="2">
        <f t="shared" si="37"/>
        <v>492.01310813473799</v>
      </c>
      <c r="AO42" s="2">
        <f t="shared" si="37"/>
        <v>500.489597363705</v>
      </c>
      <c r="AP42" s="2">
        <f t="shared" si="37"/>
        <v>509.11212105488801</v>
      </c>
      <c r="AQ42" s="2">
        <f t="shared" si="37"/>
        <v>526.27058470027896</v>
      </c>
      <c r="AR42" s="2">
        <f t="shared" si="37"/>
        <v>544.69348567473196</v>
      </c>
      <c r="AS42" s="2">
        <f t="shared" si="37"/>
        <v>560.57927482883701</v>
      </c>
      <c r="AT42" s="2">
        <f t="shared" si="37"/>
        <v>580.51721391874196</v>
      </c>
      <c r="AU42" s="2">
        <f t="shared" si="37"/>
        <v>601.34060308698201</v>
      </c>
      <c r="AV42" s="2">
        <f t="shared" si="37"/>
        <v>622.50676357182704</v>
      </c>
      <c r="AW42" s="2">
        <f t="shared" si="37"/>
        <v>644.99740932288296</v>
      </c>
      <c r="AX42" s="2">
        <f t="shared" si="37"/>
        <v>669.37595299503403</v>
      </c>
      <c r="AY42" s="2">
        <f t="shared" si="37"/>
        <v>695.55331664992605</v>
      </c>
      <c r="AZ42" s="2">
        <f t="shared" si="37"/>
        <v>722.781349716911</v>
      </c>
      <c r="BA42" s="2">
        <f t="shared" si="37"/>
        <v>749.97052810348691</v>
      </c>
      <c r="BB42" s="2">
        <f t="shared" si="37"/>
        <v>776.17873613496704</v>
      </c>
      <c r="BC42" s="2">
        <f t="shared" si="37"/>
        <v>800.96246512914809</v>
      </c>
      <c r="BD42" s="2">
        <f t="shared" si="37"/>
        <v>824.41733583575308</v>
      </c>
      <c r="BE42" s="2">
        <f t="shared" si="37"/>
        <v>846.98573737858294</v>
      </c>
      <c r="BF42" s="2">
        <f t="shared" si="37"/>
        <v>866.022799180108</v>
      </c>
      <c r="BG42" s="2">
        <f t="shared" si="37"/>
        <v>881.98103979066298</v>
      </c>
      <c r="BH42" s="2">
        <f t="shared" si="37"/>
        <v>896.32402780945699</v>
      </c>
      <c r="BI42" s="2">
        <f t="shared" si="37"/>
        <v>909.221239827864</v>
      </c>
      <c r="BJ42" s="2">
        <f t="shared" si="37"/>
        <v>919.49292365127303</v>
      </c>
      <c r="BK42" s="2">
        <f t="shared" si="37"/>
        <v>929.87080951877897</v>
      </c>
      <c r="BL42" s="2">
        <f t="shared" si="37"/>
        <v>940.30447475140897</v>
      </c>
      <c r="BM42" s="2">
        <f t="shared" si="37"/>
        <v>950.74119502130407</v>
      </c>
      <c r="BN42" s="2">
        <f t="shared" si="37"/>
        <v>961.12591959305701</v>
      </c>
      <c r="BO42" s="2">
        <f t="shared" si="37"/>
        <v>971.401276840126</v>
      </c>
      <c r="BP42" s="2">
        <f t="shared" si="37"/>
        <v>981.50761230241903</v>
      </c>
      <c r="BQ42" s="2">
        <f t="shared" si="37"/>
        <v>991.38306153003691</v>
      </c>
      <c r="BR42" s="2">
        <f t="shared" si="37"/>
        <v>1000.96365988294</v>
      </c>
      <c r="BS42" s="2">
        <f t="shared" si="37"/>
        <v>1010.18349132181</v>
      </c>
      <c r="BT42" s="2">
        <f t="shared" si="36"/>
        <v>1018.97487802705</v>
      </c>
      <c r="BU42" s="2">
        <f t="shared" si="36"/>
        <v>1028.1392254187499</v>
      </c>
      <c r="BV42" s="2">
        <f t="shared" si="36"/>
        <v>1037.6851116698499</v>
      </c>
      <c r="BW42" s="2">
        <f t="shared" si="36"/>
        <v>1047.62152261145</v>
      </c>
      <c r="BX42" s="2">
        <f t="shared" si="36"/>
        <v>1057.9578657376401</v>
      </c>
      <c r="BY42" s="2">
        <f t="shared" si="36"/>
        <v>1068.70398494553</v>
      </c>
      <c r="BZ42" s="2">
        <f t="shared" si="36"/>
        <v>1079.87017604264</v>
      </c>
      <c r="CA42" s="2">
        <f t="shared" si="36"/>
        <v>1091.4672030556901</v>
      </c>
      <c r="CB42" s="2">
        <f t="shared" si="36"/>
        <v>1103.50631537662</v>
      </c>
      <c r="CC42" s="2">
        <f t="shared" si="36"/>
        <v>1115.99926578384</v>
      </c>
      <c r="CD42" s="2">
        <f t="shared" si="36"/>
        <v>1128.95832937879</v>
      </c>
    </row>
    <row r="43" spans="3:82" s="2" customFormat="1" x14ac:dyDescent="0.2">
      <c r="D43" s="2" t="s">
        <v>23</v>
      </c>
      <c r="F43" s="2" t="s">
        <v>8</v>
      </c>
      <c r="G43" s="2">
        <f t="shared" si="23"/>
        <v>1</v>
      </c>
      <c r="H43" s="2">
        <f t="shared" si="37"/>
        <v>0</v>
      </c>
      <c r="I43" s="2" t="str">
        <f t="shared" si="37"/>
        <v>emission_co2e_n2o_inen_cement</v>
      </c>
      <c r="J43" s="2">
        <f t="shared" si="37"/>
        <v>0</v>
      </c>
      <c r="K43" s="2">
        <f t="shared" si="37"/>
        <v>0</v>
      </c>
      <c r="L43" s="2">
        <f t="shared" si="37"/>
        <v>0</v>
      </c>
      <c r="M43" s="2">
        <f t="shared" si="37"/>
        <v>0</v>
      </c>
      <c r="N43" s="2">
        <f t="shared" si="37"/>
        <v>0</v>
      </c>
      <c r="O43" s="2">
        <f t="shared" si="37"/>
        <v>0</v>
      </c>
      <c r="P43" s="2">
        <f t="shared" si="37"/>
        <v>0</v>
      </c>
      <c r="Q43" s="2">
        <f t="shared" si="37"/>
        <v>0</v>
      </c>
      <c r="R43" s="2">
        <f t="shared" si="37"/>
        <v>0</v>
      </c>
      <c r="S43" s="2">
        <f t="shared" si="37"/>
        <v>0</v>
      </c>
      <c r="T43" s="2">
        <f t="shared" si="37"/>
        <v>0</v>
      </c>
      <c r="U43" s="2">
        <f t="shared" si="37"/>
        <v>0</v>
      </c>
      <c r="V43" s="2">
        <f t="shared" si="37"/>
        <v>0</v>
      </c>
      <c r="W43" s="2">
        <f t="shared" si="37"/>
        <v>0</v>
      </c>
      <c r="X43" s="2">
        <f t="shared" si="37"/>
        <v>0</v>
      </c>
      <c r="Y43" s="2">
        <f t="shared" si="37"/>
        <v>0</v>
      </c>
      <c r="Z43" s="2">
        <f t="shared" si="37"/>
        <v>0</v>
      </c>
      <c r="AA43" s="2">
        <f t="shared" si="37"/>
        <v>0</v>
      </c>
      <c r="AB43" s="2">
        <f t="shared" si="37"/>
        <v>0</v>
      </c>
      <c r="AC43" s="2">
        <f t="shared" si="37"/>
        <v>0</v>
      </c>
      <c r="AD43" s="2">
        <f t="shared" si="37"/>
        <v>0</v>
      </c>
      <c r="AE43" s="2">
        <f t="shared" si="37"/>
        <v>0</v>
      </c>
      <c r="AF43" s="2">
        <f t="shared" si="37"/>
        <v>0</v>
      </c>
      <c r="AG43" s="2">
        <f t="shared" si="37"/>
        <v>0</v>
      </c>
      <c r="AH43" s="2">
        <f t="shared" si="37"/>
        <v>0</v>
      </c>
      <c r="AI43" s="2">
        <f t="shared" si="37"/>
        <v>0</v>
      </c>
      <c r="AJ43" s="2">
        <f t="shared" si="37"/>
        <v>4.7011795740489006</v>
      </c>
      <c r="AK43" s="2">
        <f t="shared" si="37"/>
        <v>5.7915815779817006</v>
      </c>
      <c r="AL43" s="2">
        <f t="shared" si="37"/>
        <v>5.8594958896453004</v>
      </c>
      <c r="AM43" s="2">
        <f t="shared" si="37"/>
        <v>5.9604443257227002</v>
      </c>
      <c r="AN43" s="2">
        <f t="shared" si="37"/>
        <v>6.0631319193894999</v>
      </c>
      <c r="AO43" s="2">
        <f t="shared" si="37"/>
        <v>6.1675886331614</v>
      </c>
      <c r="AP43" s="2">
        <f t="shared" si="37"/>
        <v>6.2738449457540986</v>
      </c>
      <c r="AQ43" s="2">
        <f t="shared" si="37"/>
        <v>6.4464436012519997</v>
      </c>
      <c r="AR43" s="2">
        <f t="shared" si="37"/>
        <v>6.6126615490348</v>
      </c>
      <c r="AS43" s="2">
        <f t="shared" si="37"/>
        <v>6.7163818828438</v>
      </c>
      <c r="AT43" s="2">
        <f t="shared" si="37"/>
        <v>6.8236453977659002</v>
      </c>
      <c r="AU43" s="2">
        <f t="shared" si="37"/>
        <v>6.8798573833639001</v>
      </c>
      <c r="AV43" s="2">
        <f t="shared" si="37"/>
        <v>6.8631596788411997</v>
      </c>
      <c r="AW43" s="2">
        <f t="shared" si="37"/>
        <v>6.7745596674832997</v>
      </c>
      <c r="AX43" s="2">
        <f t="shared" si="37"/>
        <v>6.6215007787836004</v>
      </c>
      <c r="AY43" s="2">
        <f t="shared" si="37"/>
        <v>6.4209070871361007</v>
      </c>
      <c r="AZ43" s="2">
        <f t="shared" si="37"/>
        <v>6.1988099157208003</v>
      </c>
      <c r="BA43" s="2">
        <f t="shared" si="37"/>
        <v>5.9849592440863999</v>
      </c>
      <c r="BB43" s="2">
        <f t="shared" si="37"/>
        <v>5.8048196583412004</v>
      </c>
      <c r="BC43" s="2">
        <f t="shared" si="37"/>
        <v>5.6738427451345999</v>
      </c>
      <c r="BD43" s="2">
        <f t="shared" si="37"/>
        <v>5.5967416559349994</v>
      </c>
      <c r="BE43" s="2">
        <f t="shared" si="37"/>
        <v>5.5704821723394007</v>
      </c>
      <c r="BF43" s="2">
        <f t="shared" si="37"/>
        <v>5.5676133987801002</v>
      </c>
      <c r="BG43" s="2">
        <f t="shared" si="37"/>
        <v>5.5809795695417996</v>
      </c>
      <c r="BH43" s="2">
        <f t="shared" si="37"/>
        <v>5.6105512479869004</v>
      </c>
      <c r="BI43" s="2">
        <f t="shared" si="37"/>
        <v>5.6497872731387</v>
      </c>
      <c r="BJ43" s="2">
        <f t="shared" si="37"/>
        <v>5.7136142340553997</v>
      </c>
      <c r="BK43" s="2">
        <f t="shared" si="37"/>
        <v>5.7781011212155997</v>
      </c>
      <c r="BL43" s="2">
        <f t="shared" si="37"/>
        <v>5.8429346143868006</v>
      </c>
      <c r="BM43" s="2">
        <f t="shared" si="37"/>
        <v>5.9077870911780996</v>
      </c>
      <c r="BN43" s="2">
        <f t="shared" si="37"/>
        <v>5.9723164731926</v>
      </c>
      <c r="BO43" s="2">
        <f t="shared" si="37"/>
        <v>6.0361662603052997</v>
      </c>
      <c r="BP43" s="2">
        <f t="shared" si="37"/>
        <v>6.0989657671490001</v>
      </c>
      <c r="BQ43" s="2">
        <f t="shared" si="37"/>
        <v>6.1603305757552</v>
      </c>
      <c r="BR43" s="2">
        <f t="shared" si="37"/>
        <v>6.2198632178365001</v>
      </c>
      <c r="BS43" s="2">
        <f t="shared" si="37"/>
        <v>6.2771540993535</v>
      </c>
      <c r="BT43" s="2">
        <f t="shared" si="36"/>
        <v>6.3317826787847</v>
      </c>
      <c r="BU43" s="2">
        <f t="shared" si="36"/>
        <v>6.3887287893596998</v>
      </c>
      <c r="BV43" s="2">
        <f t="shared" si="36"/>
        <v>6.4480457347737996</v>
      </c>
      <c r="BW43" s="2">
        <f t="shared" si="36"/>
        <v>6.5097893518598999</v>
      </c>
      <c r="BX43" s="2">
        <f t="shared" si="36"/>
        <v>6.5740180976118001</v>
      </c>
      <c r="BY43" s="2">
        <f t="shared" si="36"/>
        <v>6.6407931407772001</v>
      </c>
      <c r="BZ43" s="2">
        <f t="shared" si="36"/>
        <v>6.7101784582186994</v>
      </c>
      <c r="CA43" s="2">
        <f t="shared" si="36"/>
        <v>6.7822409362542002</v>
      </c>
      <c r="CB43" s="2">
        <f t="shared" si="36"/>
        <v>6.8570504772011001</v>
      </c>
      <c r="CC43" s="2">
        <f t="shared" si="36"/>
        <v>6.9346801113570002</v>
      </c>
      <c r="CD43" s="2">
        <f t="shared" si="36"/>
        <v>7.0152061146698994</v>
      </c>
    </row>
    <row r="44" spans="3:82" s="2" customFormat="1" x14ac:dyDescent="0.2">
      <c r="D44" s="2" t="s">
        <v>24</v>
      </c>
      <c r="F44" s="2" t="s">
        <v>6</v>
      </c>
      <c r="G44" s="2">
        <f t="shared" si="23"/>
        <v>1</v>
      </c>
      <c r="H44" s="2">
        <f t="shared" si="37"/>
        <v>0</v>
      </c>
      <c r="I44" s="2" t="str">
        <f t="shared" si="37"/>
        <v>emission_co2e_ch4_inen_rubber_and_leather|emission_co2e_ch4_inen_textiles</v>
      </c>
      <c r="J44" s="2">
        <f t="shared" si="37"/>
        <v>0</v>
      </c>
      <c r="K44" s="2">
        <f t="shared" si="37"/>
        <v>0</v>
      </c>
      <c r="L44" s="2">
        <f t="shared" si="37"/>
        <v>0</v>
      </c>
      <c r="M44" s="2">
        <f t="shared" si="37"/>
        <v>0</v>
      </c>
      <c r="N44" s="2">
        <f t="shared" si="37"/>
        <v>0</v>
      </c>
      <c r="O44" s="2">
        <f t="shared" si="37"/>
        <v>0</v>
      </c>
      <c r="P44" s="2">
        <f t="shared" si="37"/>
        <v>0</v>
      </c>
      <c r="Q44" s="2">
        <f t="shared" si="37"/>
        <v>0</v>
      </c>
      <c r="R44" s="2">
        <f t="shared" si="37"/>
        <v>0</v>
      </c>
      <c r="S44" s="2">
        <f t="shared" si="37"/>
        <v>0</v>
      </c>
      <c r="T44" s="2">
        <f t="shared" si="37"/>
        <v>0</v>
      </c>
      <c r="U44" s="2">
        <f t="shared" si="37"/>
        <v>0</v>
      </c>
      <c r="V44" s="2">
        <f t="shared" si="37"/>
        <v>0</v>
      </c>
      <c r="W44" s="2">
        <f t="shared" si="37"/>
        <v>0</v>
      </c>
      <c r="X44" s="2">
        <f t="shared" si="37"/>
        <v>0</v>
      </c>
      <c r="Y44" s="2">
        <f t="shared" si="37"/>
        <v>0</v>
      </c>
      <c r="Z44" s="2">
        <f t="shared" si="37"/>
        <v>0</v>
      </c>
      <c r="AA44" s="2">
        <f t="shared" si="37"/>
        <v>0</v>
      </c>
      <c r="AB44" s="2">
        <f t="shared" si="37"/>
        <v>0</v>
      </c>
      <c r="AC44" s="2">
        <f t="shared" si="37"/>
        <v>0</v>
      </c>
      <c r="AD44" s="2">
        <f t="shared" si="37"/>
        <v>0</v>
      </c>
      <c r="AE44" s="2">
        <f t="shared" si="37"/>
        <v>0</v>
      </c>
      <c r="AF44" s="2">
        <f t="shared" si="37"/>
        <v>0</v>
      </c>
      <c r="AG44" s="2">
        <f t="shared" si="37"/>
        <v>0</v>
      </c>
      <c r="AH44" s="2">
        <f t="shared" si="37"/>
        <v>0</v>
      </c>
      <c r="AI44" s="2">
        <f t="shared" si="37"/>
        <v>0</v>
      </c>
      <c r="AJ44" s="2">
        <f t="shared" si="37"/>
        <v>0.15333361755450001</v>
      </c>
      <c r="AK44" s="2">
        <f t="shared" si="37"/>
        <v>0.1382337079223</v>
      </c>
      <c r="AL44" s="2">
        <f t="shared" si="37"/>
        <v>0.14266690279079999</v>
      </c>
      <c r="AM44" s="2">
        <f t="shared" si="37"/>
        <v>0.14253569843069999</v>
      </c>
      <c r="AN44" s="2">
        <f t="shared" si="37"/>
        <v>0.14233616597910001</v>
      </c>
      <c r="AO44" s="2">
        <f t="shared" si="37"/>
        <v>0.14207159543949999</v>
      </c>
      <c r="AP44" s="2">
        <f t="shared" si="37"/>
        <v>0.1417567965781</v>
      </c>
      <c r="AQ44" s="2">
        <f t="shared" si="37"/>
        <v>0.14204924304399999</v>
      </c>
      <c r="AR44" s="2">
        <f t="shared" si="37"/>
        <v>0.14171588228349999</v>
      </c>
      <c r="AS44" s="2">
        <f t="shared" si="37"/>
        <v>0.1412920795583</v>
      </c>
      <c r="AT44" s="2">
        <f t="shared" si="37"/>
        <v>0.13906616365220001</v>
      </c>
      <c r="AU44" s="2">
        <f t="shared" si="37"/>
        <v>0.13574817686910001</v>
      </c>
      <c r="AV44" s="2">
        <f t="shared" si="37"/>
        <v>0.1309138811511</v>
      </c>
      <c r="AW44" s="2">
        <f t="shared" si="37"/>
        <v>0.1237953581798</v>
      </c>
      <c r="AX44" s="2">
        <f t="shared" si="37"/>
        <v>0.1139750804184</v>
      </c>
      <c r="AY44" s="2">
        <f t="shared" si="37"/>
        <v>0.1016419054638</v>
      </c>
      <c r="AZ44" s="2">
        <f t="shared" si="37"/>
        <v>8.7676243644836796E-2</v>
      </c>
      <c r="BA44" s="2">
        <f t="shared" si="37"/>
        <v>7.3416699099573199E-2</v>
      </c>
      <c r="BB44" s="2">
        <f t="shared" si="37"/>
        <v>6.0193246973677901E-2</v>
      </c>
      <c r="BC44" s="2">
        <f t="shared" si="37"/>
        <v>4.8914745350330302E-2</v>
      </c>
      <c r="BD44" s="2">
        <f t="shared" si="37"/>
        <v>3.9932884590537898E-2</v>
      </c>
      <c r="BE44" s="2">
        <f t="shared" si="37"/>
        <v>3.3141609266051003E-2</v>
      </c>
      <c r="BF44" s="2">
        <f t="shared" si="37"/>
        <v>2.83771877578603E-2</v>
      </c>
      <c r="BG44" s="2">
        <f t="shared" si="37"/>
        <v>2.51038964929131E-2</v>
      </c>
      <c r="BH44" s="2">
        <f t="shared" si="37"/>
        <v>2.2866704864693301E-2</v>
      </c>
      <c r="BI44" s="2">
        <f t="shared" si="37"/>
        <v>2.1355117735895799E-2</v>
      </c>
      <c r="BJ44" s="2">
        <f t="shared" si="37"/>
        <v>2.1452145192723201E-2</v>
      </c>
      <c r="BK44" s="2">
        <f t="shared" si="37"/>
        <v>2.1536180830463599E-2</v>
      </c>
      <c r="BL44" s="2">
        <f t="shared" si="37"/>
        <v>2.1606681970381299E-2</v>
      </c>
      <c r="BM44" s="2">
        <f t="shared" si="37"/>
        <v>2.1664303800581201E-2</v>
      </c>
      <c r="BN44" s="2">
        <f t="shared" si="37"/>
        <v>2.1708034918508201E-2</v>
      </c>
      <c r="BO44" s="2">
        <f t="shared" si="37"/>
        <v>2.17359629269155E-2</v>
      </c>
      <c r="BP44" s="2">
        <f t="shared" si="37"/>
        <v>2.1746429243958199E-2</v>
      </c>
      <c r="BQ44" s="2">
        <f t="shared" si="37"/>
        <v>2.1738011629914299E-2</v>
      </c>
      <c r="BR44" s="2">
        <f t="shared" si="37"/>
        <v>2.1710893648270699E-2</v>
      </c>
      <c r="BS44" s="2">
        <f t="shared" si="37"/>
        <v>2.1664884896335401E-2</v>
      </c>
      <c r="BT44" s="2">
        <f t="shared" si="36"/>
        <v>2.1598593433070402E-2</v>
      </c>
      <c r="BU44" s="2">
        <f t="shared" si="36"/>
        <v>2.1537430938463799E-2</v>
      </c>
      <c r="BV44" s="2">
        <f t="shared" si="36"/>
        <v>2.1481541733986899E-2</v>
      </c>
      <c r="BW44" s="2">
        <f t="shared" si="36"/>
        <v>2.14320600163787E-2</v>
      </c>
      <c r="BX44" s="2">
        <f t="shared" si="36"/>
        <v>2.1390333348379299E-2</v>
      </c>
      <c r="BY44" s="2">
        <f t="shared" si="36"/>
        <v>2.1354481384511001E-2</v>
      </c>
      <c r="BZ44" s="2">
        <f t="shared" si="36"/>
        <v>2.13241668049911E-2</v>
      </c>
      <c r="CA44" s="2">
        <f t="shared" si="36"/>
        <v>2.13019687749934E-2</v>
      </c>
      <c r="CB44" s="2">
        <f t="shared" si="36"/>
        <v>2.12873232311536E-2</v>
      </c>
      <c r="CC44" s="2">
        <f t="shared" si="36"/>
        <v>2.1280938033820401E-2</v>
      </c>
      <c r="CD44" s="2">
        <f t="shared" si="36"/>
        <v>2.1282891031578498E-2</v>
      </c>
    </row>
    <row r="45" spans="3:82" s="2" customFormat="1" x14ac:dyDescent="0.2">
      <c r="D45" s="2" t="s">
        <v>24</v>
      </c>
      <c r="F45" s="2" t="s">
        <v>7</v>
      </c>
      <c r="G45" s="2">
        <f t="shared" si="23"/>
        <v>1</v>
      </c>
      <c r="H45" s="2">
        <f t="shared" si="37"/>
        <v>0</v>
      </c>
      <c r="I45" s="2" t="str">
        <f t="shared" si="37"/>
        <v>emission_co2e_co2_inen_nbmass_rubber_and_leather|emission_co2e_co2_inen_nbmass_textiles</v>
      </c>
      <c r="J45" s="2">
        <f t="shared" si="37"/>
        <v>0</v>
      </c>
      <c r="K45" s="2">
        <f t="shared" si="37"/>
        <v>0</v>
      </c>
      <c r="L45" s="2">
        <f t="shared" si="37"/>
        <v>0</v>
      </c>
      <c r="M45" s="2">
        <f t="shared" si="37"/>
        <v>0</v>
      </c>
      <c r="N45" s="2">
        <f t="shared" si="37"/>
        <v>0</v>
      </c>
      <c r="O45" s="2">
        <f t="shared" si="37"/>
        <v>0</v>
      </c>
      <c r="P45" s="2">
        <f t="shared" si="37"/>
        <v>0</v>
      </c>
      <c r="Q45" s="2">
        <f t="shared" si="37"/>
        <v>0</v>
      </c>
      <c r="R45" s="2">
        <f t="shared" si="37"/>
        <v>0</v>
      </c>
      <c r="S45" s="2">
        <f t="shared" si="37"/>
        <v>0</v>
      </c>
      <c r="T45" s="2">
        <f t="shared" si="37"/>
        <v>0</v>
      </c>
      <c r="U45" s="2">
        <f t="shared" si="37"/>
        <v>0</v>
      </c>
      <c r="V45" s="2">
        <f t="shared" si="37"/>
        <v>0</v>
      </c>
      <c r="W45" s="2">
        <f t="shared" si="37"/>
        <v>0</v>
      </c>
      <c r="X45" s="2">
        <f t="shared" si="37"/>
        <v>0</v>
      </c>
      <c r="Y45" s="2">
        <f t="shared" si="37"/>
        <v>0</v>
      </c>
      <c r="Z45" s="2">
        <f t="shared" si="37"/>
        <v>0</v>
      </c>
      <c r="AA45" s="2">
        <f t="shared" si="37"/>
        <v>0</v>
      </c>
      <c r="AB45" s="2">
        <f t="shared" si="37"/>
        <v>0</v>
      </c>
      <c r="AC45" s="2">
        <f t="shared" si="37"/>
        <v>0</v>
      </c>
      <c r="AD45" s="2">
        <f t="shared" si="37"/>
        <v>0</v>
      </c>
      <c r="AE45" s="2">
        <f t="shared" si="37"/>
        <v>0</v>
      </c>
      <c r="AF45" s="2">
        <f t="shared" si="37"/>
        <v>0</v>
      </c>
      <c r="AG45" s="2">
        <f t="shared" si="37"/>
        <v>0</v>
      </c>
      <c r="AH45" s="2">
        <f t="shared" si="37"/>
        <v>0</v>
      </c>
      <c r="AI45" s="2">
        <f t="shared" si="37"/>
        <v>0</v>
      </c>
      <c r="AJ45" s="2">
        <f t="shared" si="37"/>
        <v>18.806291849882001</v>
      </c>
      <c r="AK45" s="2">
        <f t="shared" si="37"/>
        <v>16.954295451574801</v>
      </c>
      <c r="AL45" s="2">
        <f t="shared" si="37"/>
        <v>17.498024594957801</v>
      </c>
      <c r="AM45" s="2">
        <f t="shared" si="37"/>
        <v>17.4819324455135</v>
      </c>
      <c r="AN45" s="2">
        <f t="shared" si="37"/>
        <v>17.4574598896656</v>
      </c>
      <c r="AO45" s="2">
        <f t="shared" si="37"/>
        <v>17.4250104447135</v>
      </c>
      <c r="AP45" s="2">
        <f t="shared" si="37"/>
        <v>17.386400521097901</v>
      </c>
      <c r="AQ45" s="2">
        <f t="shared" si="37"/>
        <v>17.584242627682698</v>
      </c>
      <c r="AR45" s="2">
        <f t="shared" si="37"/>
        <v>17.788639389103999</v>
      </c>
      <c r="AS45" s="2">
        <f t="shared" si="37"/>
        <v>18.107374461433501</v>
      </c>
      <c r="AT45" s="2">
        <f t="shared" si="37"/>
        <v>18.377048024569898</v>
      </c>
      <c r="AU45" s="2">
        <f t="shared" si="37"/>
        <v>18.7576196472627</v>
      </c>
      <c r="AV45" s="2">
        <f t="shared" si="37"/>
        <v>19.2791726502324</v>
      </c>
      <c r="AW45" s="2">
        <f t="shared" si="37"/>
        <v>19.914925320180899</v>
      </c>
      <c r="AX45" s="2">
        <f t="shared" si="37"/>
        <v>20.6359115270755</v>
      </c>
      <c r="AY45" s="2">
        <f t="shared" si="37"/>
        <v>21.407911334542099</v>
      </c>
      <c r="AZ45" s="2">
        <f t="shared" si="37"/>
        <v>22.1907008411983</v>
      </c>
      <c r="BA45" s="2">
        <f t="shared" si="37"/>
        <v>22.941056081146399</v>
      </c>
      <c r="BB45" s="2">
        <f t="shared" si="37"/>
        <v>23.618543210699801</v>
      </c>
      <c r="BC45" s="2">
        <f t="shared" si="37"/>
        <v>24.1908811244198</v>
      </c>
      <c r="BD45" s="2">
        <f t="shared" si="37"/>
        <v>24.639252093804998</v>
      </c>
      <c r="BE45" s="2">
        <f t="shared" si="37"/>
        <v>24.9526799981954</v>
      </c>
      <c r="BF45" s="2">
        <f t="shared" si="37"/>
        <v>25.295191573321699</v>
      </c>
      <c r="BG45" s="2">
        <f t="shared" si="37"/>
        <v>25.625602377579298</v>
      </c>
      <c r="BH45" s="2">
        <f t="shared" si="37"/>
        <v>25.890594160403801</v>
      </c>
      <c r="BI45" s="2">
        <f t="shared" si="37"/>
        <v>26.090051621468699</v>
      </c>
      <c r="BJ45" s="2">
        <f t="shared" si="37"/>
        <v>26.208592356698201</v>
      </c>
      <c r="BK45" s="2">
        <f t="shared" si="37"/>
        <v>26.311260679758</v>
      </c>
      <c r="BL45" s="2">
        <f t="shared" si="37"/>
        <v>26.397393587222101</v>
      </c>
      <c r="BM45" s="2">
        <f t="shared" si="37"/>
        <v>26.4677915378692</v>
      </c>
      <c r="BN45" s="2">
        <f t="shared" si="37"/>
        <v>26.5212188773151</v>
      </c>
      <c r="BO45" s="2">
        <f t="shared" si="37"/>
        <v>26.555339184683199</v>
      </c>
      <c r="BP45" s="2">
        <f t="shared" si="37"/>
        <v>26.568126131367698</v>
      </c>
      <c r="BQ45" s="2">
        <f t="shared" si="37"/>
        <v>26.557842133515202</v>
      </c>
      <c r="BR45" s="2">
        <f t="shared" si="37"/>
        <v>26.5247114549725</v>
      </c>
      <c r="BS45" s="2">
        <f t="shared" ref="BS45:CD46" si="38">CA291</f>
        <v>26.468501476274199</v>
      </c>
      <c r="BT45" s="2">
        <f t="shared" si="38"/>
        <v>26.387511630184999</v>
      </c>
      <c r="BU45" s="2">
        <f t="shared" si="38"/>
        <v>26.3127879662221</v>
      </c>
      <c r="BV45" s="2">
        <f t="shared" si="38"/>
        <v>26.244506805335298</v>
      </c>
      <c r="BW45" s="2">
        <f t="shared" si="38"/>
        <v>26.184053822463301</v>
      </c>
      <c r="BX45" s="2">
        <f t="shared" si="38"/>
        <v>26.133075366827601</v>
      </c>
      <c r="BY45" s="2">
        <f t="shared" si="38"/>
        <v>26.089274175955001</v>
      </c>
      <c r="BZ45" s="2">
        <f t="shared" si="38"/>
        <v>26.052238138301799</v>
      </c>
      <c r="CA45" s="2">
        <f t="shared" si="38"/>
        <v>26.0251182808652</v>
      </c>
      <c r="CB45" s="2">
        <f t="shared" si="38"/>
        <v>26.007225474113799</v>
      </c>
      <c r="CC45" s="2">
        <f t="shared" si="38"/>
        <v>25.999424527750701</v>
      </c>
      <c r="CD45" s="2">
        <f t="shared" si="38"/>
        <v>26.0018105512302</v>
      </c>
    </row>
    <row r="46" spans="3:82" s="2" customFormat="1" x14ac:dyDescent="0.2">
      <c r="D46" s="2" t="s">
        <v>24</v>
      </c>
      <c r="F46" s="2" t="s">
        <v>8</v>
      </c>
      <c r="G46" s="2">
        <f t="shared" si="23"/>
        <v>1</v>
      </c>
      <c r="H46" s="2">
        <f t="shared" ref="H46:AM46" si="39">P292</f>
        <v>0</v>
      </c>
      <c r="I46" s="2" t="str">
        <f t="shared" si="39"/>
        <v>emission_co2e_n2o_inen_rubber_and_leather|emission_co2e_n2o_inen_textiles</v>
      </c>
      <c r="J46" s="2">
        <f t="shared" si="39"/>
        <v>0</v>
      </c>
      <c r="K46" s="2">
        <f t="shared" si="39"/>
        <v>0</v>
      </c>
      <c r="L46" s="2">
        <f t="shared" si="39"/>
        <v>0</v>
      </c>
      <c r="M46" s="2">
        <f t="shared" si="39"/>
        <v>0</v>
      </c>
      <c r="N46" s="2">
        <f t="shared" si="39"/>
        <v>0</v>
      </c>
      <c r="O46" s="2">
        <f t="shared" si="39"/>
        <v>0</v>
      </c>
      <c r="P46" s="2">
        <f t="shared" si="39"/>
        <v>0</v>
      </c>
      <c r="Q46" s="2">
        <f t="shared" si="39"/>
        <v>0</v>
      </c>
      <c r="R46" s="2">
        <f t="shared" si="39"/>
        <v>0</v>
      </c>
      <c r="S46" s="2">
        <f t="shared" si="39"/>
        <v>0</v>
      </c>
      <c r="T46" s="2">
        <f t="shared" si="39"/>
        <v>0</v>
      </c>
      <c r="U46" s="2">
        <f t="shared" si="39"/>
        <v>0</v>
      </c>
      <c r="V46" s="2">
        <f t="shared" si="39"/>
        <v>0</v>
      </c>
      <c r="W46" s="2">
        <f t="shared" si="39"/>
        <v>0</v>
      </c>
      <c r="X46" s="2">
        <f t="shared" si="39"/>
        <v>0</v>
      </c>
      <c r="Y46" s="2">
        <f t="shared" si="39"/>
        <v>0</v>
      </c>
      <c r="Z46" s="2">
        <f t="shared" si="39"/>
        <v>0</v>
      </c>
      <c r="AA46" s="2">
        <f t="shared" si="39"/>
        <v>0</v>
      </c>
      <c r="AB46" s="2">
        <f t="shared" si="39"/>
        <v>0</v>
      </c>
      <c r="AC46" s="2">
        <f t="shared" si="39"/>
        <v>0</v>
      </c>
      <c r="AD46" s="2">
        <f t="shared" si="39"/>
        <v>0</v>
      </c>
      <c r="AE46" s="2">
        <f t="shared" si="39"/>
        <v>0</v>
      </c>
      <c r="AF46" s="2">
        <f t="shared" si="39"/>
        <v>0</v>
      </c>
      <c r="AG46" s="2">
        <f t="shared" si="39"/>
        <v>0</v>
      </c>
      <c r="AH46" s="2">
        <f t="shared" si="39"/>
        <v>0</v>
      </c>
      <c r="AI46" s="2">
        <f t="shared" si="39"/>
        <v>0</v>
      </c>
      <c r="AJ46" s="2">
        <f t="shared" si="39"/>
        <v>8.5258908294922497E-2</v>
      </c>
      <c r="AK46" s="2">
        <f t="shared" si="39"/>
        <v>7.68628250932894E-2</v>
      </c>
      <c r="AL46" s="2">
        <f t="shared" si="39"/>
        <v>7.9327838055069308E-2</v>
      </c>
      <c r="AM46" s="2">
        <f t="shared" si="39"/>
        <v>7.9254883795681005E-2</v>
      </c>
      <c r="AN46" s="2">
        <f t="shared" ref="AN46:BS46" si="40">AV292</f>
        <v>7.91439367035362E-2</v>
      </c>
      <c r="AO46" s="2">
        <f t="shared" si="40"/>
        <v>7.8996826136845111E-2</v>
      </c>
      <c r="AP46" s="2">
        <f t="shared" si="40"/>
        <v>7.882178684876559E-2</v>
      </c>
      <c r="AQ46" s="2">
        <f t="shared" si="40"/>
        <v>7.9401613748695407E-2</v>
      </c>
      <c r="AR46" s="2">
        <f t="shared" si="40"/>
        <v>7.9848060900680903E-2</v>
      </c>
      <c r="AS46" s="2">
        <f t="shared" si="40"/>
        <v>8.0567307705630503E-2</v>
      </c>
      <c r="AT46" s="2">
        <f t="shared" si="40"/>
        <v>8.0727472708767303E-2</v>
      </c>
      <c r="AU46" s="2">
        <f t="shared" si="40"/>
        <v>8.09110734128239E-2</v>
      </c>
      <c r="AV46" s="2">
        <f t="shared" si="40"/>
        <v>8.1093734902828396E-2</v>
      </c>
      <c r="AW46" s="2">
        <f t="shared" si="40"/>
        <v>8.1022086204492597E-2</v>
      </c>
      <c r="AX46" s="2">
        <f t="shared" si="40"/>
        <v>8.0521262461288906E-2</v>
      </c>
      <c r="AY46" s="2">
        <f t="shared" si="40"/>
        <v>7.9548465861577794E-2</v>
      </c>
      <c r="AZ46" s="2">
        <f t="shared" si="40"/>
        <v>7.8211483065064411E-2</v>
      </c>
      <c r="BA46" s="2">
        <f t="shared" si="40"/>
        <v>7.6720390610066191E-2</v>
      </c>
      <c r="BB46" s="2">
        <f t="shared" si="40"/>
        <v>7.5290379990215095E-2</v>
      </c>
      <c r="BC46" s="2">
        <f t="shared" si="40"/>
        <v>7.4056527767712904E-2</v>
      </c>
      <c r="BD46" s="2">
        <f t="shared" si="40"/>
        <v>7.3054807558051701E-2</v>
      </c>
      <c r="BE46" s="2">
        <f t="shared" si="40"/>
        <v>7.2231481654404295E-2</v>
      </c>
      <c r="BF46" s="2">
        <f t="shared" si="40"/>
        <v>7.1969740856298897E-2</v>
      </c>
      <c r="BG46" s="2">
        <f t="shared" si="40"/>
        <v>7.2034867832923996E-2</v>
      </c>
      <c r="BH46" s="2">
        <f t="shared" si="40"/>
        <v>7.2180265947716801E-2</v>
      </c>
      <c r="BI46" s="2">
        <f t="shared" si="40"/>
        <v>7.2331084804395096E-2</v>
      </c>
      <c r="BJ46" s="2">
        <f t="shared" si="40"/>
        <v>7.2659722711941502E-2</v>
      </c>
      <c r="BK46" s="2">
        <f t="shared" si="40"/>
        <v>7.2944356536730509E-2</v>
      </c>
      <c r="BL46" s="2">
        <f t="shared" si="40"/>
        <v>7.3183148192823108E-2</v>
      </c>
      <c r="BM46" s="2">
        <f t="shared" si="40"/>
        <v>7.33783168422453E-2</v>
      </c>
      <c r="BN46" s="2">
        <f t="shared" si="40"/>
        <v>7.352643680292599E-2</v>
      </c>
      <c r="BO46" s="2">
        <f t="shared" si="40"/>
        <v>7.3621030668879192E-2</v>
      </c>
      <c r="BP46" s="2">
        <f t="shared" si="40"/>
        <v>7.3656480722349593E-2</v>
      </c>
      <c r="BQ46" s="2">
        <f t="shared" si="40"/>
        <v>7.3627969750750602E-2</v>
      </c>
      <c r="BR46" s="2">
        <f t="shared" si="40"/>
        <v>7.3536119494795993E-2</v>
      </c>
      <c r="BS46" s="2">
        <f t="shared" si="38"/>
        <v>7.3380285048967195E-2</v>
      </c>
      <c r="BT46" s="2">
        <f t="shared" si="38"/>
        <v>7.3155751824167101E-2</v>
      </c>
      <c r="BU46" s="2">
        <f t="shared" si="38"/>
        <v>7.29485907286887E-2</v>
      </c>
      <c r="BV46" s="2">
        <f t="shared" si="38"/>
        <v>7.275929058814809E-2</v>
      </c>
      <c r="BW46" s="2">
        <f t="shared" si="38"/>
        <v>7.2591692995999713E-2</v>
      </c>
      <c r="BX46" s="2">
        <f t="shared" si="38"/>
        <v>7.2450362229342299E-2</v>
      </c>
      <c r="BY46" s="2">
        <f t="shared" si="38"/>
        <v>7.2328929443485707E-2</v>
      </c>
      <c r="BZ46" s="2">
        <f t="shared" si="38"/>
        <v>7.2226252115775602E-2</v>
      </c>
      <c r="CA46" s="2">
        <f t="shared" si="38"/>
        <v>7.2151066035786693E-2</v>
      </c>
      <c r="CB46" s="2">
        <f t="shared" si="38"/>
        <v>7.2101460686540705E-2</v>
      </c>
      <c r="CC46" s="2">
        <f t="shared" si="38"/>
        <v>7.2079833634163301E-2</v>
      </c>
      <c r="CD46" s="2">
        <f t="shared" si="38"/>
        <v>7.2086448556554009E-2</v>
      </c>
    </row>
    <row r="47" spans="3:82" s="3" customFormat="1" x14ac:dyDescent="0.2">
      <c r="C47" s="3" t="s">
        <v>199</v>
      </c>
      <c r="G47" s="3">
        <f>SUM(G48:G69)</f>
        <v>21</v>
      </c>
      <c r="H47" s="3">
        <f t="shared" ref="H47:BS47" si="41">SUM(H48:H69)</f>
        <v>0</v>
      </c>
      <c r="I47" s="3">
        <f t="shared" si="41"/>
        <v>0</v>
      </c>
      <c r="J47" s="3">
        <f t="shared" si="41"/>
        <v>0</v>
      </c>
      <c r="K47" s="3">
        <f t="shared" si="41"/>
        <v>672.37430000000006</v>
      </c>
      <c r="L47" s="3">
        <f t="shared" si="41"/>
        <v>672.37430000000006</v>
      </c>
      <c r="M47" s="3">
        <f t="shared" si="41"/>
        <v>754.62110000000007</v>
      </c>
      <c r="N47" s="3">
        <f t="shared" si="41"/>
        <v>876.9772999999999</v>
      </c>
      <c r="O47" s="3">
        <f t="shared" si="41"/>
        <v>974.66330000000016</v>
      </c>
      <c r="P47" s="3">
        <f t="shared" si="41"/>
        <v>929.05049999999994</v>
      </c>
      <c r="Q47" s="3">
        <f t="shared" si="41"/>
        <v>989.88870000000009</v>
      </c>
      <c r="R47" s="3">
        <f t="shared" si="41"/>
        <v>1007.4190000000002</v>
      </c>
      <c r="S47" s="3">
        <f t="shared" si="41"/>
        <v>1097.6885</v>
      </c>
      <c r="T47" s="3">
        <f t="shared" si="41"/>
        <v>1170.6930999999997</v>
      </c>
      <c r="U47" s="3">
        <f t="shared" si="41"/>
        <v>1188.4174</v>
      </c>
      <c r="V47" s="3">
        <f t="shared" si="41"/>
        <v>1423.3377</v>
      </c>
      <c r="W47" s="3">
        <f t="shared" si="41"/>
        <v>1499.1359000000002</v>
      </c>
      <c r="X47" s="3">
        <f t="shared" si="41"/>
        <v>1635.6607999999997</v>
      </c>
      <c r="Y47" s="3">
        <f t="shared" si="41"/>
        <v>1971.1678000000002</v>
      </c>
      <c r="Z47" s="3">
        <f t="shared" si="41"/>
        <v>2127.2166999999999</v>
      </c>
      <c r="AA47" s="3">
        <f t="shared" si="41"/>
        <v>2305.6290000000004</v>
      </c>
      <c r="AB47" s="3">
        <f t="shared" si="41"/>
        <v>2594.3013000000005</v>
      </c>
      <c r="AC47" s="3">
        <f t="shared" si="41"/>
        <v>2518.0763000000006</v>
      </c>
      <c r="AD47" s="3">
        <f t="shared" si="41"/>
        <v>2791.8287</v>
      </c>
      <c r="AE47" s="3">
        <f t="shared" si="41"/>
        <v>2944.8714</v>
      </c>
      <c r="AF47" s="3">
        <f t="shared" si="41"/>
        <v>3322.0162000000005</v>
      </c>
      <c r="AG47" s="3">
        <f t="shared" si="41"/>
        <v>3492.2575000000002</v>
      </c>
      <c r="AH47" s="3">
        <f t="shared" si="41"/>
        <v>2992.3478000000005</v>
      </c>
      <c r="AI47" s="3">
        <f t="shared" si="41"/>
        <v>3120.0652999999998</v>
      </c>
      <c r="AJ47" s="3">
        <f t="shared" si="41"/>
        <v>3186.0589932254534</v>
      </c>
      <c r="AK47" s="3">
        <f t="shared" si="41"/>
        <v>3266.8456751862691</v>
      </c>
      <c r="AL47" s="3">
        <f t="shared" si="41"/>
        <v>3411.7408319615506</v>
      </c>
      <c r="AM47" s="3">
        <f t="shared" si="41"/>
        <v>3591.1419975583271</v>
      </c>
      <c r="AN47" s="3">
        <f t="shared" si="41"/>
        <v>3809.6603066246644</v>
      </c>
      <c r="AO47" s="3">
        <f t="shared" si="41"/>
        <v>4061.7010059156232</v>
      </c>
      <c r="AP47" s="3">
        <f t="shared" si="41"/>
        <v>4364.0561324144646</v>
      </c>
      <c r="AQ47" s="3">
        <f t="shared" si="41"/>
        <v>4773.6364957102433</v>
      </c>
      <c r="AR47" s="3">
        <f t="shared" si="41"/>
        <v>5263.2874044641676</v>
      </c>
      <c r="AS47" s="3">
        <f t="shared" si="41"/>
        <v>5834.7578435506348</v>
      </c>
      <c r="AT47" s="3">
        <f t="shared" si="41"/>
        <v>6451.9964560865537</v>
      </c>
      <c r="AU47" s="3">
        <f t="shared" si="41"/>
        <v>6993.543374512913</v>
      </c>
      <c r="AV47" s="3">
        <f t="shared" si="41"/>
        <v>7574.3689410245397</v>
      </c>
      <c r="AW47" s="3">
        <f t="shared" si="41"/>
        <v>8198.3338779961596</v>
      </c>
      <c r="AX47" s="3">
        <f t="shared" si="41"/>
        <v>8870.1296805420661</v>
      </c>
      <c r="AY47" s="3">
        <f t="shared" si="41"/>
        <v>9595.4526083917517</v>
      </c>
      <c r="AZ47" s="3">
        <f t="shared" si="41"/>
        <v>10380.586215814199</v>
      </c>
      <c r="BA47" s="3">
        <f t="shared" si="41"/>
        <v>11232.555570412149</v>
      </c>
      <c r="BB47" s="3">
        <f t="shared" si="41"/>
        <v>12159.130671581943</v>
      </c>
      <c r="BC47" s="3">
        <f t="shared" si="41"/>
        <v>13168.849071426192</v>
      </c>
      <c r="BD47" s="3">
        <f t="shared" si="41"/>
        <v>14181.077057190425</v>
      </c>
      <c r="BE47" s="3">
        <f t="shared" si="41"/>
        <v>15181.441966891709</v>
      </c>
      <c r="BF47" s="3">
        <f t="shared" si="41"/>
        <v>16163.703096125904</v>
      </c>
      <c r="BG47" s="3">
        <f t="shared" si="41"/>
        <v>17101.926277401522</v>
      </c>
      <c r="BH47" s="3">
        <f t="shared" si="41"/>
        <v>17977.526162945262</v>
      </c>
      <c r="BI47" s="3">
        <f t="shared" si="41"/>
        <v>18771.564826230224</v>
      </c>
      <c r="BJ47" s="3">
        <f t="shared" si="41"/>
        <v>19464.437145383519</v>
      </c>
      <c r="BK47" s="3">
        <f t="shared" si="41"/>
        <v>20140.48906544385</v>
      </c>
      <c r="BL47" s="3">
        <f t="shared" si="41"/>
        <v>20794.196593684814</v>
      </c>
      <c r="BM47" s="3">
        <f t="shared" si="41"/>
        <v>21420.336076874828</v>
      </c>
      <c r="BN47" s="3">
        <f t="shared" si="41"/>
        <v>22012.814374822465</v>
      </c>
      <c r="BO47" s="3">
        <f t="shared" si="41"/>
        <v>22562.170431288803</v>
      </c>
      <c r="BP47" s="3">
        <f t="shared" si="41"/>
        <v>23064.945232192254</v>
      </c>
      <c r="BQ47" s="3">
        <f t="shared" si="41"/>
        <v>23516.076001413767</v>
      </c>
      <c r="BR47" s="3">
        <f t="shared" si="41"/>
        <v>23911.90883147117</v>
      </c>
      <c r="BS47" s="3">
        <f t="shared" si="41"/>
        <v>24249.211119596581</v>
      </c>
      <c r="BT47" s="3">
        <f t="shared" ref="BT47:CD47" si="42">SUM(BT48:BT69)</f>
        <v>24524.741153307772</v>
      </c>
      <c r="BU47" s="3">
        <f t="shared" si="42"/>
        <v>24801.545650718668</v>
      </c>
      <c r="BV47" s="3">
        <f t="shared" si="42"/>
        <v>25079.711200998085</v>
      </c>
      <c r="BW47" s="3">
        <f t="shared" si="42"/>
        <v>25359.934152614867</v>
      </c>
      <c r="BX47" s="3">
        <f t="shared" si="42"/>
        <v>25643.139475573294</v>
      </c>
      <c r="BY47" s="3">
        <f t="shared" si="42"/>
        <v>25928.778357501375</v>
      </c>
      <c r="BZ47" s="3">
        <f t="shared" si="42"/>
        <v>26217.313183386406</v>
      </c>
      <c r="CA47" s="3">
        <f t="shared" si="42"/>
        <v>26510.959282702817</v>
      </c>
      <c r="CB47" s="3">
        <f t="shared" si="42"/>
        <v>26810.686911790213</v>
      </c>
      <c r="CC47" s="3">
        <f t="shared" si="42"/>
        <v>27118.508184862152</v>
      </c>
      <c r="CD47" s="3">
        <f t="shared" si="42"/>
        <v>27436.546077956515</v>
      </c>
    </row>
    <row r="48" spans="3:82" s="2" customFormat="1" x14ac:dyDescent="0.2">
      <c r="D48" s="2" t="s">
        <v>26</v>
      </c>
      <c r="F48" s="2" t="s">
        <v>6</v>
      </c>
      <c r="G48" s="2">
        <f>O293</f>
        <v>1</v>
      </c>
      <c r="H48" s="2">
        <f t="shared" ref="H48:BS50" si="43">P293</f>
        <v>0</v>
      </c>
      <c r="I48" s="2" t="str">
        <f t="shared" si="43"/>
        <v>emission_co2e_ch4_trns_aviation</v>
      </c>
      <c r="J48" s="2">
        <f t="shared" si="43"/>
        <v>0</v>
      </c>
      <c r="K48" s="2">
        <f t="shared" si="43"/>
        <v>0</v>
      </c>
      <c r="L48" s="2">
        <f t="shared" si="43"/>
        <v>0</v>
      </c>
      <c r="M48" s="2">
        <f t="shared" si="43"/>
        <v>2.7900000000000001E-2</v>
      </c>
      <c r="N48" s="2">
        <f t="shared" si="43"/>
        <v>2.7900000000000001E-2</v>
      </c>
      <c r="O48" s="2">
        <f t="shared" si="43"/>
        <v>2.7900000000000001E-2</v>
      </c>
      <c r="P48" s="2">
        <f t="shared" si="43"/>
        <v>2.7900000000000001E-2</v>
      </c>
      <c r="Q48" s="2">
        <f t="shared" si="43"/>
        <v>2.7900000000000001E-2</v>
      </c>
      <c r="R48" s="2">
        <f t="shared" si="43"/>
        <v>2.7900000000000001E-2</v>
      </c>
      <c r="S48" s="2">
        <f t="shared" si="43"/>
        <v>2.7900000000000001E-2</v>
      </c>
      <c r="T48" s="2">
        <f t="shared" si="43"/>
        <v>2.7900000000000001E-2</v>
      </c>
      <c r="U48" s="2">
        <f t="shared" si="43"/>
        <v>2.7900000000000001E-2</v>
      </c>
      <c r="V48" s="2">
        <f t="shared" si="43"/>
        <v>2.7900000000000001E-2</v>
      </c>
      <c r="W48" s="2">
        <f t="shared" si="43"/>
        <v>5.5800000000000002E-2</v>
      </c>
      <c r="X48" s="2">
        <f t="shared" si="43"/>
        <v>2.7900000000000001E-2</v>
      </c>
      <c r="Y48" s="2">
        <f t="shared" si="43"/>
        <v>5.5800000000000002E-2</v>
      </c>
      <c r="Z48" s="2">
        <f t="shared" si="43"/>
        <v>5.5800000000000002E-2</v>
      </c>
      <c r="AA48" s="2">
        <f t="shared" si="43"/>
        <v>5.5800000000000002E-2</v>
      </c>
      <c r="AB48" s="2">
        <f t="shared" si="43"/>
        <v>5.5800000000000002E-2</v>
      </c>
      <c r="AC48" s="2">
        <f t="shared" si="43"/>
        <v>5.5800000000000002E-2</v>
      </c>
      <c r="AD48" s="2">
        <f t="shared" si="43"/>
        <v>5.5800000000000002E-2</v>
      </c>
      <c r="AE48" s="2">
        <f t="shared" si="43"/>
        <v>5.5800000000000002E-2</v>
      </c>
      <c r="AF48" s="2">
        <f t="shared" si="43"/>
        <v>5.5800000000000002E-2</v>
      </c>
      <c r="AG48" s="2">
        <f t="shared" si="43"/>
        <v>5.5800000000000002E-2</v>
      </c>
      <c r="AH48" s="2">
        <f t="shared" si="43"/>
        <v>5.5800000000000002E-2</v>
      </c>
      <c r="AI48" s="2">
        <f t="shared" si="43"/>
        <v>5.5800000000000002E-2</v>
      </c>
      <c r="AJ48" s="2">
        <f t="shared" si="43"/>
        <v>1.31956728869252E-2</v>
      </c>
      <c r="AK48" s="2">
        <f t="shared" si="43"/>
        <v>1.3658144394715899E-2</v>
      </c>
      <c r="AL48" s="2">
        <f t="shared" si="43"/>
        <v>1.43048571341959E-2</v>
      </c>
      <c r="AM48" s="2">
        <f t="shared" si="43"/>
        <v>1.5110487150107399E-2</v>
      </c>
      <c r="AN48" s="2">
        <f t="shared" si="43"/>
        <v>1.60981050386667E-2</v>
      </c>
      <c r="AO48" s="2">
        <f t="shared" si="43"/>
        <v>1.7247979840702501E-2</v>
      </c>
      <c r="AP48" s="2">
        <f t="shared" si="43"/>
        <v>1.8639065799498099E-2</v>
      </c>
      <c r="AQ48" s="2">
        <f t="shared" si="43"/>
        <v>2.05319359384654E-2</v>
      </c>
      <c r="AR48" s="2">
        <f t="shared" si="43"/>
        <v>2.2826053931211399E-2</v>
      </c>
      <c r="AS48" s="2">
        <f t="shared" si="43"/>
        <v>2.55503535519273E-2</v>
      </c>
      <c r="AT48" s="2">
        <f t="shared" si="43"/>
        <v>2.8562493104166801E-2</v>
      </c>
      <c r="AU48" s="2">
        <f t="shared" si="43"/>
        <v>3.13058027292729E-2</v>
      </c>
      <c r="AV48" s="2">
        <f t="shared" si="43"/>
        <v>3.4315754791656702E-2</v>
      </c>
      <c r="AW48" s="2">
        <f t="shared" si="43"/>
        <v>3.7618949079747187E-2</v>
      </c>
      <c r="AX48" s="2">
        <f t="shared" si="43"/>
        <v>4.1244683617004903E-2</v>
      </c>
      <c r="AY48" s="2">
        <f t="shared" si="43"/>
        <v>4.5226340529064088E-2</v>
      </c>
      <c r="AZ48" s="2">
        <f t="shared" si="43"/>
        <v>4.9599803955642001E-2</v>
      </c>
      <c r="BA48" s="2">
        <f t="shared" si="43"/>
        <v>5.4404602329296101E-2</v>
      </c>
      <c r="BB48" s="2">
        <f t="shared" si="43"/>
        <v>5.9684261534118703E-2</v>
      </c>
      <c r="BC48" s="2">
        <f t="shared" si="43"/>
        <v>6.5486680871983796E-2</v>
      </c>
      <c r="BD48" s="2">
        <f t="shared" si="43"/>
        <v>7.1370425607358901E-2</v>
      </c>
      <c r="BE48" s="2">
        <f t="shared" si="43"/>
        <v>7.7236552968930311E-2</v>
      </c>
      <c r="BF48" s="2">
        <f t="shared" si="43"/>
        <v>8.3044906089119602E-2</v>
      </c>
      <c r="BG48" s="2">
        <f t="shared" si="43"/>
        <v>8.86169623671932E-2</v>
      </c>
      <c r="BH48" s="2">
        <f t="shared" si="43"/>
        <v>9.3829028057026406E-2</v>
      </c>
      <c r="BI48" s="2">
        <f t="shared" si="43"/>
        <v>9.8558940349780189E-2</v>
      </c>
      <c r="BJ48" s="2">
        <f t="shared" si="43"/>
        <v>0.1026845265599</v>
      </c>
      <c r="BK48" s="2">
        <f t="shared" si="43"/>
        <v>0.106688618067</v>
      </c>
      <c r="BL48" s="2">
        <f t="shared" si="43"/>
        <v>0.1105427681668</v>
      </c>
      <c r="BM48" s="2">
        <f t="shared" si="43"/>
        <v>0.1142230525552</v>
      </c>
      <c r="BN48" s="2">
        <f t="shared" si="43"/>
        <v>0.11770119976649999</v>
      </c>
      <c r="BO48" s="2">
        <f t="shared" si="43"/>
        <v>0.1218258171187</v>
      </c>
      <c r="BP48" s="2">
        <f t="shared" si="43"/>
        <v>0.12576486720899999</v>
      </c>
      <c r="BQ48" s="2">
        <f t="shared" si="43"/>
        <v>0.12948581529539999</v>
      </c>
      <c r="BR48" s="2">
        <f t="shared" si="43"/>
        <v>0.13296283058880001</v>
      </c>
      <c r="BS48" s="2">
        <f t="shared" si="43"/>
        <v>0.1361703518172</v>
      </c>
      <c r="BT48" s="2">
        <f t="shared" ref="BT48:CD49" si="44">CB293</f>
        <v>0.13908019455250001</v>
      </c>
      <c r="BU48" s="2">
        <f t="shared" si="44"/>
        <v>0.1420737672878</v>
      </c>
      <c r="BV48" s="2">
        <f t="shared" si="44"/>
        <v>0.14515347657239999</v>
      </c>
      <c r="BW48" s="2">
        <f t="shared" si="44"/>
        <v>0.14832561748020001</v>
      </c>
      <c r="BX48" s="2">
        <f t="shared" si="44"/>
        <v>0.15159754120089999</v>
      </c>
      <c r="BY48" s="2">
        <f t="shared" si="44"/>
        <v>0.15496430577029999</v>
      </c>
      <c r="BZ48" s="2">
        <f t="shared" si="44"/>
        <v>0.1584268682502</v>
      </c>
      <c r="CA48" s="2">
        <f t="shared" si="44"/>
        <v>0.1619978323297</v>
      </c>
      <c r="CB48" s="2">
        <f t="shared" si="44"/>
        <v>0.16567769522029999</v>
      </c>
      <c r="CC48" s="2">
        <f t="shared" si="44"/>
        <v>0.16947215827080001</v>
      </c>
      <c r="CD48" s="2">
        <f t="shared" si="44"/>
        <v>0.17338458854460001</v>
      </c>
    </row>
    <row r="49" spans="4:82" s="2" customFormat="1" x14ac:dyDescent="0.2">
      <c r="D49" s="2" t="s">
        <v>26</v>
      </c>
      <c r="F49" s="2" t="s">
        <v>7</v>
      </c>
      <c r="G49" s="2">
        <f>O294</f>
        <v>1</v>
      </c>
      <c r="H49" s="2">
        <f t="shared" si="43"/>
        <v>0</v>
      </c>
      <c r="I49" s="2" t="str">
        <f t="shared" si="43"/>
        <v>emission_co2e_co2_trns_aviation</v>
      </c>
      <c r="J49" s="2">
        <f t="shared" si="43"/>
        <v>0</v>
      </c>
      <c r="K49" s="2">
        <f t="shared" si="43"/>
        <v>70.207999999999998</v>
      </c>
      <c r="L49" s="2">
        <f t="shared" si="43"/>
        <v>70.207999999999998</v>
      </c>
      <c r="M49" s="2">
        <f t="shared" si="43"/>
        <v>118.247</v>
      </c>
      <c r="N49" s="2">
        <f t="shared" si="43"/>
        <v>160.79400000000001</v>
      </c>
      <c r="O49" s="2">
        <f t="shared" si="43"/>
        <v>124.982</v>
      </c>
      <c r="P49" s="2">
        <f t="shared" si="43"/>
        <v>94.525999999999996</v>
      </c>
      <c r="Q49" s="2">
        <f t="shared" si="43"/>
        <v>129.94800000000001</v>
      </c>
      <c r="R49" s="2">
        <f t="shared" si="43"/>
        <v>129.94800000000001</v>
      </c>
      <c r="S49" s="2">
        <f t="shared" si="43"/>
        <v>162.34100000000001</v>
      </c>
      <c r="T49" s="2">
        <f t="shared" si="43"/>
        <v>185.48099999999999</v>
      </c>
      <c r="U49" s="2">
        <f t="shared" si="43"/>
        <v>208.45400000000001</v>
      </c>
      <c r="V49" s="2">
        <f t="shared" si="43"/>
        <v>210.94499999999999</v>
      </c>
      <c r="W49" s="2">
        <f t="shared" si="43"/>
        <v>217.08699999999999</v>
      </c>
      <c r="X49" s="2">
        <f t="shared" si="43"/>
        <v>104.47499999999999</v>
      </c>
      <c r="Y49" s="2">
        <f t="shared" si="43"/>
        <v>261.38299999999998</v>
      </c>
      <c r="Z49" s="2">
        <f t="shared" si="43"/>
        <v>276.36900000000003</v>
      </c>
      <c r="AA49" s="2">
        <f t="shared" si="43"/>
        <v>263.97800000000001</v>
      </c>
      <c r="AB49" s="2">
        <f t="shared" si="43"/>
        <v>318.375</v>
      </c>
      <c r="AC49" s="2">
        <f t="shared" si="43"/>
        <v>290.61900000000003</v>
      </c>
      <c r="AD49" s="2">
        <f t="shared" si="43"/>
        <v>353.96800000000002</v>
      </c>
      <c r="AE49" s="2">
        <f t="shared" si="43"/>
        <v>326.71899999999999</v>
      </c>
      <c r="AF49" s="2">
        <f t="shared" si="43"/>
        <v>315.05</v>
      </c>
      <c r="AG49" s="2">
        <f t="shared" si="43"/>
        <v>321.20699999999999</v>
      </c>
      <c r="AH49" s="2">
        <f t="shared" si="43"/>
        <v>326.68400000000003</v>
      </c>
      <c r="AI49" s="2">
        <f t="shared" si="43"/>
        <v>344.25799999999998</v>
      </c>
      <c r="AJ49" s="2">
        <f t="shared" si="43"/>
        <v>124.928860001777</v>
      </c>
      <c r="AK49" s="2">
        <f t="shared" si="43"/>
        <v>129.30726788947399</v>
      </c>
      <c r="AL49" s="2">
        <f t="shared" si="43"/>
        <v>135.429963259705</v>
      </c>
      <c r="AM49" s="2">
        <f t="shared" si="43"/>
        <v>143.057193817289</v>
      </c>
      <c r="AN49" s="2">
        <f t="shared" si="43"/>
        <v>152.40737838099801</v>
      </c>
      <c r="AO49" s="2">
        <f t="shared" si="43"/>
        <v>163.29371584889901</v>
      </c>
      <c r="AP49" s="2">
        <f t="shared" si="43"/>
        <v>176.46369850048501</v>
      </c>
      <c r="AQ49" s="2">
        <f t="shared" si="43"/>
        <v>194.38427827075901</v>
      </c>
      <c r="AR49" s="2">
        <f t="shared" si="43"/>
        <v>216.10363642697001</v>
      </c>
      <c r="AS49" s="2">
        <f t="shared" si="43"/>
        <v>241.895700904146</v>
      </c>
      <c r="AT49" s="2">
        <f t="shared" si="43"/>
        <v>270.41286434492798</v>
      </c>
      <c r="AU49" s="2">
        <f t="shared" si="43"/>
        <v>296.38490434873802</v>
      </c>
      <c r="AV49" s="2">
        <f t="shared" si="43"/>
        <v>324.88135792377199</v>
      </c>
      <c r="AW49" s="2">
        <f t="shared" si="43"/>
        <v>356.15405620234299</v>
      </c>
      <c r="AX49" s="2">
        <f t="shared" si="43"/>
        <v>390.48037561705598</v>
      </c>
      <c r="AY49" s="2">
        <f t="shared" si="43"/>
        <v>428.17635847478698</v>
      </c>
      <c r="AZ49" s="2">
        <f t="shared" si="43"/>
        <v>469.581734678315</v>
      </c>
      <c r="BA49" s="2">
        <f t="shared" si="43"/>
        <v>515.07073614892295</v>
      </c>
      <c r="BB49" s="2">
        <f t="shared" si="43"/>
        <v>565.05544032494402</v>
      </c>
      <c r="BC49" s="2">
        <f t="shared" si="43"/>
        <v>619.98932958914202</v>
      </c>
      <c r="BD49" s="2">
        <f t="shared" si="43"/>
        <v>675.69315982414503</v>
      </c>
      <c r="BE49" s="2">
        <f t="shared" si="43"/>
        <v>731.23019913895109</v>
      </c>
      <c r="BF49" s="2">
        <f t="shared" si="43"/>
        <v>786.22026595963803</v>
      </c>
      <c r="BG49" s="2">
        <f t="shared" si="43"/>
        <v>838.973213433448</v>
      </c>
      <c r="BH49" s="2">
        <f t="shared" si="43"/>
        <v>888.31798201490892</v>
      </c>
      <c r="BI49" s="2">
        <f t="shared" si="43"/>
        <v>933.098006171615</v>
      </c>
      <c r="BJ49" s="2">
        <f t="shared" si="43"/>
        <v>972.15662686445899</v>
      </c>
      <c r="BK49" s="2">
        <f t="shared" si="43"/>
        <v>1010.0650072567799</v>
      </c>
      <c r="BL49" s="2">
        <f t="shared" si="43"/>
        <v>1046.5538307038</v>
      </c>
      <c r="BM49" s="2">
        <f t="shared" si="43"/>
        <v>1081.39659598515</v>
      </c>
      <c r="BN49" s="2">
        <f t="shared" si="43"/>
        <v>1114.32564551173</v>
      </c>
      <c r="BO49" s="2">
        <f t="shared" si="43"/>
        <v>1153.3750936277299</v>
      </c>
      <c r="BP49" s="2">
        <f t="shared" si="43"/>
        <v>1190.6677001882299</v>
      </c>
      <c r="BQ49" s="2">
        <f t="shared" si="43"/>
        <v>1225.8954454148</v>
      </c>
      <c r="BR49" s="2">
        <f t="shared" si="43"/>
        <v>1258.8137786090799</v>
      </c>
      <c r="BS49" s="2">
        <f t="shared" si="43"/>
        <v>1289.1807006997001</v>
      </c>
      <c r="BT49" s="2">
        <f t="shared" si="44"/>
        <v>1316.7293781201699</v>
      </c>
      <c r="BU49" s="2">
        <f t="shared" si="44"/>
        <v>1345.07076187183</v>
      </c>
      <c r="BV49" s="2">
        <f t="shared" si="44"/>
        <v>1374.22763574702</v>
      </c>
      <c r="BW49" s="2">
        <f t="shared" si="44"/>
        <v>1404.25959779802</v>
      </c>
      <c r="BX49" s="2">
        <f t="shared" si="44"/>
        <v>1435.23624475987</v>
      </c>
      <c r="BY49" s="2">
        <f t="shared" si="44"/>
        <v>1467.11078902543</v>
      </c>
      <c r="BZ49" s="2">
        <f t="shared" si="44"/>
        <v>1499.89229149277</v>
      </c>
      <c r="CA49" s="2">
        <f t="shared" si="44"/>
        <v>1533.7000764674499</v>
      </c>
      <c r="CB49" s="2">
        <f t="shared" si="44"/>
        <v>1568.5388512555701</v>
      </c>
      <c r="CC49" s="2">
        <f t="shared" si="44"/>
        <v>1604.46259287046</v>
      </c>
      <c r="CD49" s="2">
        <f t="shared" si="44"/>
        <v>1641.50317868451</v>
      </c>
    </row>
    <row r="50" spans="4:82" s="2" customFormat="1" x14ac:dyDescent="0.2">
      <c r="D50" s="2" t="s">
        <v>26</v>
      </c>
      <c r="F50" s="2" t="s">
        <v>8</v>
      </c>
      <c r="G50" s="2">
        <f>O295</f>
        <v>1</v>
      </c>
      <c r="H50" s="2">
        <f t="shared" si="43"/>
        <v>0</v>
      </c>
      <c r="I50" s="2" t="str">
        <f t="shared" si="43"/>
        <v>emission_co2e_n2o_trns_aviation</v>
      </c>
      <c r="J50" s="2">
        <f t="shared" si="43"/>
        <v>0</v>
      </c>
      <c r="K50" s="2">
        <f t="shared" si="43"/>
        <v>0.54600000000000004</v>
      </c>
      <c r="L50" s="2">
        <f t="shared" si="43"/>
        <v>0.54600000000000004</v>
      </c>
      <c r="M50" s="2">
        <f t="shared" si="43"/>
        <v>0.81900000000000006</v>
      </c>
      <c r="N50" s="2">
        <f t="shared" si="43"/>
        <v>1.0920000000000001</v>
      </c>
      <c r="O50" s="2">
        <f t="shared" si="43"/>
        <v>0.81900000000000006</v>
      </c>
      <c r="P50" s="2">
        <f t="shared" si="43"/>
        <v>0.81900000000000006</v>
      </c>
      <c r="Q50" s="2">
        <f t="shared" si="43"/>
        <v>1.0920000000000001</v>
      </c>
      <c r="R50" s="2">
        <f t="shared" si="43"/>
        <v>1.0920000000000001</v>
      </c>
      <c r="S50" s="2">
        <f t="shared" si="43"/>
        <v>1.365</v>
      </c>
      <c r="T50" s="2">
        <f t="shared" si="43"/>
        <v>1.365</v>
      </c>
      <c r="U50" s="2">
        <f t="shared" si="43"/>
        <v>1.6379999999999999</v>
      </c>
      <c r="V50" s="2">
        <f t="shared" si="43"/>
        <v>1.6379999999999999</v>
      </c>
      <c r="W50" s="2">
        <f t="shared" si="43"/>
        <v>1.6379999999999999</v>
      </c>
      <c r="X50" s="2">
        <f t="shared" si="43"/>
        <v>0.81900000000000006</v>
      </c>
      <c r="Y50" s="2">
        <f t="shared" si="43"/>
        <v>1.911</v>
      </c>
      <c r="Z50" s="2">
        <f t="shared" si="43"/>
        <v>2.1840000000000002</v>
      </c>
      <c r="AA50" s="2">
        <f t="shared" si="43"/>
        <v>1.911</v>
      </c>
      <c r="AB50" s="2">
        <f t="shared" si="43"/>
        <v>2.4569999999999999</v>
      </c>
      <c r="AC50" s="2">
        <f t="shared" si="43"/>
        <v>2.1840000000000002</v>
      </c>
      <c r="AD50" s="2">
        <f t="shared" si="43"/>
        <v>2.73</v>
      </c>
      <c r="AE50" s="2">
        <f t="shared" si="43"/>
        <v>2.4569999999999999</v>
      </c>
      <c r="AF50" s="2">
        <f t="shared" si="43"/>
        <v>2.4569999999999999</v>
      </c>
      <c r="AG50" s="2">
        <f t="shared" si="43"/>
        <v>2.4569999999999999</v>
      </c>
      <c r="AH50" s="2">
        <f t="shared" si="43"/>
        <v>2.4569999999999999</v>
      </c>
      <c r="AI50" s="2">
        <f t="shared" si="43"/>
        <v>2.73</v>
      </c>
      <c r="AJ50" s="2">
        <f t="shared" si="43"/>
        <v>0.37792693503789998</v>
      </c>
      <c r="AK50" s="2">
        <f t="shared" si="43"/>
        <v>0.39117221938070001</v>
      </c>
      <c r="AL50" s="2">
        <f t="shared" si="43"/>
        <v>0.40969421258080002</v>
      </c>
      <c r="AM50" s="2">
        <f t="shared" si="43"/>
        <v>0.43276763106400001</v>
      </c>
      <c r="AN50" s="2">
        <f t="shared" si="43"/>
        <v>0.46105322171259999</v>
      </c>
      <c r="AO50" s="2">
        <f t="shared" si="43"/>
        <v>0.4939858855741</v>
      </c>
      <c r="AP50" s="2">
        <f t="shared" si="43"/>
        <v>0.53382688930970001</v>
      </c>
      <c r="AQ50" s="2">
        <f t="shared" si="43"/>
        <v>0.58803910085619993</v>
      </c>
      <c r="AR50" s="2">
        <f t="shared" si="43"/>
        <v>0.65374313800869999</v>
      </c>
      <c r="AS50" s="2">
        <f t="shared" si="43"/>
        <v>0.73176767033870005</v>
      </c>
      <c r="AT50" s="2">
        <f t="shared" si="43"/>
        <v>0.8180360007709</v>
      </c>
      <c r="AU50" s="2">
        <f t="shared" si="43"/>
        <v>0.89660498375199993</v>
      </c>
      <c r="AV50" s="2">
        <f t="shared" si="43"/>
        <v>0.98281066399999994</v>
      </c>
      <c r="AW50" s="2">
        <f t="shared" si="43"/>
        <v>1.077414865228</v>
      </c>
      <c r="AX50" s="2">
        <f t="shared" si="43"/>
        <v>1.1812566891856999</v>
      </c>
      <c r="AY50" s="2">
        <f t="shared" si="43"/>
        <v>1.2952922071954001</v>
      </c>
      <c r="AZ50" s="2">
        <f t="shared" si="43"/>
        <v>1.4205491488058</v>
      </c>
      <c r="BA50" s="2">
        <f t="shared" si="43"/>
        <v>1.5581596169031999</v>
      </c>
      <c r="BB50" s="2">
        <f t="shared" si="43"/>
        <v>1.7093702022537001</v>
      </c>
      <c r="BC50" s="2">
        <f t="shared" si="43"/>
        <v>1.8755527512582999</v>
      </c>
      <c r="BD50" s="2">
        <f t="shared" si="43"/>
        <v>2.0440644772940999</v>
      </c>
      <c r="BE50" s="2">
        <f t="shared" si="43"/>
        <v>2.2120716379215999</v>
      </c>
      <c r="BF50" s="2">
        <f t="shared" si="43"/>
        <v>2.3784241317391999</v>
      </c>
      <c r="BG50" s="2">
        <f t="shared" si="43"/>
        <v>2.5380090327197999</v>
      </c>
      <c r="BH50" s="2">
        <f t="shared" si="43"/>
        <v>2.6872837251317998</v>
      </c>
      <c r="BI50" s="2">
        <f t="shared" si="43"/>
        <v>2.8227494396210999</v>
      </c>
      <c r="BJ50" s="2">
        <f t="shared" si="43"/>
        <v>2.9409071239628002</v>
      </c>
      <c r="BK50" s="2">
        <f t="shared" si="43"/>
        <v>3.0555851736442001</v>
      </c>
      <c r="BL50" s="2">
        <f t="shared" si="43"/>
        <v>3.1659688688791001</v>
      </c>
      <c r="BM50" s="2">
        <f t="shared" si="43"/>
        <v>3.271373012412</v>
      </c>
      <c r="BN50" s="2">
        <f t="shared" si="43"/>
        <v>3.3709879033275998</v>
      </c>
      <c r="BO50" s="2">
        <f t="shared" si="43"/>
        <v>3.4891178393664002</v>
      </c>
      <c r="BP50" s="2">
        <f t="shared" si="43"/>
        <v>3.6019330887554002</v>
      </c>
      <c r="BQ50" s="2">
        <f t="shared" si="43"/>
        <v>3.7085018494211002</v>
      </c>
      <c r="BR50" s="2">
        <f t="shared" si="43"/>
        <v>3.8080843219618998</v>
      </c>
      <c r="BS50" s="2">
        <f t="shared" ref="BS50:CD50" si="45">CA295</f>
        <v>3.8999484259975001</v>
      </c>
      <c r="BT50" s="2">
        <f t="shared" si="45"/>
        <v>3.9832869533939999</v>
      </c>
      <c r="BU50" s="2">
        <f t="shared" si="45"/>
        <v>4.0690235261591008</v>
      </c>
      <c r="BV50" s="2">
        <f t="shared" si="45"/>
        <v>4.1572270683892993</v>
      </c>
      <c r="BW50" s="2">
        <f t="shared" si="45"/>
        <v>4.2480778723664994</v>
      </c>
      <c r="BX50" s="2">
        <f t="shared" si="45"/>
        <v>4.3417864777590003</v>
      </c>
      <c r="BY50" s="2">
        <f t="shared" si="45"/>
        <v>4.4382113456384999</v>
      </c>
      <c r="BZ50" s="2">
        <f t="shared" si="45"/>
        <v>4.5373798864645014</v>
      </c>
      <c r="CA50" s="2">
        <f t="shared" si="45"/>
        <v>4.6396530726260004</v>
      </c>
      <c r="CB50" s="2">
        <f t="shared" si="45"/>
        <v>4.7450451443696</v>
      </c>
      <c r="CC50" s="2">
        <f t="shared" si="45"/>
        <v>4.8537193895634001</v>
      </c>
      <c r="CD50" s="2">
        <f t="shared" si="45"/>
        <v>4.9657722416306997</v>
      </c>
    </row>
    <row r="51" spans="4:82" s="2" customFormat="1" x14ac:dyDescent="0.2">
      <c r="D51" s="2" t="s">
        <v>28</v>
      </c>
    </row>
    <row r="52" spans="4:82" s="2" customFormat="1" x14ac:dyDescent="0.2">
      <c r="E52" s="2" t="s">
        <v>29</v>
      </c>
      <c r="F52" s="2" t="s">
        <v>6</v>
      </c>
      <c r="G52" s="2">
        <f t="shared" ref="G52:G69" si="46">O296</f>
        <v>1</v>
      </c>
      <c r="H52" s="2">
        <f t="shared" ref="H52:BS55" si="47">P296</f>
        <v>0</v>
      </c>
      <c r="I52" s="2" t="str">
        <f t="shared" si="47"/>
        <v>emission_co2e_ch4_trns_road_light</v>
      </c>
      <c r="J52" s="2">
        <f t="shared" si="47"/>
        <v>0</v>
      </c>
      <c r="K52" s="2">
        <f t="shared" si="47"/>
        <v>4.7987999999999991</v>
      </c>
      <c r="L52" s="2">
        <f t="shared" si="47"/>
        <v>4.7987999999999991</v>
      </c>
      <c r="M52" s="2">
        <f t="shared" si="47"/>
        <v>5.1056999999999997</v>
      </c>
      <c r="N52" s="2">
        <f t="shared" si="47"/>
        <v>5.5521000000000003</v>
      </c>
      <c r="O52" s="2">
        <f t="shared" si="47"/>
        <v>5.9984999999999999</v>
      </c>
      <c r="P52" s="2">
        <f t="shared" si="47"/>
        <v>5.6916000000000002</v>
      </c>
      <c r="Q52" s="2">
        <f t="shared" si="47"/>
        <v>5.8868999999999998</v>
      </c>
      <c r="R52" s="2">
        <f t="shared" si="47"/>
        <v>6.0821999999999994</v>
      </c>
      <c r="S52" s="2">
        <f t="shared" si="47"/>
        <v>5.8868999999999998</v>
      </c>
      <c r="T52" s="2">
        <f t="shared" si="47"/>
        <v>5.6916000000000002</v>
      </c>
      <c r="U52" s="2">
        <f t="shared" si="47"/>
        <v>5.3289</v>
      </c>
      <c r="V52" s="2">
        <f t="shared" si="47"/>
        <v>6.1658999999999997</v>
      </c>
      <c r="W52" s="2">
        <f t="shared" si="47"/>
        <v>6.0542999999999996</v>
      </c>
      <c r="X52" s="2">
        <f t="shared" si="47"/>
        <v>7.8957000000000006</v>
      </c>
      <c r="Y52" s="2">
        <f t="shared" si="47"/>
        <v>9.1233000000000004</v>
      </c>
      <c r="Z52" s="2">
        <f t="shared" si="47"/>
        <v>9.6255000000000006</v>
      </c>
      <c r="AA52" s="2">
        <f t="shared" si="47"/>
        <v>11.0205</v>
      </c>
      <c r="AB52" s="2">
        <f t="shared" si="47"/>
        <v>14.3127</v>
      </c>
      <c r="AC52" s="2">
        <f t="shared" si="47"/>
        <v>14.7033</v>
      </c>
      <c r="AD52" s="2">
        <f t="shared" si="47"/>
        <v>16.014600000000002</v>
      </c>
      <c r="AE52" s="2">
        <f t="shared" si="47"/>
        <v>16.4331</v>
      </c>
      <c r="AF52" s="2">
        <f t="shared" si="47"/>
        <v>18.888300000000001</v>
      </c>
      <c r="AG52" s="2">
        <f t="shared" si="47"/>
        <v>20.0322</v>
      </c>
      <c r="AH52" s="2">
        <f t="shared" si="47"/>
        <v>16.126200000000001</v>
      </c>
      <c r="AI52" s="2">
        <f t="shared" si="47"/>
        <v>17.493300000000001</v>
      </c>
      <c r="AJ52" s="2">
        <f t="shared" si="47"/>
        <v>8.6170496714142004</v>
      </c>
      <c r="AK52" s="2">
        <f t="shared" si="47"/>
        <v>8.8567123880129994</v>
      </c>
      <c r="AL52" s="2">
        <f t="shared" si="47"/>
        <v>9.2009572216148001</v>
      </c>
      <c r="AM52" s="2">
        <f t="shared" si="47"/>
        <v>9.6305927669577009</v>
      </c>
      <c r="AN52" s="2">
        <f t="shared" si="47"/>
        <v>10.155467926831101</v>
      </c>
      <c r="AO52" s="2">
        <f t="shared" si="47"/>
        <v>10.758603851838201</v>
      </c>
      <c r="AP52" s="2">
        <f t="shared" si="47"/>
        <v>11.4800767077434</v>
      </c>
      <c r="AQ52" s="2">
        <f t="shared" si="47"/>
        <v>12.4588315955012</v>
      </c>
      <c r="AR52" s="2">
        <f t="shared" si="47"/>
        <v>13.6173491128098</v>
      </c>
      <c r="AS52" s="2">
        <f t="shared" si="47"/>
        <v>14.9511313247231</v>
      </c>
      <c r="AT52" s="2">
        <f t="shared" si="47"/>
        <v>16.3636225449374</v>
      </c>
      <c r="AU52" s="2">
        <f t="shared" si="47"/>
        <v>17.562125125016099</v>
      </c>
      <c r="AV52" s="2">
        <f t="shared" si="47"/>
        <v>18.822472671170001</v>
      </c>
      <c r="AW52" s="2">
        <f t="shared" si="47"/>
        <v>20.149094333503498</v>
      </c>
      <c r="AX52" s="2">
        <f t="shared" si="47"/>
        <v>21.547816852651401</v>
      </c>
      <c r="AY52" s="2">
        <f t="shared" si="47"/>
        <v>23.026056979684199</v>
      </c>
      <c r="AZ52" s="2">
        <f t="shared" si="47"/>
        <v>24.5916796659547</v>
      </c>
      <c r="BA52" s="2">
        <f t="shared" si="47"/>
        <v>26.253161588517699</v>
      </c>
      <c r="BB52" s="2">
        <f t="shared" si="47"/>
        <v>28.0193977182205</v>
      </c>
      <c r="BC52" s="2">
        <f t="shared" si="47"/>
        <v>29.899544327654599</v>
      </c>
      <c r="BD52" s="2">
        <f t="shared" si="47"/>
        <v>31.726024732677899</v>
      </c>
      <c r="BE52" s="2">
        <f t="shared" si="47"/>
        <v>33.473816703530801</v>
      </c>
      <c r="BF52" s="2">
        <f t="shared" si="47"/>
        <v>35.126276144697897</v>
      </c>
      <c r="BG52" s="2">
        <f t="shared" si="47"/>
        <v>36.648080708783198</v>
      </c>
      <c r="BH52" s="2">
        <f t="shared" si="47"/>
        <v>38.012737114619902</v>
      </c>
      <c r="BI52" s="2">
        <f t="shared" si="47"/>
        <v>39.194657408958598</v>
      </c>
      <c r="BJ52" s="2">
        <f t="shared" si="47"/>
        <v>40.169098469103098</v>
      </c>
      <c r="BK52" s="2">
        <f t="shared" si="47"/>
        <v>41.088852386710499</v>
      </c>
      <c r="BL52" s="2">
        <f t="shared" si="47"/>
        <v>41.945681140133402</v>
      </c>
      <c r="BM52" s="2">
        <f t="shared" si="47"/>
        <v>42.7315954605942</v>
      </c>
      <c r="BN52" s="2">
        <f t="shared" si="47"/>
        <v>43.438141388987702</v>
      </c>
      <c r="BO52" s="2">
        <f t="shared" si="47"/>
        <v>44.359851258048899</v>
      </c>
      <c r="BP52" s="2">
        <f t="shared" si="47"/>
        <v>45.198847719859401</v>
      </c>
      <c r="BQ52" s="2">
        <f t="shared" si="47"/>
        <v>45.947777764544199</v>
      </c>
      <c r="BR52" s="2">
        <f t="shared" si="47"/>
        <v>46.600903773802401</v>
      </c>
      <c r="BS52" s="2">
        <f t="shared" si="47"/>
        <v>47.153335025190501</v>
      </c>
      <c r="BT52" s="2">
        <f t="shared" ref="BT52:CD54" si="48">CB296</f>
        <v>47.600689328520303</v>
      </c>
      <c r="BU52" s="2">
        <f t="shared" si="48"/>
        <v>48.042891333962999</v>
      </c>
      <c r="BV52" s="2">
        <f t="shared" si="48"/>
        <v>48.479972116780601</v>
      </c>
      <c r="BW52" s="2">
        <f t="shared" si="48"/>
        <v>48.912546441223498</v>
      </c>
      <c r="BX52" s="2">
        <f t="shared" si="48"/>
        <v>49.341571259237099</v>
      </c>
      <c r="BY52" s="2">
        <f t="shared" si="48"/>
        <v>49.767202477317099</v>
      </c>
      <c r="BZ52" s="2">
        <f t="shared" si="48"/>
        <v>50.190636256230803</v>
      </c>
      <c r="CA52" s="2">
        <f t="shared" si="48"/>
        <v>50.614707714694603</v>
      </c>
      <c r="CB52" s="2">
        <f t="shared" si="48"/>
        <v>51.041873850190797</v>
      </c>
      <c r="CC52" s="2">
        <f t="shared" si="48"/>
        <v>51.475894310421701</v>
      </c>
      <c r="CD52" s="2">
        <f t="shared" si="48"/>
        <v>51.921212647969199</v>
      </c>
    </row>
    <row r="53" spans="4:82" s="2" customFormat="1" x14ac:dyDescent="0.2">
      <c r="E53" s="2" t="s">
        <v>29</v>
      </c>
      <c r="F53" s="2" t="s">
        <v>7</v>
      </c>
      <c r="G53" s="2">
        <f t="shared" si="46"/>
        <v>1</v>
      </c>
      <c r="H53" s="2">
        <f t="shared" si="47"/>
        <v>0</v>
      </c>
      <c r="I53" s="2" t="str">
        <f t="shared" si="47"/>
        <v>emission_co2e_co2_trns_road_light</v>
      </c>
      <c r="J53" s="2">
        <f t="shared" si="47"/>
        <v>0</v>
      </c>
      <c r="K53" s="2">
        <f t="shared" si="47"/>
        <v>459.54300000000001</v>
      </c>
      <c r="L53" s="2">
        <f t="shared" si="47"/>
        <v>459.54300000000001</v>
      </c>
      <c r="M53" s="2">
        <f t="shared" si="47"/>
        <v>487.02199999999999</v>
      </c>
      <c r="N53" s="2">
        <f t="shared" si="47"/>
        <v>540.84500000000003</v>
      </c>
      <c r="O53" s="2">
        <f t="shared" si="47"/>
        <v>620.29700000000003</v>
      </c>
      <c r="P53" s="2">
        <f t="shared" si="47"/>
        <v>600.58899999999994</v>
      </c>
      <c r="Q53" s="2">
        <f t="shared" si="47"/>
        <v>619.57899999999995</v>
      </c>
      <c r="R53" s="2">
        <f t="shared" si="47"/>
        <v>636.173</v>
      </c>
      <c r="S53" s="2">
        <f t="shared" si="47"/>
        <v>654.54200000000003</v>
      </c>
      <c r="T53" s="2">
        <f t="shared" si="47"/>
        <v>670.41800000000001</v>
      </c>
      <c r="U53" s="2">
        <f t="shared" si="47"/>
        <v>655.48199999999997</v>
      </c>
      <c r="V53" s="2">
        <f t="shared" si="47"/>
        <v>793.86699999999996</v>
      </c>
      <c r="W53" s="2">
        <f t="shared" si="47"/>
        <v>821.70500000000004</v>
      </c>
      <c r="X53" s="2">
        <f t="shared" si="47"/>
        <v>1008.047</v>
      </c>
      <c r="Y53" s="2">
        <f t="shared" si="47"/>
        <v>1135.5450000000001</v>
      </c>
      <c r="Z53" s="2">
        <f t="shared" si="47"/>
        <v>1220.0630000000001</v>
      </c>
      <c r="AA53" s="2">
        <f t="shared" si="47"/>
        <v>1348.027</v>
      </c>
      <c r="AB53" s="2">
        <f t="shared" si="47"/>
        <v>1576.7809999999999</v>
      </c>
      <c r="AC53" s="2">
        <f t="shared" si="47"/>
        <v>1571.5940000000001</v>
      </c>
      <c r="AD53" s="2">
        <f t="shared" si="47"/>
        <v>1713.5409999999999</v>
      </c>
      <c r="AE53" s="2">
        <f t="shared" si="47"/>
        <v>1800.018</v>
      </c>
      <c r="AF53" s="2">
        <f t="shared" si="47"/>
        <v>2068.3560000000002</v>
      </c>
      <c r="AG53" s="2">
        <f t="shared" si="47"/>
        <v>2183.6990000000001</v>
      </c>
      <c r="AH53" s="2">
        <f t="shared" si="47"/>
        <v>1444.4639999999999</v>
      </c>
      <c r="AI53" s="2">
        <f t="shared" si="47"/>
        <v>1545.671</v>
      </c>
      <c r="AJ53" s="2">
        <f t="shared" si="47"/>
        <v>1500.52508438575</v>
      </c>
      <c r="AK53" s="2">
        <f t="shared" si="47"/>
        <v>1542.25861636729</v>
      </c>
      <c r="AL53" s="2">
        <f t="shared" si="47"/>
        <v>1602.2034963072599</v>
      </c>
      <c r="AM53" s="2">
        <f t="shared" si="47"/>
        <v>1677.0178396746101</v>
      </c>
      <c r="AN53" s="2">
        <f t="shared" si="47"/>
        <v>1768.41667960165</v>
      </c>
      <c r="AO53" s="2">
        <f t="shared" si="47"/>
        <v>1873.44341372501</v>
      </c>
      <c r="AP53" s="2">
        <f t="shared" si="47"/>
        <v>1999.0766825665</v>
      </c>
      <c r="AQ53" s="2">
        <f t="shared" si="47"/>
        <v>2169.51161291369</v>
      </c>
      <c r="AR53" s="2">
        <f t="shared" si="47"/>
        <v>2371.2494073688699</v>
      </c>
      <c r="AS53" s="2">
        <f t="shared" si="47"/>
        <v>2603.50682056709</v>
      </c>
      <c r="AT53" s="2">
        <f t="shared" si="47"/>
        <v>2849.4701825327602</v>
      </c>
      <c r="AU53" s="2">
        <f t="shared" si="47"/>
        <v>3058.17075334122</v>
      </c>
      <c r="AV53" s="2">
        <f t="shared" si="47"/>
        <v>3277.6406624357101</v>
      </c>
      <c r="AW53" s="2">
        <f t="shared" si="47"/>
        <v>3508.6511773715301</v>
      </c>
      <c r="AX53" s="2">
        <f t="shared" si="47"/>
        <v>3752.2169343427499</v>
      </c>
      <c r="AY53" s="2">
        <f t="shared" si="47"/>
        <v>4009.6294451138701</v>
      </c>
      <c r="AZ53" s="2">
        <f t="shared" si="47"/>
        <v>4282.2582685527996</v>
      </c>
      <c r="BA53" s="2">
        <f t="shared" si="47"/>
        <v>4571.5794860374199</v>
      </c>
      <c r="BB53" s="2">
        <f t="shared" si="47"/>
        <v>4879.1420182994098</v>
      </c>
      <c r="BC53" s="2">
        <f t="shared" si="47"/>
        <v>5206.5402877021697</v>
      </c>
      <c r="BD53" s="2">
        <f t="shared" si="47"/>
        <v>5524.59342286841</v>
      </c>
      <c r="BE53" s="2">
        <f t="shared" si="47"/>
        <v>5828.9441919318497</v>
      </c>
      <c r="BF53" s="2">
        <f t="shared" si="47"/>
        <v>6116.6942847074297</v>
      </c>
      <c r="BG53" s="2">
        <f t="shared" si="47"/>
        <v>6381.6928641536897</v>
      </c>
      <c r="BH53" s="2">
        <f t="shared" si="47"/>
        <v>6619.3265376972686</v>
      </c>
      <c r="BI53" s="2">
        <f t="shared" si="47"/>
        <v>6825.1395615310803</v>
      </c>
      <c r="BJ53" s="2">
        <f t="shared" si="47"/>
        <v>6994.8233059398899</v>
      </c>
      <c r="BK53" s="2">
        <f t="shared" si="47"/>
        <v>7154.98413562736</v>
      </c>
      <c r="BL53" s="2">
        <f t="shared" si="47"/>
        <v>7304.1875273403193</v>
      </c>
      <c r="BM53" s="2">
        <f t="shared" si="47"/>
        <v>7441.0422742662504</v>
      </c>
      <c r="BN53" s="2">
        <f t="shared" si="47"/>
        <v>7564.0762510044806</v>
      </c>
      <c r="BO53" s="2">
        <f t="shared" si="47"/>
        <v>7724.5776791951803</v>
      </c>
      <c r="BP53" s="2">
        <f t="shared" si="47"/>
        <v>7870.67585486589</v>
      </c>
      <c r="BQ53" s="2">
        <f t="shared" si="47"/>
        <v>8001.0903657892404</v>
      </c>
      <c r="BR53" s="2">
        <f t="shared" si="47"/>
        <v>8114.8220950385003</v>
      </c>
      <c r="BS53" s="2">
        <f t="shared" si="47"/>
        <v>8211.0193994194105</v>
      </c>
      <c r="BT53" s="2">
        <f t="shared" si="48"/>
        <v>8288.9191887151701</v>
      </c>
      <c r="BU53" s="2">
        <f t="shared" si="48"/>
        <v>8365.9217855243405</v>
      </c>
      <c r="BV53" s="2">
        <f t="shared" si="48"/>
        <v>8442.0326011201196</v>
      </c>
      <c r="BW53" s="2">
        <f t="shared" si="48"/>
        <v>8517.3586871285406</v>
      </c>
      <c r="BX53" s="2">
        <f t="shared" si="48"/>
        <v>8592.06668183687</v>
      </c>
      <c r="BY53" s="2">
        <f t="shared" si="48"/>
        <v>8666.1837339348203</v>
      </c>
      <c r="BZ53" s="2">
        <f t="shared" si="48"/>
        <v>8739.9181362029012</v>
      </c>
      <c r="CA53" s="2">
        <f t="shared" si="48"/>
        <v>8813.7635804398105</v>
      </c>
      <c r="CB53" s="2">
        <f t="shared" si="48"/>
        <v>8888.1479145162903</v>
      </c>
      <c r="CC53" s="2">
        <f t="shared" si="48"/>
        <v>8963.725822564531</v>
      </c>
      <c r="CD53" s="2">
        <f t="shared" si="48"/>
        <v>9041.2710801070989</v>
      </c>
    </row>
    <row r="54" spans="4:82" s="2" customFormat="1" x14ac:dyDescent="0.2">
      <c r="E54" s="2" t="s">
        <v>29</v>
      </c>
      <c r="F54" s="2" t="s">
        <v>8</v>
      </c>
      <c r="G54" s="2">
        <f t="shared" si="46"/>
        <v>1</v>
      </c>
      <c r="H54" s="2">
        <f t="shared" si="47"/>
        <v>0</v>
      </c>
      <c r="I54" s="2" t="str">
        <f t="shared" si="47"/>
        <v>emission_co2e_n2o_trns_road_light</v>
      </c>
      <c r="J54" s="2">
        <f t="shared" si="47"/>
        <v>0</v>
      </c>
      <c r="K54" s="2">
        <f t="shared" si="47"/>
        <v>5.7330000000000014</v>
      </c>
      <c r="L54" s="2">
        <f t="shared" si="47"/>
        <v>5.7330000000000014</v>
      </c>
      <c r="M54" s="2">
        <f t="shared" si="47"/>
        <v>6.2789999999999999</v>
      </c>
      <c r="N54" s="2">
        <f t="shared" si="47"/>
        <v>7.0979999999999999</v>
      </c>
      <c r="O54" s="2">
        <f t="shared" si="47"/>
        <v>8.19</v>
      </c>
      <c r="P54" s="2">
        <f t="shared" si="47"/>
        <v>7.9170000000000007</v>
      </c>
      <c r="Q54" s="2">
        <f t="shared" si="47"/>
        <v>8.19</v>
      </c>
      <c r="R54" s="2">
        <f t="shared" si="47"/>
        <v>8.19</v>
      </c>
      <c r="S54" s="2">
        <f t="shared" si="47"/>
        <v>8.4629999999999992</v>
      </c>
      <c r="T54" s="2">
        <f t="shared" si="47"/>
        <v>9.0090000000000003</v>
      </c>
      <c r="U54" s="2">
        <f t="shared" si="47"/>
        <v>8.7360000000000007</v>
      </c>
      <c r="V54" s="2">
        <f t="shared" si="47"/>
        <v>10.647</v>
      </c>
      <c r="W54" s="2">
        <f t="shared" si="47"/>
        <v>11.193</v>
      </c>
      <c r="X54" s="2">
        <f t="shared" si="47"/>
        <v>13.377000000000001</v>
      </c>
      <c r="Y54" s="2">
        <f t="shared" si="47"/>
        <v>15.288</v>
      </c>
      <c r="Z54" s="2">
        <f t="shared" si="47"/>
        <v>16.38</v>
      </c>
      <c r="AA54" s="2">
        <f t="shared" si="47"/>
        <v>18.018000000000001</v>
      </c>
      <c r="AB54" s="2">
        <f t="shared" si="47"/>
        <v>20.748000000000001</v>
      </c>
      <c r="AC54" s="2">
        <f t="shared" si="47"/>
        <v>20.748000000000001</v>
      </c>
      <c r="AD54" s="2">
        <f t="shared" si="47"/>
        <v>22.658999999999999</v>
      </c>
      <c r="AE54" s="2">
        <f t="shared" si="47"/>
        <v>24.024000000000001</v>
      </c>
      <c r="AF54" s="2">
        <f t="shared" si="47"/>
        <v>27.3</v>
      </c>
      <c r="AG54" s="2">
        <f t="shared" si="47"/>
        <v>28.937999999999999</v>
      </c>
      <c r="AH54" s="2">
        <f t="shared" si="47"/>
        <v>15.561</v>
      </c>
      <c r="AI54" s="2">
        <f t="shared" si="47"/>
        <v>16.925999999999998</v>
      </c>
      <c r="AJ54" s="2">
        <f t="shared" si="47"/>
        <v>8.1827298924775</v>
      </c>
      <c r="AK54" s="2">
        <f t="shared" si="47"/>
        <v>8.4103130386825011</v>
      </c>
      <c r="AL54" s="2">
        <f t="shared" si="47"/>
        <v>8.7372071146895998</v>
      </c>
      <c r="AM54" s="2">
        <f t="shared" si="47"/>
        <v>9.1451880076640002</v>
      </c>
      <c r="AN54" s="2">
        <f t="shared" si="47"/>
        <v>9.6436082122918005</v>
      </c>
      <c r="AO54" s="2">
        <f t="shared" si="47"/>
        <v>10.2163446535305</v>
      </c>
      <c r="AP54" s="2">
        <f t="shared" si="47"/>
        <v>10.9014535631625</v>
      </c>
      <c r="AQ54" s="2">
        <f t="shared" si="47"/>
        <v>11.830876878898099</v>
      </c>
      <c r="AR54" s="2">
        <f t="shared" si="47"/>
        <v>12.931002360510201</v>
      </c>
      <c r="AS54" s="2">
        <f t="shared" si="47"/>
        <v>14.1975587796617</v>
      </c>
      <c r="AT54" s="2">
        <f t="shared" si="47"/>
        <v>15.5388570860706</v>
      </c>
      <c r="AU54" s="2">
        <f t="shared" si="47"/>
        <v>16.676952288278201</v>
      </c>
      <c r="AV54" s="2">
        <f t="shared" si="47"/>
        <v>17.8737753233173</v>
      </c>
      <c r="AW54" s="2">
        <f t="shared" si="47"/>
        <v>19.133532101602501</v>
      </c>
      <c r="AX54" s="2">
        <f t="shared" si="47"/>
        <v>20.461755682195399</v>
      </c>
      <c r="AY54" s="2">
        <f t="shared" si="47"/>
        <v>21.865488994289201</v>
      </c>
      <c r="AZ54" s="2">
        <f t="shared" si="47"/>
        <v>23.3522005770002</v>
      </c>
      <c r="BA54" s="2">
        <f t="shared" si="47"/>
        <v>24.929939862717301</v>
      </c>
      <c r="BB54" s="2">
        <f t="shared" si="47"/>
        <v>26.607153494621699</v>
      </c>
      <c r="BC54" s="2">
        <f t="shared" si="47"/>
        <v>28.3925362474092</v>
      </c>
      <c r="BD54" s="2">
        <f t="shared" si="47"/>
        <v>30.1269577000078</v>
      </c>
      <c r="BE54" s="2">
        <f t="shared" si="47"/>
        <v>31.786656802494601</v>
      </c>
      <c r="BF54" s="2">
        <f t="shared" si="47"/>
        <v>33.355828361317101</v>
      </c>
      <c r="BG54" s="2">
        <f t="shared" si="47"/>
        <v>34.8009303593198</v>
      </c>
      <c r="BH54" s="2">
        <f t="shared" si="47"/>
        <v>36.0968048396591</v>
      </c>
      <c r="BI54" s="2">
        <f t="shared" si="47"/>
        <v>37.219153542730197</v>
      </c>
      <c r="BJ54" s="2">
        <f t="shared" si="47"/>
        <v>38.144480458014598</v>
      </c>
      <c r="BK54" s="2">
        <f t="shared" si="47"/>
        <v>39.017876592691202</v>
      </c>
      <c r="BL54" s="2">
        <f t="shared" si="47"/>
        <v>39.831519140978401</v>
      </c>
      <c r="BM54" s="2">
        <f t="shared" si="47"/>
        <v>40.577821512229001</v>
      </c>
      <c r="BN54" s="2">
        <f t="shared" si="47"/>
        <v>41.248755846964499</v>
      </c>
      <c r="BO54" s="2">
        <f t="shared" si="47"/>
        <v>42.124009348493999</v>
      </c>
      <c r="BP54" s="2">
        <f t="shared" si="47"/>
        <v>42.920718395038612</v>
      </c>
      <c r="BQ54" s="2">
        <f t="shared" si="47"/>
        <v>43.631900585893099</v>
      </c>
      <c r="BR54" s="2">
        <f t="shared" si="47"/>
        <v>44.252107492352003</v>
      </c>
      <c r="BS54" s="2">
        <f t="shared" si="47"/>
        <v>44.776694896004599</v>
      </c>
      <c r="BT54" s="2">
        <f t="shared" si="48"/>
        <v>45.201501479460902</v>
      </c>
      <c r="BU54" s="2">
        <f t="shared" si="48"/>
        <v>45.621415453085703</v>
      </c>
      <c r="BV54" s="2">
        <f t="shared" si="48"/>
        <v>46.036466325875203</v>
      </c>
      <c r="BW54" s="2">
        <f t="shared" si="48"/>
        <v>46.447237876499997</v>
      </c>
      <c r="BX54" s="2">
        <f t="shared" si="48"/>
        <v>46.854638824253399</v>
      </c>
      <c r="BY54" s="2">
        <f t="shared" si="48"/>
        <v>47.258817217573899</v>
      </c>
      <c r="BZ54" s="2">
        <f t="shared" si="48"/>
        <v>47.660908927883597</v>
      </c>
      <c r="CA54" s="2">
        <f t="shared" si="48"/>
        <v>48.063606177178798</v>
      </c>
      <c r="CB54" s="2">
        <f t="shared" si="48"/>
        <v>48.4692421244307</v>
      </c>
      <c r="CC54" s="2">
        <f t="shared" si="48"/>
        <v>48.881386922163301</v>
      </c>
      <c r="CD54" s="2">
        <f t="shared" si="48"/>
        <v>49.304260157350399</v>
      </c>
    </row>
    <row r="55" spans="4:82" s="2" customFormat="1" x14ac:dyDescent="0.2">
      <c r="E55" s="2" t="s">
        <v>30</v>
      </c>
      <c r="F55" s="2" t="s">
        <v>6</v>
      </c>
      <c r="G55" s="2">
        <f t="shared" si="46"/>
        <v>1</v>
      </c>
      <c r="H55" s="2">
        <f t="shared" si="47"/>
        <v>0</v>
      </c>
      <c r="I55" s="2" t="str">
        <f t="shared" si="47"/>
        <v>emission_co2e_ch4_trns_public|emission_co2e_ch4_trns_road_heavy_freight|emission_co2e_ch4_trns_road_heavy_regional</v>
      </c>
      <c r="J55" s="2">
        <f t="shared" si="47"/>
        <v>0</v>
      </c>
      <c r="K55" s="2">
        <f t="shared" si="47"/>
        <v>0.16739999999999999</v>
      </c>
      <c r="L55" s="2">
        <f t="shared" si="47"/>
        <v>0.16739999999999999</v>
      </c>
      <c r="M55" s="2">
        <f t="shared" si="47"/>
        <v>0.16739999999999999</v>
      </c>
      <c r="N55" s="2">
        <f t="shared" si="47"/>
        <v>0.1953</v>
      </c>
      <c r="O55" s="2">
        <f t="shared" si="47"/>
        <v>0.27900000000000003</v>
      </c>
      <c r="P55" s="2">
        <f t="shared" si="47"/>
        <v>0.27900000000000003</v>
      </c>
      <c r="Q55" s="2">
        <f t="shared" si="47"/>
        <v>0.27900000000000003</v>
      </c>
      <c r="R55" s="2">
        <f t="shared" si="47"/>
        <v>0.27900000000000003</v>
      </c>
      <c r="S55" s="2">
        <f t="shared" si="47"/>
        <v>0.36270000000000002</v>
      </c>
      <c r="T55" s="2">
        <f t="shared" si="47"/>
        <v>0.3906</v>
      </c>
      <c r="U55" s="2">
        <f t="shared" si="47"/>
        <v>0.41849999999999998</v>
      </c>
      <c r="V55" s="2">
        <f t="shared" si="47"/>
        <v>0.55799999999999994</v>
      </c>
      <c r="W55" s="2">
        <f t="shared" si="47"/>
        <v>0.6137999999999999</v>
      </c>
      <c r="X55" s="2">
        <f t="shared" si="47"/>
        <v>0.66959999999999997</v>
      </c>
      <c r="Y55" s="2">
        <f t="shared" si="47"/>
        <v>0.75329999999999997</v>
      </c>
      <c r="Z55" s="2">
        <f t="shared" si="47"/>
        <v>0.80910000000000004</v>
      </c>
      <c r="AA55" s="2">
        <f t="shared" si="47"/>
        <v>0.8649</v>
      </c>
      <c r="AB55" s="2">
        <f t="shared" si="47"/>
        <v>0.83699999999999997</v>
      </c>
      <c r="AC55" s="2">
        <f t="shared" si="47"/>
        <v>0.75329999999999997</v>
      </c>
      <c r="AD55" s="2">
        <f t="shared" si="47"/>
        <v>0.83699999999999997</v>
      </c>
      <c r="AE55" s="2">
        <f t="shared" si="47"/>
        <v>0.92069999999999996</v>
      </c>
      <c r="AF55" s="2">
        <f t="shared" si="47"/>
        <v>1.0602</v>
      </c>
      <c r="AG55" s="2">
        <f t="shared" si="47"/>
        <v>1.1160000000000001</v>
      </c>
      <c r="AH55" s="2">
        <f t="shared" si="47"/>
        <v>1.1438999999999999</v>
      </c>
      <c r="AI55" s="2">
        <f t="shared" si="47"/>
        <v>1.1160000000000001</v>
      </c>
      <c r="AJ55" s="2">
        <f t="shared" si="47"/>
        <v>6.4617955207094244</v>
      </c>
      <c r="AK55" s="2">
        <f t="shared" si="47"/>
        <v>6.7149624684936002</v>
      </c>
      <c r="AL55" s="2">
        <f t="shared" si="47"/>
        <v>7.0512773848899997</v>
      </c>
      <c r="AM55" s="2">
        <f t="shared" si="47"/>
        <v>7.4590018349912004</v>
      </c>
      <c r="AN55" s="2">
        <f t="shared" si="47"/>
        <v>7.9480346901050991</v>
      </c>
      <c r="AO55" s="2">
        <f t="shared" si="47"/>
        <v>8.5079040186870998</v>
      </c>
      <c r="AP55" s="2">
        <f t="shared" si="47"/>
        <v>9.1722722077747001</v>
      </c>
      <c r="AQ55" s="2">
        <f t="shared" si="47"/>
        <v>10.0547983728161</v>
      </c>
      <c r="AR55" s="2">
        <f t="shared" si="47"/>
        <v>11.100840841324001</v>
      </c>
      <c r="AS55" s="2">
        <f t="shared" si="47"/>
        <v>12.3124407586443</v>
      </c>
      <c r="AT55" s="2">
        <f t="shared" si="47"/>
        <v>13.6160693134736</v>
      </c>
      <c r="AU55" s="2">
        <f t="shared" si="47"/>
        <v>14.7710738994974</v>
      </c>
      <c r="AV55" s="2">
        <f t="shared" si="47"/>
        <v>16.0040768809796</v>
      </c>
      <c r="AW55" s="2">
        <f t="shared" si="47"/>
        <v>17.3214969046814</v>
      </c>
      <c r="AX55" s="2">
        <f t="shared" si="47"/>
        <v>18.7312548093958</v>
      </c>
      <c r="AY55" s="2">
        <f t="shared" si="47"/>
        <v>20.243026894089901</v>
      </c>
      <c r="AZ55" s="2">
        <f t="shared" si="47"/>
        <v>21.8673343956488</v>
      </c>
      <c r="BA55" s="2">
        <f t="shared" si="47"/>
        <v>23.615736789926199</v>
      </c>
      <c r="BB55" s="2">
        <f t="shared" si="47"/>
        <v>25.500716496998798</v>
      </c>
      <c r="BC55" s="2">
        <f t="shared" si="47"/>
        <v>27.535588763582101</v>
      </c>
      <c r="BD55" s="2">
        <f t="shared" si="47"/>
        <v>29.5681096037153</v>
      </c>
      <c r="BE55" s="2">
        <f t="shared" si="47"/>
        <v>31.573135693995901</v>
      </c>
      <c r="BF55" s="2">
        <f t="shared" si="47"/>
        <v>33.533076871607292</v>
      </c>
      <c r="BG55" s="2">
        <f t="shared" si="47"/>
        <v>35.409700106140903</v>
      </c>
      <c r="BH55" s="2">
        <f t="shared" si="47"/>
        <v>37.172178359936296</v>
      </c>
      <c r="BI55" s="2">
        <f t="shared" si="47"/>
        <v>38.789205901758997</v>
      </c>
      <c r="BJ55" s="2">
        <f t="shared" si="47"/>
        <v>40.22893265311</v>
      </c>
      <c r="BK55" s="2">
        <f t="shared" si="47"/>
        <v>41.6418355484914</v>
      </c>
      <c r="BL55" s="2">
        <f t="shared" si="47"/>
        <v>43.0178105814311</v>
      </c>
      <c r="BM55" s="2">
        <f t="shared" si="47"/>
        <v>44.346657226483899</v>
      </c>
      <c r="BN55" s="2">
        <f t="shared" si="47"/>
        <v>45.617163888016798</v>
      </c>
      <c r="BO55" s="2">
        <f t="shared" si="47"/>
        <v>46.597956824548</v>
      </c>
      <c r="BP55" s="2">
        <f t="shared" si="47"/>
        <v>47.490680392903897</v>
      </c>
      <c r="BQ55" s="2">
        <f t="shared" si="47"/>
        <v>48.287256413222593</v>
      </c>
      <c r="BR55" s="2">
        <f t="shared" si="47"/>
        <v>48.981446556422704</v>
      </c>
      <c r="BS55" s="2">
        <f t="shared" ref="BS55:CD58" si="49">CA299</f>
        <v>49.567917758453703</v>
      </c>
      <c r="BT55" s="2">
        <f t="shared" si="49"/>
        <v>50.041828394712113</v>
      </c>
      <c r="BU55" s="2">
        <f t="shared" si="49"/>
        <v>50.510823392392012</v>
      </c>
      <c r="BV55" s="2">
        <f t="shared" si="49"/>
        <v>50.974945306203701</v>
      </c>
      <c r="BW55" s="2">
        <f t="shared" si="49"/>
        <v>51.434923502043297</v>
      </c>
      <c r="BX55" s="2">
        <f t="shared" si="49"/>
        <v>51.891863965935713</v>
      </c>
      <c r="BY55" s="2">
        <f t="shared" si="49"/>
        <v>52.345795423879487</v>
      </c>
      <c r="BZ55" s="2">
        <f t="shared" si="49"/>
        <v>52.797954140436197</v>
      </c>
      <c r="CA55" s="2">
        <f t="shared" si="49"/>
        <v>53.2515168081515</v>
      </c>
      <c r="CB55" s="2">
        <f t="shared" si="49"/>
        <v>53.709034735388201</v>
      </c>
      <c r="CC55" s="2">
        <f t="shared" si="49"/>
        <v>54.174527043044598</v>
      </c>
      <c r="CD55" s="2">
        <f t="shared" si="49"/>
        <v>54.652690745051601</v>
      </c>
    </row>
    <row r="56" spans="4:82" s="2" customFormat="1" x14ac:dyDescent="0.2">
      <c r="E56" s="2" t="s">
        <v>30</v>
      </c>
      <c r="F56" s="2" t="s">
        <v>7</v>
      </c>
      <c r="G56" s="2">
        <f t="shared" si="46"/>
        <v>1</v>
      </c>
      <c r="H56" s="2">
        <f t="shared" ref="H56:BS59" si="50">P300</f>
        <v>0</v>
      </c>
      <c r="I56" s="2" t="str">
        <f t="shared" si="50"/>
        <v>emission_co2e_co2_trns_public|emission_co2e_co2_trns_road_heavy_freight|emission_co2e_co2_trns_road_heavy_regional</v>
      </c>
      <c r="J56" s="2">
        <f t="shared" si="50"/>
        <v>0</v>
      </c>
      <c r="K56" s="2">
        <f t="shared" si="50"/>
        <v>110.86499999999999</v>
      </c>
      <c r="L56" s="2">
        <f t="shared" si="50"/>
        <v>110.86499999999999</v>
      </c>
      <c r="M56" s="2">
        <f t="shared" si="50"/>
        <v>115.224</v>
      </c>
      <c r="N56" s="2">
        <f t="shared" si="50"/>
        <v>137.69300000000001</v>
      </c>
      <c r="O56" s="2">
        <f t="shared" si="50"/>
        <v>188.00800000000001</v>
      </c>
      <c r="P56" s="2">
        <f t="shared" si="50"/>
        <v>194.547</v>
      </c>
      <c r="Q56" s="2">
        <f t="shared" si="50"/>
        <v>199.46299999999999</v>
      </c>
      <c r="R56" s="2">
        <f t="shared" si="50"/>
        <v>199.46299999999999</v>
      </c>
      <c r="S56" s="2">
        <f t="shared" si="50"/>
        <v>238.71299999999999</v>
      </c>
      <c r="T56" s="2">
        <f t="shared" si="50"/>
        <v>273.01799999999997</v>
      </c>
      <c r="U56" s="2">
        <f t="shared" si="50"/>
        <v>284.16899999999998</v>
      </c>
      <c r="V56" s="2">
        <f t="shared" si="50"/>
        <v>371.202</v>
      </c>
      <c r="W56" s="2">
        <f t="shared" si="50"/>
        <v>412.70400000000001</v>
      </c>
      <c r="X56" s="2">
        <f t="shared" si="50"/>
        <v>464.52699999999999</v>
      </c>
      <c r="Y56" s="2">
        <f t="shared" si="50"/>
        <v>505.59</v>
      </c>
      <c r="Z56" s="2">
        <f t="shared" si="50"/>
        <v>557.94600000000003</v>
      </c>
      <c r="AA56" s="2">
        <f t="shared" si="50"/>
        <v>585.25099999999998</v>
      </c>
      <c r="AB56" s="2">
        <f t="shared" si="50"/>
        <v>562.04600000000005</v>
      </c>
      <c r="AC56" s="2">
        <f t="shared" si="50"/>
        <v>521.17700000000002</v>
      </c>
      <c r="AD56" s="2">
        <f t="shared" si="50"/>
        <v>571.88199999999995</v>
      </c>
      <c r="AE56" s="2">
        <f t="shared" si="50"/>
        <v>632.08699999999999</v>
      </c>
      <c r="AF56" s="2">
        <f t="shared" si="50"/>
        <v>725.35400000000004</v>
      </c>
      <c r="AG56" s="2">
        <f t="shared" si="50"/>
        <v>761.83399999999995</v>
      </c>
      <c r="AH56" s="2">
        <f t="shared" si="50"/>
        <v>1008.9059999999999</v>
      </c>
      <c r="AI56" s="2">
        <f t="shared" si="50"/>
        <v>999.59900000000005</v>
      </c>
      <c r="AJ56" s="2">
        <f t="shared" si="50"/>
        <v>957.65913857621968</v>
      </c>
      <c r="AK56" s="2">
        <f t="shared" si="50"/>
        <v>995.95089785573145</v>
      </c>
      <c r="AL56" s="2">
        <f t="shared" si="50"/>
        <v>1046.6849206518141</v>
      </c>
      <c r="AM56" s="2">
        <f t="shared" si="50"/>
        <v>1108.136850092211</v>
      </c>
      <c r="AN56" s="2">
        <f t="shared" si="50"/>
        <v>1181.8086425501731</v>
      </c>
      <c r="AO56" s="2">
        <f t="shared" si="50"/>
        <v>1266.162963202986</v>
      </c>
      <c r="AP56" s="2">
        <f t="shared" si="50"/>
        <v>1366.260585833109</v>
      </c>
      <c r="AQ56" s="2">
        <f t="shared" si="50"/>
        <v>1499.154968078788</v>
      </c>
      <c r="AR56" s="2">
        <f t="shared" si="50"/>
        <v>1656.7434717908629</v>
      </c>
      <c r="AS56" s="2">
        <f t="shared" si="50"/>
        <v>1839.3959638680551</v>
      </c>
      <c r="AT56" s="2">
        <f t="shared" si="50"/>
        <v>2036.136161073556</v>
      </c>
      <c r="AU56" s="2">
        <f t="shared" si="50"/>
        <v>2210.824112671507</v>
      </c>
      <c r="AV56" s="2">
        <f t="shared" si="50"/>
        <v>2397.4797599991739</v>
      </c>
      <c r="AW56" s="2">
        <f t="shared" si="50"/>
        <v>2597.0907507811389</v>
      </c>
      <c r="AX56" s="2">
        <f t="shared" si="50"/>
        <v>2810.8727962465969</v>
      </c>
      <c r="AY56" s="2">
        <f t="shared" si="50"/>
        <v>3040.308843745162</v>
      </c>
      <c r="AZ56" s="2">
        <f t="shared" si="50"/>
        <v>3287.0127344347839</v>
      </c>
      <c r="BA56" s="2">
        <f t="shared" si="50"/>
        <v>3552.7588806573758</v>
      </c>
      <c r="BB56" s="2">
        <f t="shared" si="50"/>
        <v>3839.4653997632131</v>
      </c>
      <c r="BC56" s="2">
        <f t="shared" si="50"/>
        <v>4149.1809319431322</v>
      </c>
      <c r="BD56" s="2">
        <f t="shared" si="50"/>
        <v>4458.8873298284216</v>
      </c>
      <c r="BE56" s="2">
        <f t="shared" si="50"/>
        <v>4764.756594066771</v>
      </c>
      <c r="BF56" s="2">
        <f t="shared" si="50"/>
        <v>5064.1381545912936</v>
      </c>
      <c r="BG56" s="2">
        <f t="shared" si="50"/>
        <v>5351.1659204648486</v>
      </c>
      <c r="BH56" s="2">
        <f t="shared" si="50"/>
        <v>5621.1245694985091</v>
      </c>
      <c r="BI56" s="2">
        <f t="shared" si="50"/>
        <v>5869.2193843931027</v>
      </c>
      <c r="BJ56" s="2">
        <f t="shared" si="50"/>
        <v>6090.563673834069</v>
      </c>
      <c r="BK56" s="2">
        <f t="shared" si="50"/>
        <v>6307.998871245396</v>
      </c>
      <c r="BL56" s="2">
        <f t="shared" si="50"/>
        <v>6519.979950190801</v>
      </c>
      <c r="BM56" s="2">
        <f t="shared" si="50"/>
        <v>6724.9469816961046</v>
      </c>
      <c r="BN56" s="2">
        <f t="shared" si="50"/>
        <v>6921.1813195355062</v>
      </c>
      <c r="BO56" s="2">
        <f t="shared" si="50"/>
        <v>7070.3386640481594</v>
      </c>
      <c r="BP56" s="2">
        <f t="shared" si="50"/>
        <v>7206.0941750086267</v>
      </c>
      <c r="BQ56" s="2">
        <f t="shared" si="50"/>
        <v>7327.2156339999483</v>
      </c>
      <c r="BR56" s="2">
        <f t="shared" si="50"/>
        <v>7432.7534931675718</v>
      </c>
      <c r="BS56" s="2">
        <f t="shared" si="50"/>
        <v>7521.8955421850997</v>
      </c>
      <c r="BT56" s="2">
        <f t="shared" si="49"/>
        <v>7593.9026445558247</v>
      </c>
      <c r="BU56" s="2">
        <f t="shared" si="49"/>
        <v>7665.175824334121</v>
      </c>
      <c r="BV56" s="2">
        <f t="shared" si="49"/>
        <v>7735.7216022423854</v>
      </c>
      <c r="BW56" s="2">
        <f t="shared" si="49"/>
        <v>7805.6525094084618</v>
      </c>
      <c r="BX56" s="2">
        <f t="shared" si="49"/>
        <v>7875.1385760545963</v>
      </c>
      <c r="BY56" s="2">
        <f t="shared" si="49"/>
        <v>7944.1805544156068</v>
      </c>
      <c r="BZ56" s="2">
        <f t="shared" si="49"/>
        <v>8012.9652782095209</v>
      </c>
      <c r="CA56" s="2">
        <f t="shared" si="49"/>
        <v>8081.9792552669223</v>
      </c>
      <c r="CB56" s="2">
        <f t="shared" si="49"/>
        <v>8151.6085218742501</v>
      </c>
      <c r="CC56" s="2">
        <f t="shared" si="49"/>
        <v>8222.4641885328783</v>
      </c>
      <c r="CD56" s="2">
        <f t="shared" si="49"/>
        <v>8295.2592210680014</v>
      </c>
    </row>
    <row r="57" spans="4:82" s="2" customFormat="1" x14ac:dyDescent="0.2">
      <c r="E57" s="2" t="s">
        <v>30</v>
      </c>
      <c r="F57" s="2" t="s">
        <v>8</v>
      </c>
      <c r="G57" s="2">
        <f t="shared" si="46"/>
        <v>1</v>
      </c>
      <c r="H57" s="2">
        <f t="shared" si="50"/>
        <v>0</v>
      </c>
      <c r="I57" s="2" t="str">
        <f t="shared" si="50"/>
        <v>emission_co2e_n2o_trns_public|emission_co2e_n2o_trns_road_heavy_freight|emission_co2e_n2o_trns_road_heavy_regional</v>
      </c>
      <c r="J57" s="2">
        <f t="shared" si="50"/>
        <v>0</v>
      </c>
      <c r="K57" s="2">
        <f t="shared" si="50"/>
        <v>1.6379999999999999</v>
      </c>
      <c r="L57" s="2">
        <f t="shared" si="50"/>
        <v>1.6379999999999999</v>
      </c>
      <c r="M57" s="2">
        <f t="shared" si="50"/>
        <v>1.6379999999999999</v>
      </c>
      <c r="N57" s="2">
        <f t="shared" si="50"/>
        <v>1.911</v>
      </c>
      <c r="O57" s="2">
        <f t="shared" si="50"/>
        <v>2.73</v>
      </c>
      <c r="P57" s="2">
        <f t="shared" si="50"/>
        <v>2.73</v>
      </c>
      <c r="Q57" s="2">
        <f t="shared" si="50"/>
        <v>2.73</v>
      </c>
      <c r="R57" s="2">
        <f t="shared" si="50"/>
        <v>2.73</v>
      </c>
      <c r="S57" s="2">
        <f t="shared" si="50"/>
        <v>3.5489999999999999</v>
      </c>
      <c r="T57" s="2">
        <f t="shared" si="50"/>
        <v>3.8220000000000001</v>
      </c>
      <c r="U57" s="2">
        <f t="shared" si="50"/>
        <v>4.0949999999999998</v>
      </c>
      <c r="V57" s="2">
        <f t="shared" si="50"/>
        <v>5.46</v>
      </c>
      <c r="W57" s="2">
        <f t="shared" si="50"/>
        <v>6.0059999999999993</v>
      </c>
      <c r="X57" s="2">
        <f t="shared" si="50"/>
        <v>6.5519999999999996</v>
      </c>
      <c r="Y57" s="2">
        <f t="shared" si="50"/>
        <v>7.3710000000000004</v>
      </c>
      <c r="Z57" s="2">
        <f t="shared" si="50"/>
        <v>7.9170000000000007</v>
      </c>
      <c r="AA57" s="2">
        <f t="shared" si="50"/>
        <v>8.4629999999999992</v>
      </c>
      <c r="AB57" s="2">
        <f t="shared" si="50"/>
        <v>8.19</v>
      </c>
      <c r="AC57" s="2">
        <f t="shared" si="50"/>
        <v>7.3710000000000004</v>
      </c>
      <c r="AD57" s="2">
        <f t="shared" si="50"/>
        <v>8.19</v>
      </c>
      <c r="AE57" s="2">
        <f t="shared" si="50"/>
        <v>9.0090000000000003</v>
      </c>
      <c r="AF57" s="2">
        <f t="shared" si="50"/>
        <v>10.374000000000001</v>
      </c>
      <c r="AG57" s="2">
        <f t="shared" si="50"/>
        <v>10.92</v>
      </c>
      <c r="AH57" s="2">
        <f t="shared" si="50"/>
        <v>2.1840000000000002</v>
      </c>
      <c r="AI57" s="2">
        <f t="shared" si="50"/>
        <v>2.1840000000000002</v>
      </c>
      <c r="AJ57" s="2">
        <f t="shared" si="50"/>
        <v>4.280230089854089</v>
      </c>
      <c r="AK57" s="2">
        <f t="shared" si="50"/>
        <v>4.4540143832767267</v>
      </c>
      <c r="AL57" s="2">
        <f t="shared" si="50"/>
        <v>4.6838178191701791</v>
      </c>
      <c r="AM57" s="2">
        <f t="shared" si="50"/>
        <v>4.9619858496553366</v>
      </c>
      <c r="AN57" s="2">
        <f t="shared" si="50"/>
        <v>5.2953508916724932</v>
      </c>
      <c r="AO57" s="2">
        <f t="shared" si="50"/>
        <v>5.6770919673722</v>
      </c>
      <c r="AP57" s="2">
        <f t="shared" si="50"/>
        <v>6.1300740947131001</v>
      </c>
      <c r="AQ57" s="2">
        <f t="shared" si="50"/>
        <v>6.7312317449936003</v>
      </c>
      <c r="AR57" s="2">
        <f t="shared" si="50"/>
        <v>7.4443347900005996</v>
      </c>
      <c r="AS57" s="2">
        <f t="shared" si="50"/>
        <v>8.2712668520288997</v>
      </c>
      <c r="AT57" s="2">
        <f t="shared" si="50"/>
        <v>9.1626991584824005</v>
      </c>
      <c r="AU57" s="2">
        <f t="shared" si="50"/>
        <v>9.9554816762043998</v>
      </c>
      <c r="AV57" s="2">
        <f t="shared" si="50"/>
        <v>10.8031499048617</v>
      </c>
      <c r="AW57" s="2">
        <f t="shared" si="50"/>
        <v>11.710242610637801</v>
      </c>
      <c r="AX57" s="2">
        <f t="shared" si="50"/>
        <v>12.682336477182799</v>
      </c>
      <c r="AY57" s="2">
        <f t="shared" si="50"/>
        <v>13.726226789818501</v>
      </c>
      <c r="AZ57" s="2">
        <f t="shared" si="50"/>
        <v>14.8493132668908</v>
      </c>
      <c r="BA57" s="2">
        <f t="shared" si="50"/>
        <v>16.0597362249773</v>
      </c>
      <c r="BB57" s="2">
        <f t="shared" si="50"/>
        <v>17.3663019518482</v>
      </c>
      <c r="BC57" s="2">
        <f t="shared" si="50"/>
        <v>18.778424383033499</v>
      </c>
      <c r="BD57" s="2">
        <f t="shared" si="50"/>
        <v>20.191667252033799</v>
      </c>
      <c r="BE57" s="2">
        <f t="shared" si="50"/>
        <v>21.588573489488301</v>
      </c>
      <c r="BF57" s="2">
        <f t="shared" si="50"/>
        <v>22.957147076978</v>
      </c>
      <c r="BG57" s="2">
        <f t="shared" si="50"/>
        <v>24.270485871409999</v>
      </c>
      <c r="BH57" s="2">
        <f t="shared" si="50"/>
        <v>25.507013026287702</v>
      </c>
      <c r="BI57" s="2">
        <f t="shared" si="50"/>
        <v>26.644767921278099</v>
      </c>
      <c r="BJ57" s="2">
        <f t="shared" si="50"/>
        <v>27.661340192585602</v>
      </c>
      <c r="BK57" s="2">
        <f t="shared" si="50"/>
        <v>28.660667734364001</v>
      </c>
      <c r="BL57" s="2">
        <f t="shared" si="50"/>
        <v>29.635682278445302</v>
      </c>
      <c r="BM57" s="2">
        <f t="shared" si="50"/>
        <v>30.579246903471802</v>
      </c>
      <c r="BN57" s="2">
        <f t="shared" si="50"/>
        <v>31.483484941474799</v>
      </c>
      <c r="BO57" s="2">
        <f t="shared" si="50"/>
        <v>32.163145104189802</v>
      </c>
      <c r="BP57" s="2">
        <f t="shared" si="50"/>
        <v>32.7817096062792</v>
      </c>
      <c r="BQ57" s="2">
        <f t="shared" si="50"/>
        <v>33.333551293684003</v>
      </c>
      <c r="BR57" s="2">
        <f t="shared" si="50"/>
        <v>33.814340615572704</v>
      </c>
      <c r="BS57" s="2">
        <f t="shared" si="50"/>
        <v>34.220372709643698</v>
      </c>
      <c r="BT57" s="2">
        <f t="shared" si="49"/>
        <v>34.548270139349697</v>
      </c>
      <c r="BU57" s="2">
        <f t="shared" si="49"/>
        <v>34.872868813770197</v>
      </c>
      <c r="BV57" s="2">
        <f t="shared" si="49"/>
        <v>35.1941986093073</v>
      </c>
      <c r="BW57" s="2">
        <f t="shared" si="49"/>
        <v>35.512777662978699</v>
      </c>
      <c r="BX57" s="2">
        <f t="shared" si="49"/>
        <v>35.829386860736612</v>
      </c>
      <c r="BY57" s="2">
        <f t="shared" si="49"/>
        <v>36.144017570476002</v>
      </c>
      <c r="BZ57" s="2">
        <f t="shared" si="49"/>
        <v>36.457517211557906</v>
      </c>
      <c r="CA57" s="2">
        <f t="shared" si="49"/>
        <v>36.7721139816611</v>
      </c>
      <c r="CB57" s="2">
        <f t="shared" si="49"/>
        <v>37.089560374905297</v>
      </c>
      <c r="CC57" s="2">
        <f t="shared" si="49"/>
        <v>37.4126406485437</v>
      </c>
      <c r="CD57" s="2">
        <f t="shared" si="49"/>
        <v>37.744599053666903</v>
      </c>
    </row>
    <row r="58" spans="4:82" s="2" customFormat="1" x14ac:dyDescent="0.2">
      <c r="E58" s="2" t="s">
        <v>31</v>
      </c>
      <c r="F58" s="2" t="s">
        <v>6</v>
      </c>
      <c r="G58" s="2">
        <f t="shared" si="46"/>
        <v>1</v>
      </c>
      <c r="H58" s="2">
        <f t="shared" si="50"/>
        <v>0</v>
      </c>
      <c r="I58" s="2" t="str">
        <f t="shared" si="50"/>
        <v>emission_co2e_ch4_trns_powered_bikes</v>
      </c>
      <c r="J58" s="2">
        <f t="shared" si="50"/>
        <v>0</v>
      </c>
      <c r="K58" s="2">
        <f t="shared" si="50"/>
        <v>0.25109999999999999</v>
      </c>
      <c r="L58" s="2">
        <f t="shared" si="50"/>
        <v>0.25109999999999999</v>
      </c>
      <c r="M58" s="2">
        <f t="shared" si="50"/>
        <v>0.25109999999999999</v>
      </c>
      <c r="N58" s="2">
        <f t="shared" si="50"/>
        <v>0.27900000000000003</v>
      </c>
      <c r="O58" s="2">
        <f t="shared" si="50"/>
        <v>0.30690000000000001</v>
      </c>
      <c r="P58" s="2">
        <f t="shared" si="50"/>
        <v>0.27900000000000003</v>
      </c>
      <c r="Q58" s="2">
        <f t="shared" si="50"/>
        <v>0.30690000000000001</v>
      </c>
      <c r="R58" s="2">
        <f t="shared" si="50"/>
        <v>0.30690000000000001</v>
      </c>
      <c r="S58" s="2">
        <f t="shared" si="50"/>
        <v>0.27900000000000003</v>
      </c>
      <c r="T58" s="2">
        <f t="shared" si="50"/>
        <v>0.27900000000000003</v>
      </c>
      <c r="U58" s="2">
        <f t="shared" si="50"/>
        <v>0.25109999999999999</v>
      </c>
      <c r="V58" s="2">
        <f t="shared" si="50"/>
        <v>0.30690000000000001</v>
      </c>
      <c r="W58" s="2">
        <f t="shared" si="50"/>
        <v>0.27900000000000003</v>
      </c>
      <c r="X58" s="2">
        <f t="shared" si="50"/>
        <v>0.3906</v>
      </c>
      <c r="Y58" s="2">
        <f t="shared" si="50"/>
        <v>0.44640000000000002</v>
      </c>
      <c r="Z58" s="2">
        <f t="shared" si="50"/>
        <v>0.4743</v>
      </c>
      <c r="AA58" s="2">
        <f t="shared" si="50"/>
        <v>0.89279999999999993</v>
      </c>
      <c r="AB58" s="2">
        <f t="shared" si="50"/>
        <v>1.1718</v>
      </c>
      <c r="AC58" s="2">
        <f t="shared" si="50"/>
        <v>1.1438999999999999</v>
      </c>
      <c r="AD58" s="2">
        <f t="shared" si="50"/>
        <v>1.3112999999999999</v>
      </c>
      <c r="AE58" s="2">
        <f t="shared" si="50"/>
        <v>1.7298</v>
      </c>
      <c r="AF58" s="2">
        <f t="shared" si="50"/>
        <v>1.9809000000000001</v>
      </c>
      <c r="AG58" s="2">
        <f t="shared" si="50"/>
        <v>2.0924999999999998</v>
      </c>
      <c r="AH58" s="2">
        <f t="shared" si="50"/>
        <v>2.2599</v>
      </c>
      <c r="AI58" s="2">
        <f t="shared" si="50"/>
        <v>2.4552</v>
      </c>
      <c r="AJ58" s="2">
        <f t="shared" si="50"/>
        <v>0.52193325470319996</v>
      </c>
      <c r="AK58" s="2">
        <f t="shared" si="50"/>
        <v>0.52934248588479993</v>
      </c>
      <c r="AL58" s="2">
        <f t="shared" si="50"/>
        <v>0.54222072807650001</v>
      </c>
      <c r="AM58" s="2">
        <f t="shared" si="50"/>
        <v>0.55917061783540001</v>
      </c>
      <c r="AN58" s="2">
        <f t="shared" si="50"/>
        <v>0.58050314279820003</v>
      </c>
      <c r="AO58" s="2">
        <f t="shared" si="50"/>
        <v>0.60498045474079998</v>
      </c>
      <c r="AP58" s="2">
        <f t="shared" si="50"/>
        <v>0.63453647694610005</v>
      </c>
      <c r="AQ58" s="2">
        <f t="shared" si="50"/>
        <v>0.67624610447110001</v>
      </c>
      <c r="AR58" s="2">
        <f t="shared" si="50"/>
        <v>0.72513940828229995</v>
      </c>
      <c r="AS58" s="2">
        <f t="shared" si="50"/>
        <v>0.78030029294799996</v>
      </c>
      <c r="AT58" s="2">
        <f t="shared" si="50"/>
        <v>0.83614782448190006</v>
      </c>
      <c r="AU58" s="2">
        <f t="shared" si="50"/>
        <v>0.87785833172549999</v>
      </c>
      <c r="AV58" s="2">
        <f t="shared" si="50"/>
        <v>0.91949299347940006</v>
      </c>
      <c r="AW58" s="2">
        <f t="shared" si="50"/>
        <v>0.96112221459879998</v>
      </c>
      <c r="AX58" s="2">
        <f t="shared" si="50"/>
        <v>1.002903104234</v>
      </c>
      <c r="AY58" s="2">
        <f t="shared" si="50"/>
        <v>1.0450651281526</v>
      </c>
      <c r="AZ58" s="2">
        <f t="shared" si="50"/>
        <v>1.0878384830545</v>
      </c>
      <c r="BA58" s="2">
        <f t="shared" si="50"/>
        <v>1.1314482959783001</v>
      </c>
      <c r="BB58" s="2">
        <f t="shared" si="50"/>
        <v>1.1760953726358001</v>
      </c>
      <c r="BC58" s="2">
        <f t="shared" si="50"/>
        <v>1.2219420058071999</v>
      </c>
      <c r="BD58" s="2">
        <f t="shared" si="50"/>
        <v>1.2622103984063</v>
      </c>
      <c r="BE58" s="2">
        <f t="shared" si="50"/>
        <v>1.29623974481</v>
      </c>
      <c r="BF58" s="2">
        <f t="shared" si="50"/>
        <v>1.323685938074</v>
      </c>
      <c r="BG58" s="2">
        <f t="shared" si="50"/>
        <v>1.3436751776239</v>
      </c>
      <c r="BH58" s="2">
        <f t="shared" si="50"/>
        <v>1.3556907825894999</v>
      </c>
      <c r="BI58" s="2">
        <f t="shared" si="50"/>
        <v>1.3593114467587999</v>
      </c>
      <c r="BJ58" s="2">
        <f t="shared" si="50"/>
        <v>1.3542122297474</v>
      </c>
      <c r="BK58" s="2">
        <f t="shared" si="50"/>
        <v>1.3457850958754001</v>
      </c>
      <c r="BL58" s="2">
        <f t="shared" si="50"/>
        <v>1.3338483014216</v>
      </c>
      <c r="BM58" s="2">
        <f t="shared" si="50"/>
        <v>1.3182526533907</v>
      </c>
      <c r="BN58" s="2">
        <f t="shared" si="50"/>
        <v>1.2988722078877999</v>
      </c>
      <c r="BO58" s="2">
        <f t="shared" si="50"/>
        <v>1.3196202993541</v>
      </c>
      <c r="BP58" s="2">
        <f t="shared" si="50"/>
        <v>1.3377289351891</v>
      </c>
      <c r="BQ58" s="2">
        <f t="shared" si="50"/>
        <v>1.3530028053381999</v>
      </c>
      <c r="BR58" s="2">
        <f t="shared" si="50"/>
        <v>1.3653032386952999</v>
      </c>
      <c r="BS58" s="2">
        <f t="shared" si="50"/>
        <v>1.3745275107653001</v>
      </c>
      <c r="BT58" s="2">
        <f t="shared" si="49"/>
        <v>1.3805985320745999</v>
      </c>
      <c r="BU58" s="2">
        <f t="shared" si="49"/>
        <v>1.3863599659571</v>
      </c>
      <c r="BV58" s="2">
        <f t="shared" si="49"/>
        <v>1.3918235281832001</v>
      </c>
      <c r="BW58" s="2">
        <f t="shared" si="49"/>
        <v>1.3970176790346001</v>
      </c>
      <c r="BX58" s="2">
        <f t="shared" si="49"/>
        <v>1.4019822061930001</v>
      </c>
      <c r="BY58" s="2">
        <f t="shared" si="49"/>
        <v>1.4067443795147001</v>
      </c>
      <c r="BZ58" s="2">
        <f t="shared" si="49"/>
        <v>1.4113603465894</v>
      </c>
      <c r="CA58" s="2">
        <f t="shared" si="49"/>
        <v>1.4159290791124</v>
      </c>
      <c r="CB58" s="2">
        <f t="shared" si="49"/>
        <v>1.4205508870756001</v>
      </c>
      <c r="CC58" s="2">
        <f t="shared" si="49"/>
        <v>1.4253646607499</v>
      </c>
      <c r="CD58" s="2">
        <f t="shared" si="49"/>
        <v>1.4305350695118</v>
      </c>
    </row>
    <row r="59" spans="4:82" s="2" customFormat="1" x14ac:dyDescent="0.2">
      <c r="E59" s="2" t="s">
        <v>31</v>
      </c>
      <c r="F59" s="2" t="s">
        <v>7</v>
      </c>
      <c r="G59" s="2">
        <f t="shared" si="46"/>
        <v>1</v>
      </c>
      <c r="H59" s="2">
        <f t="shared" si="50"/>
        <v>0</v>
      </c>
      <c r="I59" s="2" t="str">
        <f t="shared" si="50"/>
        <v>emission_co2e_co2_trns_powered_bikes</v>
      </c>
      <c r="J59" s="2">
        <f t="shared" si="50"/>
        <v>0</v>
      </c>
      <c r="K59" s="2">
        <f t="shared" si="50"/>
        <v>18.350999999999999</v>
      </c>
      <c r="L59" s="2">
        <f t="shared" si="50"/>
        <v>18.350999999999999</v>
      </c>
      <c r="M59" s="2">
        <f t="shared" si="50"/>
        <v>19.567</v>
      </c>
      <c r="N59" s="2">
        <f t="shared" si="50"/>
        <v>21.216999999999999</v>
      </c>
      <c r="O59" s="2">
        <f t="shared" si="50"/>
        <v>22.751999999999999</v>
      </c>
      <c r="P59" s="2">
        <f t="shared" si="50"/>
        <v>21.372</v>
      </c>
      <c r="Q59" s="2">
        <f t="shared" si="50"/>
        <v>22.113</v>
      </c>
      <c r="R59" s="2">
        <f t="shared" si="50"/>
        <v>22.853999999999999</v>
      </c>
      <c r="S59" s="2">
        <f t="shared" si="50"/>
        <v>21.885999999999999</v>
      </c>
      <c r="T59" s="2">
        <f t="shared" si="50"/>
        <v>20.917999999999999</v>
      </c>
      <c r="U59" s="2">
        <f t="shared" si="50"/>
        <v>19.544</v>
      </c>
      <c r="V59" s="2">
        <f t="shared" si="50"/>
        <v>22.247</v>
      </c>
      <c r="W59" s="2">
        <f t="shared" si="50"/>
        <v>21.527000000000001</v>
      </c>
      <c r="X59" s="2">
        <f t="shared" si="50"/>
        <v>28.606999999999999</v>
      </c>
      <c r="Y59" s="2">
        <f t="shared" si="50"/>
        <v>33.155000000000001</v>
      </c>
      <c r="Z59" s="2">
        <f t="shared" si="50"/>
        <v>34.847000000000001</v>
      </c>
      <c r="AA59" s="2">
        <f t="shared" si="50"/>
        <v>66.328000000000003</v>
      </c>
      <c r="AB59" s="2">
        <f t="shared" si="50"/>
        <v>88.234999999999999</v>
      </c>
      <c r="AC59" s="2">
        <f t="shared" si="50"/>
        <v>86.635000000000005</v>
      </c>
      <c r="AD59" s="2">
        <f t="shared" si="50"/>
        <v>99.275000000000006</v>
      </c>
      <c r="AE59" s="2">
        <f t="shared" si="50"/>
        <v>129.773</v>
      </c>
      <c r="AF59" s="2">
        <f t="shared" si="50"/>
        <v>149.22200000000001</v>
      </c>
      <c r="AG59" s="2">
        <f t="shared" si="50"/>
        <v>157.988</v>
      </c>
      <c r="AH59" s="2">
        <f t="shared" si="50"/>
        <v>170.315</v>
      </c>
      <c r="AI59" s="2">
        <f t="shared" si="50"/>
        <v>185.113</v>
      </c>
      <c r="AJ59" s="2">
        <f t="shared" si="50"/>
        <v>180.552645416931</v>
      </c>
      <c r="AK59" s="2">
        <f t="shared" si="50"/>
        <v>183.11572465796601</v>
      </c>
      <c r="AL59" s="2">
        <f t="shared" si="50"/>
        <v>187.570701755295</v>
      </c>
      <c r="AM59" s="2">
        <f t="shared" si="50"/>
        <v>193.43418603785199</v>
      </c>
      <c r="AN59" s="2">
        <f t="shared" si="50"/>
        <v>200.813757622434</v>
      </c>
      <c r="AO59" s="2">
        <f t="shared" si="50"/>
        <v>209.28120702157801</v>
      </c>
      <c r="AP59" s="2">
        <f t="shared" si="50"/>
        <v>219.50553733408</v>
      </c>
      <c r="AQ59" s="2">
        <f t="shared" si="50"/>
        <v>233.93417072950501</v>
      </c>
      <c r="AR59" s="2">
        <f t="shared" si="50"/>
        <v>250.847857042317</v>
      </c>
      <c r="AS59" s="2">
        <f t="shared" si="50"/>
        <v>269.92969089786698</v>
      </c>
      <c r="AT59" s="2">
        <f t="shared" si="50"/>
        <v>289.24905686582503</v>
      </c>
      <c r="AU59" s="2">
        <f t="shared" si="50"/>
        <v>303.67799458273601</v>
      </c>
      <c r="AV59" s="2">
        <f t="shared" si="50"/>
        <v>318.08069502953902</v>
      </c>
      <c r="AW59" s="2">
        <f t="shared" si="50"/>
        <v>332.48151339474998</v>
      </c>
      <c r="AX59" s="2">
        <f t="shared" si="50"/>
        <v>346.934798529462</v>
      </c>
      <c r="AY59" s="2">
        <f t="shared" si="50"/>
        <v>361.51992964736598</v>
      </c>
      <c r="AZ59" s="2">
        <f t="shared" si="50"/>
        <v>376.31653881393999</v>
      </c>
      <c r="BA59" s="2">
        <f t="shared" si="50"/>
        <v>391.40250434414799</v>
      </c>
      <c r="BB59" s="2">
        <f t="shared" si="50"/>
        <v>406.84729106354899</v>
      </c>
      <c r="BC59" s="2">
        <f t="shared" si="50"/>
        <v>422.70704099892902</v>
      </c>
      <c r="BD59" s="2">
        <f t="shared" si="50"/>
        <v>436.63710723810999</v>
      </c>
      <c r="BE59" s="2">
        <f t="shared" si="50"/>
        <v>448.40889694425499</v>
      </c>
      <c r="BF59" s="2">
        <f t="shared" si="50"/>
        <v>457.90337302100397</v>
      </c>
      <c r="BG59" s="2">
        <f t="shared" si="50"/>
        <v>464.81826117591299</v>
      </c>
      <c r="BH59" s="2">
        <f t="shared" si="50"/>
        <v>468.97482572374702</v>
      </c>
      <c r="BI59" s="2">
        <f t="shared" si="50"/>
        <v>470.22732398484601</v>
      </c>
      <c r="BJ59" s="2">
        <f t="shared" si="50"/>
        <v>468.463349161103</v>
      </c>
      <c r="BK59" s="2">
        <f t="shared" si="50"/>
        <v>465.548146306815</v>
      </c>
      <c r="BL59" s="2">
        <f t="shared" si="50"/>
        <v>461.41884472079801</v>
      </c>
      <c r="BM59" s="2">
        <f t="shared" si="50"/>
        <v>456.02383399174602</v>
      </c>
      <c r="BN59" s="2">
        <f t="shared" si="50"/>
        <v>449.31954628184297</v>
      </c>
      <c r="BO59" s="2">
        <f t="shared" si="50"/>
        <v>456.49694447946302</v>
      </c>
      <c r="BP59" s="2">
        <f t="shared" si="50"/>
        <v>462.76127440179999</v>
      </c>
      <c r="BQ59" s="2">
        <f t="shared" si="50"/>
        <v>468.04497233889299</v>
      </c>
      <c r="BR59" s="2">
        <f t="shared" si="50"/>
        <v>472.300067722047</v>
      </c>
      <c r="BS59" s="2">
        <f t="shared" ref="BS59:CD62" si="51">CA303</f>
        <v>475.49102501260501</v>
      </c>
      <c r="BT59" s="2">
        <f t="shared" si="51"/>
        <v>477.59117660843299</v>
      </c>
      <c r="BU59" s="2">
        <f t="shared" si="51"/>
        <v>479.58423246278198</v>
      </c>
      <c r="BV59" s="2">
        <f t="shared" si="51"/>
        <v>481.474245418338</v>
      </c>
      <c r="BW59" s="2">
        <f t="shared" si="51"/>
        <v>483.27106075531702</v>
      </c>
      <c r="BX59" s="2">
        <f t="shared" si="51"/>
        <v>484.98844224730101</v>
      </c>
      <c r="BY59" s="2">
        <f t="shared" si="51"/>
        <v>486.63582337013099</v>
      </c>
      <c r="BZ59" s="2">
        <f t="shared" si="51"/>
        <v>488.23262728899601</v>
      </c>
      <c r="CA59" s="2">
        <f t="shared" si="51"/>
        <v>489.81309133454101</v>
      </c>
      <c r="CB59" s="2">
        <f t="shared" si="51"/>
        <v>491.411915795026</v>
      </c>
      <c r="CC59" s="2">
        <f t="shared" si="51"/>
        <v>493.07714705496511</v>
      </c>
      <c r="CD59" s="2">
        <f t="shared" si="51"/>
        <v>494.865749278392</v>
      </c>
    </row>
    <row r="60" spans="4:82" s="2" customFormat="1" x14ac:dyDescent="0.2">
      <c r="E60" s="2" t="s">
        <v>31</v>
      </c>
      <c r="F60" s="2" t="s">
        <v>8</v>
      </c>
      <c r="G60" s="2">
        <f t="shared" si="46"/>
        <v>1</v>
      </c>
      <c r="H60" s="2">
        <f t="shared" ref="H60:BS63" si="52">P304</f>
        <v>0</v>
      </c>
      <c r="I60" s="2" t="str">
        <f t="shared" si="52"/>
        <v>emission_co2e_n2o_trns_powered_bikes</v>
      </c>
      <c r="J60" s="2">
        <f t="shared" si="52"/>
        <v>0</v>
      </c>
      <c r="K60" s="2">
        <f t="shared" si="52"/>
        <v>0.27300000000000002</v>
      </c>
      <c r="L60" s="2">
        <f t="shared" si="52"/>
        <v>0.27300000000000002</v>
      </c>
      <c r="M60" s="2">
        <f t="shared" si="52"/>
        <v>0.27300000000000002</v>
      </c>
      <c r="N60" s="2">
        <f t="shared" si="52"/>
        <v>0.27300000000000002</v>
      </c>
      <c r="O60" s="2">
        <f t="shared" si="52"/>
        <v>0.27300000000000002</v>
      </c>
      <c r="P60" s="2">
        <f t="shared" si="52"/>
        <v>0.27300000000000002</v>
      </c>
      <c r="Q60" s="2">
        <f t="shared" si="52"/>
        <v>0.27300000000000002</v>
      </c>
      <c r="R60" s="2">
        <f t="shared" si="52"/>
        <v>0.27300000000000002</v>
      </c>
      <c r="S60" s="2">
        <f t="shared" si="52"/>
        <v>0.27300000000000002</v>
      </c>
      <c r="T60" s="2">
        <f t="shared" si="52"/>
        <v>0.27300000000000002</v>
      </c>
      <c r="U60" s="2">
        <f t="shared" si="52"/>
        <v>0.27300000000000002</v>
      </c>
      <c r="V60" s="2">
        <f t="shared" si="52"/>
        <v>0.27300000000000002</v>
      </c>
      <c r="W60" s="2">
        <f t="shared" si="52"/>
        <v>0.27300000000000002</v>
      </c>
      <c r="X60" s="2">
        <f t="shared" si="52"/>
        <v>0.27300000000000002</v>
      </c>
      <c r="Y60" s="2">
        <f t="shared" si="52"/>
        <v>0.54600000000000004</v>
      </c>
      <c r="Z60" s="2">
        <f t="shared" si="52"/>
        <v>0.54600000000000004</v>
      </c>
      <c r="AA60" s="2">
        <f t="shared" si="52"/>
        <v>0.81900000000000006</v>
      </c>
      <c r="AB60" s="2">
        <f t="shared" si="52"/>
        <v>1.0920000000000001</v>
      </c>
      <c r="AC60" s="2">
        <f t="shared" si="52"/>
        <v>1.0920000000000001</v>
      </c>
      <c r="AD60" s="2">
        <f t="shared" si="52"/>
        <v>1.365</v>
      </c>
      <c r="AE60" s="2">
        <f t="shared" si="52"/>
        <v>1.6379999999999999</v>
      </c>
      <c r="AF60" s="2">
        <f t="shared" si="52"/>
        <v>1.911</v>
      </c>
      <c r="AG60" s="2">
        <f t="shared" si="52"/>
        <v>1.911</v>
      </c>
      <c r="AH60" s="2">
        <f t="shared" si="52"/>
        <v>2.1840000000000002</v>
      </c>
      <c r="AI60" s="2">
        <f t="shared" si="52"/>
        <v>2.4569999999999999</v>
      </c>
      <c r="AJ60" s="2">
        <f t="shared" si="52"/>
        <v>1.0412715926653</v>
      </c>
      <c r="AK60" s="2">
        <f t="shared" si="52"/>
        <v>1.0560532182530999</v>
      </c>
      <c r="AL60" s="2">
        <f t="shared" si="52"/>
        <v>1.0817456753573</v>
      </c>
      <c r="AM60" s="2">
        <f t="shared" si="52"/>
        <v>1.1155611844205</v>
      </c>
      <c r="AN60" s="2">
        <f t="shared" si="52"/>
        <v>1.1581201745661001</v>
      </c>
      <c r="AO60" s="2">
        <f t="shared" si="52"/>
        <v>1.2069531036062</v>
      </c>
      <c r="AP60" s="2">
        <f t="shared" si="52"/>
        <v>1.2659182031419001</v>
      </c>
      <c r="AQ60" s="2">
        <f t="shared" si="52"/>
        <v>1.3491300887443001</v>
      </c>
      <c r="AR60" s="2">
        <f t="shared" si="52"/>
        <v>1.4466736115440999</v>
      </c>
      <c r="AS60" s="2">
        <f t="shared" si="52"/>
        <v>1.5567211352668999</v>
      </c>
      <c r="AT60" s="2">
        <f t="shared" si="52"/>
        <v>1.6681385388961001</v>
      </c>
      <c r="AU60" s="2">
        <f t="shared" si="52"/>
        <v>1.7513521795617999</v>
      </c>
      <c r="AV60" s="2">
        <f t="shared" si="52"/>
        <v>1.8344145063324</v>
      </c>
      <c r="AW60" s="2">
        <f t="shared" si="52"/>
        <v>1.9174659788832999</v>
      </c>
      <c r="AX60" s="2">
        <f t="shared" si="52"/>
        <v>2.0008200344093998</v>
      </c>
      <c r="AY60" s="2">
        <f t="shared" si="52"/>
        <v>2.0849344636014999</v>
      </c>
      <c r="AZ60" s="2">
        <f t="shared" si="52"/>
        <v>2.1702685153810002</v>
      </c>
      <c r="BA60" s="2">
        <f t="shared" si="52"/>
        <v>2.2572713245520002</v>
      </c>
      <c r="BB60" s="2">
        <f t="shared" si="52"/>
        <v>2.3463435041845</v>
      </c>
      <c r="BC60" s="2">
        <f t="shared" si="52"/>
        <v>2.4378088329606999</v>
      </c>
      <c r="BD60" s="2">
        <f t="shared" si="52"/>
        <v>2.5181454141574</v>
      </c>
      <c r="BE60" s="2">
        <f t="shared" si="52"/>
        <v>2.5860349218826002</v>
      </c>
      <c r="BF60" s="2">
        <f t="shared" si="52"/>
        <v>2.6407908530578998</v>
      </c>
      <c r="BG60" s="2">
        <f t="shared" si="52"/>
        <v>2.6806699508441998</v>
      </c>
      <c r="BH60" s="2">
        <f t="shared" si="52"/>
        <v>2.7046414223048001</v>
      </c>
      <c r="BI60" s="2">
        <f t="shared" si="52"/>
        <v>2.7118647496402999</v>
      </c>
      <c r="BJ60" s="2">
        <f t="shared" si="52"/>
        <v>2.7016916676015001</v>
      </c>
      <c r="BK60" s="2">
        <f t="shared" si="52"/>
        <v>2.6848792973811002</v>
      </c>
      <c r="BL60" s="2">
        <f t="shared" si="52"/>
        <v>2.6610650551187001</v>
      </c>
      <c r="BM60" s="2">
        <f t="shared" si="52"/>
        <v>2.6299512965731</v>
      </c>
      <c r="BN60" s="2">
        <f t="shared" si="52"/>
        <v>2.5912867601146998</v>
      </c>
      <c r="BO60" s="2">
        <f t="shared" si="52"/>
        <v>2.6326797889189999</v>
      </c>
      <c r="BP60" s="2">
        <f t="shared" si="52"/>
        <v>2.6688070291493999</v>
      </c>
      <c r="BQ60" s="2">
        <f t="shared" si="52"/>
        <v>2.6992788317276002</v>
      </c>
      <c r="BR60" s="2">
        <f t="shared" si="52"/>
        <v>2.7238185438781999</v>
      </c>
      <c r="BS60" s="2">
        <f t="shared" si="52"/>
        <v>2.7422212273304001</v>
      </c>
      <c r="BT60" s="2">
        <f t="shared" si="51"/>
        <v>2.7543330864061</v>
      </c>
      <c r="BU60" s="2">
        <f t="shared" si="51"/>
        <v>2.7658273098163</v>
      </c>
      <c r="BV60" s="2">
        <f t="shared" si="51"/>
        <v>2.7767272708544999</v>
      </c>
      <c r="BW60" s="2">
        <f t="shared" si="51"/>
        <v>2.7870897485869</v>
      </c>
      <c r="BX60" s="2">
        <f t="shared" si="51"/>
        <v>2.7969941205623998</v>
      </c>
      <c r="BY60" s="2">
        <f t="shared" si="51"/>
        <v>2.8064947909155999</v>
      </c>
      <c r="BZ60" s="2">
        <f t="shared" si="51"/>
        <v>2.8157037756742</v>
      </c>
      <c r="CA60" s="2">
        <f t="shared" si="51"/>
        <v>2.8248185261673999</v>
      </c>
      <c r="CB60" s="2">
        <f t="shared" si="51"/>
        <v>2.8340391636634998</v>
      </c>
      <c r="CC60" s="2">
        <f t="shared" si="51"/>
        <v>2.8436427781782001</v>
      </c>
      <c r="CD60" s="2">
        <f t="shared" si="51"/>
        <v>2.8539578897708999</v>
      </c>
    </row>
    <row r="61" spans="4:82" s="2" customFormat="1" x14ac:dyDescent="0.2">
      <c r="D61" s="2" t="s">
        <v>32</v>
      </c>
      <c r="F61" s="2" t="s">
        <v>6</v>
      </c>
      <c r="G61" s="2">
        <f t="shared" si="46"/>
        <v>1</v>
      </c>
      <c r="H61" s="2">
        <f t="shared" si="52"/>
        <v>0</v>
      </c>
      <c r="I61" s="2" t="str">
        <f t="shared" si="52"/>
        <v>emission_co2e_ch4_trns_rail_freight|emission_co2e_ch4_trns_rail_passenger</v>
      </c>
      <c r="J61" s="2">
        <f t="shared" si="52"/>
        <v>0</v>
      </c>
      <c r="K61" s="2">
        <f t="shared" si="52"/>
        <v>0</v>
      </c>
      <c r="L61" s="2">
        <f t="shared" si="52"/>
        <v>0</v>
      </c>
      <c r="M61" s="2">
        <f t="shared" si="52"/>
        <v>0</v>
      </c>
      <c r="N61" s="2">
        <f t="shared" si="52"/>
        <v>0</v>
      </c>
      <c r="O61" s="2">
        <f t="shared" si="52"/>
        <v>0</v>
      </c>
      <c r="P61" s="2">
        <f t="shared" si="52"/>
        <v>0</v>
      </c>
      <c r="Q61" s="2">
        <f t="shared" si="52"/>
        <v>0</v>
      </c>
      <c r="R61" s="2">
        <f t="shared" si="52"/>
        <v>0</v>
      </c>
      <c r="S61" s="2">
        <f t="shared" si="52"/>
        <v>0</v>
      </c>
      <c r="T61" s="2">
        <f t="shared" si="52"/>
        <v>0</v>
      </c>
      <c r="U61" s="2">
        <f t="shared" si="52"/>
        <v>0</v>
      </c>
      <c r="V61" s="2">
        <f t="shared" si="52"/>
        <v>0</v>
      </c>
      <c r="W61" s="2">
        <f t="shared" si="52"/>
        <v>0</v>
      </c>
      <c r="X61" s="2">
        <f t="shared" si="52"/>
        <v>0</v>
      </c>
      <c r="Y61" s="2">
        <f t="shared" si="52"/>
        <v>0</v>
      </c>
      <c r="Z61" s="2">
        <f t="shared" si="52"/>
        <v>0</v>
      </c>
      <c r="AA61" s="2">
        <f t="shared" si="52"/>
        <v>0</v>
      </c>
      <c r="AB61" s="2">
        <f t="shared" si="52"/>
        <v>0</v>
      </c>
      <c r="AC61" s="2">
        <f t="shared" si="52"/>
        <v>0</v>
      </c>
      <c r="AD61" s="2">
        <f t="shared" si="52"/>
        <v>0</v>
      </c>
      <c r="AE61" s="2">
        <f t="shared" si="52"/>
        <v>0</v>
      </c>
      <c r="AF61" s="2">
        <f t="shared" si="52"/>
        <v>0</v>
      </c>
      <c r="AG61" s="2">
        <f t="shared" si="52"/>
        <v>0</v>
      </c>
      <c r="AH61" s="2">
        <f t="shared" si="52"/>
        <v>0</v>
      </c>
      <c r="AI61" s="2">
        <f t="shared" si="52"/>
        <v>0</v>
      </c>
      <c r="AJ61" s="2">
        <f t="shared" si="52"/>
        <v>0.12727046940792519</v>
      </c>
      <c r="AK61" s="2">
        <f t="shared" si="52"/>
        <v>0.1145290930278966</v>
      </c>
      <c r="AL61" s="2">
        <f t="shared" si="52"/>
        <v>0.1231284845215271</v>
      </c>
      <c r="AM61" s="2">
        <f t="shared" si="52"/>
        <v>0.13410052906104539</v>
      </c>
      <c r="AN61" s="2">
        <f t="shared" si="52"/>
        <v>0.1479679940095884</v>
      </c>
      <c r="AO61" s="2">
        <f t="shared" si="52"/>
        <v>0.16467525131388391</v>
      </c>
      <c r="AP61" s="2">
        <f t="shared" si="52"/>
        <v>0.18574813588421529</v>
      </c>
      <c r="AQ61" s="2">
        <f t="shared" si="52"/>
        <v>0.21598919672754641</v>
      </c>
      <c r="AR61" s="2">
        <f t="shared" si="52"/>
        <v>0.25482050958083591</v>
      </c>
      <c r="AS61" s="2">
        <f t="shared" si="52"/>
        <v>0.30382823776880291</v>
      </c>
      <c r="AT61" s="2">
        <f t="shared" si="52"/>
        <v>0.3613167356609</v>
      </c>
      <c r="AU61" s="2">
        <f t="shared" si="52"/>
        <v>0.41595653972629998</v>
      </c>
      <c r="AV61" s="2">
        <f t="shared" si="52"/>
        <v>0.47858228550830001</v>
      </c>
      <c r="AW61" s="2">
        <f t="shared" si="52"/>
        <v>0.55040230832339998</v>
      </c>
      <c r="AX61" s="2">
        <f t="shared" si="52"/>
        <v>0.63284792733529993</v>
      </c>
      <c r="AY61" s="2">
        <f t="shared" si="52"/>
        <v>0.72763355814250008</v>
      </c>
      <c r="AZ61" s="2">
        <f t="shared" si="52"/>
        <v>0.8367473918956001</v>
      </c>
      <c r="BA61" s="2">
        <f t="shared" si="52"/>
        <v>0.9625097420865999</v>
      </c>
      <c r="BB61" s="2">
        <f t="shared" si="52"/>
        <v>1.1076183621975999</v>
      </c>
      <c r="BC61" s="2">
        <f t="shared" si="52"/>
        <v>1.2751994318787001</v>
      </c>
      <c r="BD61" s="2">
        <f t="shared" si="52"/>
        <v>1.4529770721262001</v>
      </c>
      <c r="BE61" s="2">
        <f t="shared" si="52"/>
        <v>1.6378890659180001</v>
      </c>
      <c r="BF61" s="2">
        <f t="shared" si="52"/>
        <v>1.8304983894918001</v>
      </c>
      <c r="BG61" s="2">
        <f t="shared" si="52"/>
        <v>2.0226156405708999</v>
      </c>
      <c r="BH61" s="2">
        <f t="shared" si="52"/>
        <v>2.2090090786254999</v>
      </c>
      <c r="BI61" s="2">
        <f t="shared" si="52"/>
        <v>2.3840542387428001</v>
      </c>
      <c r="BJ61" s="2">
        <f t="shared" si="52"/>
        <v>2.5415100657712002</v>
      </c>
      <c r="BK61" s="2">
        <f t="shared" si="52"/>
        <v>2.6989482536743998</v>
      </c>
      <c r="BL61" s="2">
        <f t="shared" si="52"/>
        <v>2.8548620691208999</v>
      </c>
      <c r="BM61" s="2">
        <f t="shared" si="52"/>
        <v>3.0079060813559999</v>
      </c>
      <c r="BN61" s="2">
        <f t="shared" si="52"/>
        <v>3.1562778615849001</v>
      </c>
      <c r="BO61" s="2">
        <f t="shared" si="52"/>
        <v>3.2616584837236999</v>
      </c>
      <c r="BP61" s="2">
        <f t="shared" si="52"/>
        <v>3.3561901453051002</v>
      </c>
      <c r="BQ61" s="2">
        <f t="shared" si="52"/>
        <v>3.4384114246106998</v>
      </c>
      <c r="BR61" s="2">
        <f t="shared" si="52"/>
        <v>3.5074415934716998</v>
      </c>
      <c r="BS61" s="2">
        <f t="shared" si="52"/>
        <v>3.5624921009918</v>
      </c>
      <c r="BT61" s="2">
        <f t="shared" si="51"/>
        <v>3.6026552466826001</v>
      </c>
      <c r="BU61" s="2">
        <f t="shared" si="51"/>
        <v>3.6437935826116998</v>
      </c>
      <c r="BV61" s="2">
        <f t="shared" si="51"/>
        <v>3.6859263552727999</v>
      </c>
      <c r="BW61" s="2">
        <f t="shared" si="51"/>
        <v>3.7293454781727</v>
      </c>
      <c r="BX61" s="2">
        <f t="shared" si="51"/>
        <v>3.7744165032349999</v>
      </c>
      <c r="BY61" s="2">
        <f t="shared" si="51"/>
        <v>3.8207144114829998</v>
      </c>
      <c r="BZ61" s="2">
        <f t="shared" si="51"/>
        <v>3.8682538542506002</v>
      </c>
      <c r="CA61" s="2">
        <f t="shared" si="51"/>
        <v>3.9178396034399001</v>
      </c>
      <c r="CB61" s="2">
        <f t="shared" si="51"/>
        <v>3.9695482916762002</v>
      </c>
      <c r="CC61" s="2">
        <f t="shared" si="51"/>
        <v>4.0238578166338002</v>
      </c>
      <c r="CD61" s="2">
        <f t="shared" si="51"/>
        <v>4.0811757486226004</v>
      </c>
    </row>
    <row r="62" spans="4:82" s="2" customFormat="1" x14ac:dyDescent="0.2">
      <c r="D62" s="2" t="s">
        <v>32</v>
      </c>
      <c r="F62" s="2" t="s">
        <v>7</v>
      </c>
      <c r="G62" s="2">
        <f t="shared" si="46"/>
        <v>1</v>
      </c>
      <c r="H62" s="2">
        <f t="shared" si="52"/>
        <v>0</v>
      </c>
      <c r="I62" s="2" t="str">
        <f t="shared" si="52"/>
        <v>emission_co2e_co2_trns_rail_freight|emission_co2e_co2_trns_rail_passenger</v>
      </c>
      <c r="J62" s="2">
        <f t="shared" si="52"/>
        <v>0</v>
      </c>
      <c r="K62" s="2">
        <f t="shared" si="52"/>
        <v>0</v>
      </c>
      <c r="L62" s="2">
        <f t="shared" si="52"/>
        <v>0</v>
      </c>
      <c r="M62" s="2">
        <f t="shared" si="52"/>
        <v>0</v>
      </c>
      <c r="N62" s="2">
        <f t="shared" si="52"/>
        <v>0</v>
      </c>
      <c r="O62" s="2">
        <f t="shared" si="52"/>
        <v>0</v>
      </c>
      <c r="P62" s="2">
        <f t="shared" si="52"/>
        <v>0</v>
      </c>
      <c r="Q62" s="2">
        <f t="shared" si="52"/>
        <v>0</v>
      </c>
      <c r="R62" s="2">
        <f t="shared" si="52"/>
        <v>0</v>
      </c>
      <c r="S62" s="2">
        <f t="shared" si="52"/>
        <v>0</v>
      </c>
      <c r="T62" s="2">
        <f t="shared" si="52"/>
        <v>0</v>
      </c>
      <c r="U62" s="2">
        <f t="shared" si="52"/>
        <v>0</v>
      </c>
      <c r="V62" s="2">
        <f t="shared" si="52"/>
        <v>0</v>
      </c>
      <c r="W62" s="2">
        <f t="shared" si="52"/>
        <v>0</v>
      </c>
      <c r="X62" s="2">
        <f t="shared" si="52"/>
        <v>0</v>
      </c>
      <c r="Y62" s="2">
        <f t="shared" si="52"/>
        <v>0</v>
      </c>
      <c r="Z62" s="2">
        <f t="shared" si="52"/>
        <v>0</v>
      </c>
      <c r="AA62" s="2">
        <f t="shared" si="52"/>
        <v>0</v>
      </c>
      <c r="AB62" s="2">
        <f t="shared" si="52"/>
        <v>0</v>
      </c>
      <c r="AC62" s="2">
        <f t="shared" si="52"/>
        <v>0</v>
      </c>
      <c r="AD62" s="2">
        <f t="shared" si="52"/>
        <v>0</v>
      </c>
      <c r="AE62" s="2">
        <f t="shared" si="52"/>
        <v>7.0000000000000001E-3</v>
      </c>
      <c r="AF62" s="2">
        <f t="shared" si="52"/>
        <v>7.0000000000000001E-3</v>
      </c>
      <c r="AG62" s="2">
        <f t="shared" si="52"/>
        <v>7.0000000000000001E-3</v>
      </c>
      <c r="AH62" s="2">
        <f t="shared" si="52"/>
        <v>7.0000000000000001E-3</v>
      </c>
      <c r="AI62" s="2">
        <f t="shared" si="52"/>
        <v>7.0000000000000001E-3</v>
      </c>
      <c r="AJ62" s="2">
        <f t="shared" si="52"/>
        <v>150.0305984902088</v>
      </c>
      <c r="AK62" s="2">
        <f t="shared" si="52"/>
        <v>135.0106466288446</v>
      </c>
      <c r="AL62" s="2">
        <f t="shared" si="52"/>
        <v>145.14789102213399</v>
      </c>
      <c r="AM62" s="2">
        <f t="shared" si="52"/>
        <v>158.08209654983921</v>
      </c>
      <c r="AN62" s="2">
        <f t="shared" si="52"/>
        <v>174.42951850444391</v>
      </c>
      <c r="AO62" s="2">
        <f t="shared" si="52"/>
        <v>194.1245807144918</v>
      </c>
      <c r="AP62" s="2">
        <f t="shared" si="52"/>
        <v>218.96598735599619</v>
      </c>
      <c r="AQ62" s="2">
        <f t="shared" si="52"/>
        <v>254.61514052089521</v>
      </c>
      <c r="AR62" s="2">
        <f t="shared" si="52"/>
        <v>300.39076415651999</v>
      </c>
      <c r="AS62" s="2">
        <f t="shared" si="52"/>
        <v>358.16267954962098</v>
      </c>
      <c r="AT62" s="2">
        <f t="shared" si="52"/>
        <v>425.93200408497398</v>
      </c>
      <c r="AU62" s="2">
        <f t="shared" si="52"/>
        <v>490.34319501904099</v>
      </c>
      <c r="AV62" s="2">
        <f t="shared" si="52"/>
        <v>564.16847565397495</v>
      </c>
      <c r="AW62" s="2">
        <f t="shared" si="52"/>
        <v>648.83227124345001</v>
      </c>
      <c r="AX62" s="2">
        <f t="shared" si="52"/>
        <v>746.02186770515902</v>
      </c>
      <c r="AY62" s="2">
        <f t="shared" si="52"/>
        <v>857.75827430777599</v>
      </c>
      <c r="AZ62" s="2">
        <f t="shared" si="52"/>
        <v>986.38523590929992</v>
      </c>
      <c r="BA62" s="2">
        <f t="shared" si="52"/>
        <v>1134.638014063335</v>
      </c>
      <c r="BB62" s="2">
        <f t="shared" si="52"/>
        <v>1305.696808948132</v>
      </c>
      <c r="BC62" s="2">
        <f t="shared" si="52"/>
        <v>1503.246863543169</v>
      </c>
      <c r="BD62" s="2">
        <f t="shared" si="52"/>
        <v>1712.816969543321</v>
      </c>
      <c r="BE62" s="2">
        <f t="shared" si="52"/>
        <v>1930.7972852100499</v>
      </c>
      <c r="BF62" s="2">
        <f t="shared" si="52"/>
        <v>2157.8514653745292</v>
      </c>
      <c r="BG62" s="2">
        <f t="shared" si="52"/>
        <v>2384.3255743629311</v>
      </c>
      <c r="BH62" s="2">
        <f t="shared" si="52"/>
        <v>2604.0522650559992</v>
      </c>
      <c r="BI62" s="2">
        <f t="shared" si="52"/>
        <v>2810.401233967601</v>
      </c>
      <c r="BJ62" s="2">
        <f t="shared" si="52"/>
        <v>2996.0153208388551</v>
      </c>
      <c r="BK62" s="2">
        <f t="shared" si="52"/>
        <v>3181.6086141317078</v>
      </c>
      <c r="BL62" s="2">
        <f t="shared" si="52"/>
        <v>3365.4049272367779</v>
      </c>
      <c r="BM62" s="2">
        <f t="shared" si="52"/>
        <v>3545.818222306551</v>
      </c>
      <c r="BN62" s="2">
        <f t="shared" si="52"/>
        <v>3720.7237372336122</v>
      </c>
      <c r="BO62" s="2">
        <f t="shared" si="52"/>
        <v>3844.9498666907821</v>
      </c>
      <c r="BP62" s="2">
        <f t="shared" si="52"/>
        <v>3956.3868860505631</v>
      </c>
      <c r="BQ62" s="2">
        <f t="shared" si="52"/>
        <v>4053.3120235174702</v>
      </c>
      <c r="BR62" s="2">
        <f t="shared" si="52"/>
        <v>4134.6870478751989</v>
      </c>
      <c r="BS62" s="2">
        <f t="shared" si="52"/>
        <v>4199.5823894957703</v>
      </c>
      <c r="BT62" s="2">
        <f t="shared" si="51"/>
        <v>4246.9280213087022</v>
      </c>
      <c r="BU62" s="2">
        <f t="shared" si="51"/>
        <v>4295.4232393199209</v>
      </c>
      <c r="BV62" s="2">
        <f t="shared" si="51"/>
        <v>4345.0907319267972</v>
      </c>
      <c r="BW62" s="2">
        <f t="shared" si="51"/>
        <v>4396.2746163337833</v>
      </c>
      <c r="BX62" s="2">
        <f t="shared" si="51"/>
        <v>4449.4058171230272</v>
      </c>
      <c r="BY62" s="2">
        <f t="shared" si="51"/>
        <v>4503.9833080021599</v>
      </c>
      <c r="BZ62" s="2">
        <f t="shared" si="51"/>
        <v>4560.0243604433917</v>
      </c>
      <c r="CA62" s="2">
        <f t="shared" si="51"/>
        <v>4618.4776659278568</v>
      </c>
      <c r="CB62" s="2">
        <f t="shared" si="51"/>
        <v>4679.4335615045084</v>
      </c>
      <c r="CC62" s="2">
        <f t="shared" si="51"/>
        <v>4743.4554086072467</v>
      </c>
      <c r="CD62" s="2">
        <f t="shared" si="51"/>
        <v>4811.0236644681818</v>
      </c>
    </row>
    <row r="63" spans="4:82" s="2" customFormat="1" x14ac:dyDescent="0.2">
      <c r="D63" s="2" t="s">
        <v>32</v>
      </c>
      <c r="F63" s="2" t="s">
        <v>8</v>
      </c>
      <c r="G63" s="2">
        <f t="shared" si="46"/>
        <v>1</v>
      </c>
      <c r="H63" s="2">
        <f t="shared" si="52"/>
        <v>0</v>
      </c>
      <c r="I63" s="2" t="str">
        <f t="shared" si="52"/>
        <v>emission_co2e_n2o_trns_rail_freight|emission_co2e_n2o_trns_rail_passenger</v>
      </c>
      <c r="J63" s="2">
        <f t="shared" si="52"/>
        <v>0</v>
      </c>
      <c r="K63" s="2">
        <f t="shared" si="52"/>
        <v>0</v>
      </c>
      <c r="L63" s="2">
        <f t="shared" si="52"/>
        <v>0</v>
      </c>
      <c r="M63" s="2">
        <f t="shared" si="52"/>
        <v>0</v>
      </c>
      <c r="N63" s="2">
        <f t="shared" si="52"/>
        <v>0</v>
      </c>
      <c r="O63" s="2">
        <f t="shared" si="52"/>
        <v>0</v>
      </c>
      <c r="P63" s="2">
        <f t="shared" si="52"/>
        <v>0</v>
      </c>
      <c r="Q63" s="2">
        <f t="shared" si="52"/>
        <v>0</v>
      </c>
      <c r="R63" s="2">
        <f t="shared" si="52"/>
        <v>0</v>
      </c>
      <c r="S63" s="2">
        <f t="shared" si="52"/>
        <v>0</v>
      </c>
      <c r="T63" s="2">
        <f t="shared" si="52"/>
        <v>0</v>
      </c>
      <c r="U63" s="2">
        <f t="shared" si="52"/>
        <v>0</v>
      </c>
      <c r="V63" s="2">
        <f t="shared" si="52"/>
        <v>0</v>
      </c>
      <c r="W63" s="2">
        <f t="shared" si="52"/>
        <v>0</v>
      </c>
      <c r="X63" s="2">
        <f t="shared" si="52"/>
        <v>0</v>
      </c>
      <c r="Y63" s="2">
        <f t="shared" si="52"/>
        <v>0</v>
      </c>
      <c r="Z63" s="2">
        <f t="shared" si="52"/>
        <v>0</v>
      </c>
      <c r="AA63" s="2">
        <f t="shared" si="52"/>
        <v>0</v>
      </c>
      <c r="AB63" s="2">
        <f t="shared" si="52"/>
        <v>0</v>
      </c>
      <c r="AC63" s="2">
        <f t="shared" si="52"/>
        <v>0</v>
      </c>
      <c r="AD63" s="2">
        <f t="shared" si="52"/>
        <v>0</v>
      </c>
      <c r="AE63" s="2">
        <f t="shared" si="52"/>
        <v>0</v>
      </c>
      <c r="AF63" s="2">
        <f t="shared" si="52"/>
        <v>0</v>
      </c>
      <c r="AG63" s="2">
        <f t="shared" si="52"/>
        <v>0</v>
      </c>
      <c r="AH63" s="2">
        <f t="shared" si="52"/>
        <v>0</v>
      </c>
      <c r="AI63" s="2">
        <f t="shared" si="52"/>
        <v>0</v>
      </c>
      <c r="AJ63" s="2">
        <f t="shared" si="52"/>
        <v>6.2800325582073997</v>
      </c>
      <c r="AK63" s="2">
        <f t="shared" si="52"/>
        <v>5.6513222307055004</v>
      </c>
      <c r="AL63" s="2">
        <f t="shared" si="52"/>
        <v>6.0756505042778004</v>
      </c>
      <c r="AM63" s="2">
        <f t="shared" si="52"/>
        <v>6.6170549420788003</v>
      </c>
      <c r="AN63" s="2">
        <f t="shared" si="52"/>
        <v>7.3013309707742007</v>
      </c>
      <c r="AO63" s="2">
        <f t="shared" si="52"/>
        <v>8.1257336803527007</v>
      </c>
      <c r="AP63" s="2">
        <f t="shared" si="52"/>
        <v>9.1655538508394994</v>
      </c>
      <c r="AQ63" s="2">
        <f t="shared" si="52"/>
        <v>10.6577684044107</v>
      </c>
      <c r="AR63" s="2">
        <f t="shared" si="52"/>
        <v>12.573860252986099</v>
      </c>
      <c r="AS63" s="2">
        <f t="shared" si="52"/>
        <v>14.992097021150199</v>
      </c>
      <c r="AT63" s="2">
        <f t="shared" si="52"/>
        <v>17.828808790699899</v>
      </c>
      <c r="AU63" s="2">
        <f t="shared" si="52"/>
        <v>20.5249546452754</v>
      </c>
      <c r="AV63" s="2">
        <f t="shared" si="52"/>
        <v>23.615158714790201</v>
      </c>
      <c r="AW63" s="2">
        <f t="shared" si="52"/>
        <v>27.159045082996801</v>
      </c>
      <c r="AX63" s="2">
        <f t="shared" si="52"/>
        <v>31.2272407460196</v>
      </c>
      <c r="AY63" s="2">
        <f t="shared" si="52"/>
        <v>35.904341807156399</v>
      </c>
      <c r="AZ63" s="2">
        <f t="shared" si="52"/>
        <v>41.288453547359801</v>
      </c>
      <c r="BA63" s="2">
        <f t="shared" si="52"/>
        <v>47.494069488515997</v>
      </c>
      <c r="BB63" s="2">
        <f t="shared" si="52"/>
        <v>54.654307546983603</v>
      </c>
      <c r="BC63" s="2">
        <f t="shared" si="52"/>
        <v>62.923425894954903</v>
      </c>
      <c r="BD63" s="2">
        <f t="shared" si="52"/>
        <v>71.695683702043596</v>
      </c>
      <c r="BE63" s="2">
        <f t="shared" si="52"/>
        <v>80.819978967217708</v>
      </c>
      <c r="BF63" s="2">
        <f t="shared" si="52"/>
        <v>90.32409118338721</v>
      </c>
      <c r="BG63" s="2">
        <f t="shared" si="52"/>
        <v>99.803922580120911</v>
      </c>
      <c r="BH63" s="2">
        <f t="shared" si="52"/>
        <v>109.0013182137167</v>
      </c>
      <c r="BI63" s="2">
        <f t="shared" si="52"/>
        <v>117.6387445531315</v>
      </c>
      <c r="BJ63" s="2">
        <f t="shared" si="52"/>
        <v>125.4082430457303</v>
      </c>
      <c r="BK63" s="2">
        <f t="shared" si="52"/>
        <v>133.17687115355011</v>
      </c>
      <c r="BL63" s="2">
        <f t="shared" si="52"/>
        <v>140.87028064463951</v>
      </c>
      <c r="BM63" s="2">
        <f t="shared" si="52"/>
        <v>148.42208259952901</v>
      </c>
      <c r="BN63" s="2">
        <f t="shared" si="52"/>
        <v>155.74333799279901</v>
      </c>
      <c r="BO63" s="2">
        <f t="shared" si="52"/>
        <v>160.94323818263979</v>
      </c>
      <c r="BP63" s="2">
        <f t="shared" si="52"/>
        <v>165.60780738926539</v>
      </c>
      <c r="BQ63" s="2">
        <f t="shared" si="52"/>
        <v>169.66493323643479</v>
      </c>
      <c r="BR63" s="2">
        <f t="shared" si="52"/>
        <v>173.07115708366399</v>
      </c>
      <c r="BS63" s="2">
        <f t="shared" ref="BS63:CD66" si="53">CA307</f>
        <v>175.78756868472681</v>
      </c>
      <c r="BT63" s="2">
        <f t="shared" si="53"/>
        <v>177.76937847730349</v>
      </c>
      <c r="BU63" s="2">
        <f t="shared" si="53"/>
        <v>179.7993080456225</v>
      </c>
      <c r="BV63" s="2">
        <f t="shared" si="53"/>
        <v>181.87830708844791</v>
      </c>
      <c r="BW63" s="2">
        <f t="shared" si="53"/>
        <v>184.0207797824595</v>
      </c>
      <c r="BX63" s="2">
        <f t="shared" si="53"/>
        <v>186.24476391750201</v>
      </c>
      <c r="BY63" s="2">
        <f t="shared" si="53"/>
        <v>188.52928736215489</v>
      </c>
      <c r="BZ63" s="2">
        <f t="shared" si="53"/>
        <v>190.87507307166251</v>
      </c>
      <c r="CA63" s="2">
        <f t="shared" si="53"/>
        <v>193.32183170137739</v>
      </c>
      <c r="CB63" s="2">
        <f t="shared" si="53"/>
        <v>195.87334461066629</v>
      </c>
      <c r="CC63" s="2">
        <f t="shared" si="53"/>
        <v>198.55319317681079</v>
      </c>
      <c r="CD63" s="2">
        <f t="shared" si="53"/>
        <v>201.38148854440971</v>
      </c>
    </row>
    <row r="64" spans="4:82" s="2" customFormat="1" x14ac:dyDescent="0.2">
      <c r="D64" s="2" t="s">
        <v>33</v>
      </c>
      <c r="F64" s="2" t="s">
        <v>6</v>
      </c>
      <c r="G64" s="2">
        <f t="shared" si="46"/>
        <v>1</v>
      </c>
      <c r="H64" s="2">
        <f t="shared" ref="H64:BS67" si="54">P308</f>
        <v>0</v>
      </c>
      <c r="I64" s="2" t="str">
        <f t="shared" si="54"/>
        <v>emission_co2e_ch4_trns_water_borne</v>
      </c>
      <c r="J64" s="2">
        <f t="shared" si="54"/>
        <v>0</v>
      </c>
      <c r="K64" s="2">
        <f t="shared" si="54"/>
        <v>0</v>
      </c>
      <c r="L64" s="2">
        <f t="shared" si="54"/>
        <v>0</v>
      </c>
      <c r="M64" s="2">
        <f t="shared" si="54"/>
        <v>0</v>
      </c>
      <c r="N64" s="2">
        <f t="shared" si="54"/>
        <v>0</v>
      </c>
      <c r="O64" s="2">
        <f t="shared" si="54"/>
        <v>0</v>
      </c>
      <c r="P64" s="2">
        <f t="shared" si="54"/>
        <v>0</v>
      </c>
      <c r="Q64" s="2">
        <f t="shared" si="54"/>
        <v>0</v>
      </c>
      <c r="R64" s="2">
        <f t="shared" si="54"/>
        <v>0</v>
      </c>
      <c r="S64" s="2">
        <f t="shared" si="54"/>
        <v>0</v>
      </c>
      <c r="T64" s="2">
        <f t="shared" si="54"/>
        <v>0</v>
      </c>
      <c r="U64" s="2">
        <f t="shared" si="54"/>
        <v>0</v>
      </c>
      <c r="V64" s="2">
        <f t="shared" si="54"/>
        <v>0</v>
      </c>
      <c r="W64" s="2">
        <f t="shared" si="54"/>
        <v>0</v>
      </c>
      <c r="X64" s="2">
        <f t="shared" si="54"/>
        <v>0</v>
      </c>
      <c r="Y64" s="2">
        <f t="shared" si="54"/>
        <v>0</v>
      </c>
      <c r="Z64" s="2">
        <f t="shared" si="54"/>
        <v>0</v>
      </c>
      <c r="AA64" s="2">
        <f t="shared" si="54"/>
        <v>0</v>
      </c>
      <c r="AB64" s="2">
        <f t="shared" si="54"/>
        <v>0</v>
      </c>
      <c r="AC64" s="2">
        <f t="shared" si="54"/>
        <v>0</v>
      </c>
      <c r="AD64" s="2">
        <f t="shared" si="54"/>
        <v>0</v>
      </c>
      <c r="AE64" s="2">
        <f t="shared" si="54"/>
        <v>0</v>
      </c>
      <c r="AF64" s="2">
        <f t="shared" si="54"/>
        <v>0</v>
      </c>
      <c r="AG64" s="2">
        <f t="shared" si="54"/>
        <v>0</v>
      </c>
      <c r="AH64" s="2">
        <f t="shared" si="54"/>
        <v>0</v>
      </c>
      <c r="AI64" s="2">
        <f t="shared" si="54"/>
        <v>0</v>
      </c>
      <c r="AJ64" s="2">
        <f t="shared" si="54"/>
        <v>0.33687242928099997</v>
      </c>
      <c r="AK64" s="2">
        <f t="shared" si="54"/>
        <v>0.34905494106430002</v>
      </c>
      <c r="AL64" s="2">
        <f t="shared" si="54"/>
        <v>0.36582797282419999</v>
      </c>
      <c r="AM64" s="2">
        <f t="shared" si="54"/>
        <v>0.38657013109799998</v>
      </c>
      <c r="AN64" s="2">
        <f t="shared" si="54"/>
        <v>0.41183421670780002</v>
      </c>
      <c r="AO64" s="2">
        <f t="shared" si="54"/>
        <v>0.44110344847630001</v>
      </c>
      <c r="AP64" s="2">
        <f t="shared" si="54"/>
        <v>0.47625525497280002</v>
      </c>
      <c r="AQ64" s="2">
        <f t="shared" si="54"/>
        <v>0.52349296986320004</v>
      </c>
      <c r="AR64" s="2">
        <f t="shared" si="54"/>
        <v>0.58009273094250002</v>
      </c>
      <c r="AS64" s="2">
        <f t="shared" si="54"/>
        <v>0.64642836187159991</v>
      </c>
      <c r="AT64" s="2">
        <f t="shared" si="54"/>
        <v>0.71884292531599991</v>
      </c>
      <c r="AU64" s="2">
        <f t="shared" si="54"/>
        <v>0.78452631097689995</v>
      </c>
      <c r="AV64" s="2">
        <f t="shared" si="54"/>
        <v>0.85586011509220006</v>
      </c>
      <c r="AW64" s="2">
        <f t="shared" si="54"/>
        <v>0.9332999009645</v>
      </c>
      <c r="AX64" s="2">
        <f t="shared" si="54"/>
        <v>1.0173355810947</v>
      </c>
      <c r="AY64" s="2">
        <f t="shared" si="54"/>
        <v>1.1085177146591001</v>
      </c>
      <c r="AZ64" s="2">
        <f t="shared" si="54"/>
        <v>1.2074189359895</v>
      </c>
      <c r="BA64" s="2">
        <f t="shared" si="54"/>
        <v>1.3146551461722</v>
      </c>
      <c r="BB64" s="2">
        <f t="shared" si="54"/>
        <v>1.4308886399611001</v>
      </c>
      <c r="BC64" s="2">
        <f t="shared" si="54"/>
        <v>1.5568313903641999</v>
      </c>
      <c r="BD64" s="2">
        <f t="shared" si="54"/>
        <v>1.6836436988962</v>
      </c>
      <c r="BE64" s="2">
        <f t="shared" si="54"/>
        <v>1.8096703967836001</v>
      </c>
      <c r="BF64" s="2">
        <f t="shared" si="54"/>
        <v>1.9337427747378</v>
      </c>
      <c r="BG64" s="2">
        <f t="shared" si="54"/>
        <v>2.0534151482363998</v>
      </c>
      <c r="BH64" s="2">
        <f t="shared" si="54"/>
        <v>2.1667402511498999</v>
      </c>
      <c r="BI64" s="2">
        <f t="shared" si="54"/>
        <v>2.2717753401465002</v>
      </c>
      <c r="BJ64" s="2">
        <f t="shared" si="54"/>
        <v>2.3665796368802998</v>
      </c>
      <c r="BK64" s="2">
        <f t="shared" si="54"/>
        <v>2.4601003386828002</v>
      </c>
      <c r="BL64" s="2">
        <f t="shared" si="54"/>
        <v>2.5518735876630001</v>
      </c>
      <c r="BM64" s="2">
        <f t="shared" si="54"/>
        <v>2.6414626358994999</v>
      </c>
      <c r="BN64" s="2">
        <f t="shared" si="54"/>
        <v>2.7283847334639</v>
      </c>
      <c r="BO64" s="2">
        <f t="shared" si="54"/>
        <v>2.8142873613647001</v>
      </c>
      <c r="BP64" s="2">
        <f t="shared" si="54"/>
        <v>2.8967036613756001</v>
      </c>
      <c r="BQ64" s="2">
        <f t="shared" si="54"/>
        <v>2.9751369618044001</v>
      </c>
      <c r="BR64" s="2">
        <f t="shared" si="54"/>
        <v>3.0491495864006999</v>
      </c>
      <c r="BS64" s="2">
        <f t="shared" si="54"/>
        <v>3.1183108510095998</v>
      </c>
      <c r="BT64" s="2">
        <f t="shared" si="53"/>
        <v>3.1821756491689999</v>
      </c>
      <c r="BU64" s="2">
        <f t="shared" si="53"/>
        <v>3.2475192257608998</v>
      </c>
      <c r="BV64" s="2">
        <f t="shared" si="53"/>
        <v>3.3143756638502002</v>
      </c>
      <c r="BW64" s="2">
        <f t="shared" si="53"/>
        <v>3.3828102000439002</v>
      </c>
      <c r="BX64" s="2">
        <f t="shared" si="53"/>
        <v>3.4528962374147998</v>
      </c>
      <c r="BY64" s="2">
        <f t="shared" si="53"/>
        <v>3.5246092790999</v>
      </c>
      <c r="BZ64" s="2">
        <f t="shared" si="53"/>
        <v>3.5979723376658002</v>
      </c>
      <c r="CA64" s="2">
        <f t="shared" si="53"/>
        <v>3.6731004667909999</v>
      </c>
      <c r="CB64" s="2">
        <f t="shared" si="53"/>
        <v>3.7500127004414998</v>
      </c>
      <c r="CC64" s="2">
        <f t="shared" si="53"/>
        <v>3.8287690981911</v>
      </c>
      <c r="CD64" s="2">
        <f t="shared" si="53"/>
        <v>3.9094112881424001</v>
      </c>
    </row>
    <row r="65" spans="3:82" s="2" customFormat="1" x14ac:dyDescent="0.2">
      <c r="D65" s="2" t="s">
        <v>33</v>
      </c>
      <c r="F65" s="2" t="s">
        <v>7</v>
      </c>
      <c r="G65" s="2">
        <f t="shared" si="46"/>
        <v>1</v>
      </c>
      <c r="H65" s="2">
        <f t="shared" si="54"/>
        <v>0</v>
      </c>
      <c r="I65" s="2" t="str">
        <f t="shared" si="54"/>
        <v>emission_co2e_co2_trns_water_borne</v>
      </c>
      <c r="J65" s="2">
        <f t="shared" si="54"/>
        <v>0</v>
      </c>
      <c r="K65" s="2">
        <f t="shared" si="54"/>
        <v>0</v>
      </c>
      <c r="L65" s="2">
        <f t="shared" si="54"/>
        <v>0</v>
      </c>
      <c r="M65" s="2">
        <f t="shared" si="54"/>
        <v>0</v>
      </c>
      <c r="N65" s="2">
        <f t="shared" si="54"/>
        <v>0</v>
      </c>
      <c r="O65" s="2">
        <f t="shared" si="54"/>
        <v>0</v>
      </c>
      <c r="P65" s="2">
        <f t="shared" si="54"/>
        <v>0</v>
      </c>
      <c r="Q65" s="2">
        <f t="shared" si="54"/>
        <v>0</v>
      </c>
      <c r="R65" s="2">
        <f t="shared" si="54"/>
        <v>0</v>
      </c>
      <c r="S65" s="2">
        <f t="shared" si="54"/>
        <v>0</v>
      </c>
      <c r="T65" s="2">
        <f t="shared" si="54"/>
        <v>0</v>
      </c>
      <c r="U65" s="2">
        <f t="shared" si="54"/>
        <v>0</v>
      </c>
      <c r="V65" s="2">
        <f t="shared" si="54"/>
        <v>0</v>
      </c>
      <c r="W65" s="2">
        <f t="shared" si="54"/>
        <v>0</v>
      </c>
      <c r="X65" s="2">
        <f t="shared" si="54"/>
        <v>0</v>
      </c>
      <c r="Y65" s="2">
        <f t="shared" si="54"/>
        <v>0</v>
      </c>
      <c r="Z65" s="2">
        <f t="shared" si="54"/>
        <v>0</v>
      </c>
      <c r="AA65" s="2">
        <f t="shared" si="54"/>
        <v>0</v>
      </c>
      <c r="AB65" s="2">
        <f t="shared" si="54"/>
        <v>0</v>
      </c>
      <c r="AC65" s="2">
        <f t="shared" si="54"/>
        <v>0</v>
      </c>
      <c r="AD65" s="2">
        <f t="shared" si="54"/>
        <v>0</v>
      </c>
      <c r="AE65" s="2">
        <f t="shared" si="54"/>
        <v>0</v>
      </c>
      <c r="AF65" s="2">
        <f t="shared" si="54"/>
        <v>0</v>
      </c>
      <c r="AG65" s="2">
        <f t="shared" si="54"/>
        <v>0</v>
      </c>
      <c r="AH65" s="2">
        <f t="shared" si="54"/>
        <v>0</v>
      </c>
      <c r="AI65" s="2">
        <f t="shared" si="54"/>
        <v>0</v>
      </c>
      <c r="AJ65" s="2">
        <f t="shared" si="54"/>
        <v>235.43320830518201</v>
      </c>
      <c r="AK65" s="2">
        <f t="shared" si="54"/>
        <v>243.94731508582001</v>
      </c>
      <c r="AL65" s="2">
        <f t="shared" si="54"/>
        <v>255.66964180956199</v>
      </c>
      <c r="AM65" s="2">
        <f t="shared" si="54"/>
        <v>270.16590937289499</v>
      </c>
      <c r="AN65" s="2">
        <f t="shared" si="54"/>
        <v>287.82245889435001</v>
      </c>
      <c r="AO65" s="2">
        <f t="shared" si="54"/>
        <v>308.278122643968</v>
      </c>
      <c r="AP65" s="2">
        <f t="shared" si="54"/>
        <v>332.84499681305903</v>
      </c>
      <c r="AQ65" s="2">
        <f t="shared" si="54"/>
        <v>365.85846364205503</v>
      </c>
      <c r="AR65" s="2">
        <f t="shared" si="54"/>
        <v>405.41487189024201</v>
      </c>
      <c r="AS65" s="2">
        <f t="shared" si="54"/>
        <v>451.77547922135602</v>
      </c>
      <c r="AT65" s="2">
        <f t="shared" si="54"/>
        <v>502.38452738867602</v>
      </c>
      <c r="AU65" s="2">
        <f t="shared" si="54"/>
        <v>548.28929392448106</v>
      </c>
      <c r="AV65" s="2">
        <f t="shared" si="54"/>
        <v>598.14302163775506</v>
      </c>
      <c r="AW65" s="2">
        <f t="shared" si="54"/>
        <v>652.26409434555796</v>
      </c>
      <c r="AX65" s="2">
        <f t="shared" si="54"/>
        <v>710.99490181288502</v>
      </c>
      <c r="AY65" s="2">
        <f t="shared" si="54"/>
        <v>774.72021851802901</v>
      </c>
      <c r="AZ65" s="2">
        <f t="shared" si="54"/>
        <v>843.84024681130893</v>
      </c>
      <c r="BA65" s="2">
        <f t="shared" si="54"/>
        <v>918.78542728712193</v>
      </c>
      <c r="BB65" s="2">
        <f t="shared" si="54"/>
        <v>1000.01862411971</v>
      </c>
      <c r="BC65" s="2">
        <f t="shared" si="54"/>
        <v>1088.03742059247</v>
      </c>
      <c r="BD65" s="2">
        <f t="shared" si="54"/>
        <v>1176.6639333468199</v>
      </c>
      <c r="BE65" s="2">
        <f t="shared" si="54"/>
        <v>1264.7413989888601</v>
      </c>
      <c r="BF65" s="2">
        <f t="shared" si="54"/>
        <v>1351.4530306476399</v>
      </c>
      <c r="BG65" s="2">
        <f t="shared" si="54"/>
        <v>1435.08958974031</v>
      </c>
      <c r="BH65" s="2">
        <f t="shared" si="54"/>
        <v>1514.29017204195</v>
      </c>
      <c r="BI65" s="2">
        <f t="shared" si="54"/>
        <v>1587.6970342179</v>
      </c>
      <c r="BJ65" s="2">
        <f t="shared" si="54"/>
        <v>1653.9538062214201</v>
      </c>
      <c r="BK65" s="2">
        <f t="shared" si="54"/>
        <v>1719.3135001426999</v>
      </c>
      <c r="BL65" s="2">
        <f t="shared" si="54"/>
        <v>1783.4519352473401</v>
      </c>
      <c r="BM65" s="2">
        <f t="shared" si="54"/>
        <v>1846.0638774010499</v>
      </c>
      <c r="BN65" s="2">
        <f t="shared" si="54"/>
        <v>1906.8119426133601</v>
      </c>
      <c r="BO65" s="2">
        <f t="shared" si="54"/>
        <v>1966.8475214575601</v>
      </c>
      <c r="BP65" s="2">
        <f t="shared" si="54"/>
        <v>2024.44657748485</v>
      </c>
      <c r="BQ65" s="2">
        <f t="shared" si="54"/>
        <v>2079.26199707056</v>
      </c>
      <c r="BR65" s="2">
        <f t="shared" si="54"/>
        <v>2130.9878972903898</v>
      </c>
      <c r="BS65" s="2">
        <f t="shared" si="54"/>
        <v>2179.3232818514298</v>
      </c>
      <c r="BT65" s="2">
        <f t="shared" si="53"/>
        <v>2223.9570750073199</v>
      </c>
      <c r="BU65" s="2">
        <f t="shared" si="53"/>
        <v>2269.6243559777499</v>
      </c>
      <c r="BV65" s="2">
        <f t="shared" si="53"/>
        <v>2316.3489447153902</v>
      </c>
      <c r="BW65" s="2">
        <f t="shared" si="53"/>
        <v>2364.1764337424602</v>
      </c>
      <c r="BX65" s="2">
        <f t="shared" si="53"/>
        <v>2413.1581229559602</v>
      </c>
      <c r="BY65" s="2">
        <f t="shared" si="53"/>
        <v>2463.27689200232</v>
      </c>
      <c r="BZ65" s="2">
        <f t="shared" si="53"/>
        <v>2514.5488238909602</v>
      </c>
      <c r="CA65" s="2">
        <f t="shared" si="53"/>
        <v>2567.0543272699701</v>
      </c>
      <c r="CB65" s="2">
        <f t="shared" si="53"/>
        <v>2620.8067045865</v>
      </c>
      <c r="CC65" s="2">
        <f t="shared" si="53"/>
        <v>2675.84793024073</v>
      </c>
      <c r="CD65" s="2">
        <f t="shared" si="53"/>
        <v>2732.2070972568799</v>
      </c>
    </row>
    <row r="66" spans="3:82" s="2" customFormat="1" x14ac:dyDescent="0.2">
      <c r="D66" s="2" t="s">
        <v>33</v>
      </c>
      <c r="F66" s="2" t="s">
        <v>8</v>
      </c>
      <c r="G66" s="2">
        <f t="shared" si="46"/>
        <v>1</v>
      </c>
      <c r="H66" s="2">
        <f t="shared" si="54"/>
        <v>0</v>
      </c>
      <c r="I66" s="2" t="str">
        <f t="shared" si="54"/>
        <v>emission_co2e_n2o_trns_water_borne</v>
      </c>
      <c r="J66" s="2">
        <f t="shared" si="54"/>
        <v>0</v>
      </c>
      <c r="K66" s="2">
        <f t="shared" si="54"/>
        <v>0</v>
      </c>
      <c r="L66" s="2">
        <f t="shared" si="54"/>
        <v>0</v>
      </c>
      <c r="M66" s="2">
        <f t="shared" si="54"/>
        <v>0</v>
      </c>
      <c r="N66" s="2">
        <f t="shared" si="54"/>
        <v>0</v>
      </c>
      <c r="O66" s="2">
        <f t="shared" si="54"/>
        <v>0</v>
      </c>
      <c r="P66" s="2">
        <f t="shared" si="54"/>
        <v>0</v>
      </c>
      <c r="Q66" s="2">
        <f t="shared" si="54"/>
        <v>0</v>
      </c>
      <c r="R66" s="2">
        <f t="shared" si="54"/>
        <v>0</v>
      </c>
      <c r="S66" s="2">
        <f t="shared" si="54"/>
        <v>0</v>
      </c>
      <c r="T66" s="2">
        <f t="shared" si="54"/>
        <v>0</v>
      </c>
      <c r="U66" s="2">
        <f t="shared" si="54"/>
        <v>0</v>
      </c>
      <c r="V66" s="2">
        <f t="shared" si="54"/>
        <v>0</v>
      </c>
      <c r="W66" s="2">
        <f t="shared" si="54"/>
        <v>0</v>
      </c>
      <c r="X66" s="2">
        <f t="shared" si="54"/>
        <v>0</v>
      </c>
      <c r="Y66" s="2">
        <f t="shared" si="54"/>
        <v>0</v>
      </c>
      <c r="Z66" s="2">
        <f t="shared" si="54"/>
        <v>0</v>
      </c>
      <c r="AA66" s="2">
        <f t="shared" si="54"/>
        <v>0</v>
      </c>
      <c r="AB66" s="2">
        <f t="shared" si="54"/>
        <v>0</v>
      </c>
      <c r="AC66" s="2">
        <f t="shared" si="54"/>
        <v>0</v>
      </c>
      <c r="AD66" s="2">
        <f t="shared" si="54"/>
        <v>0</v>
      </c>
      <c r="AE66" s="2">
        <f t="shared" si="54"/>
        <v>0</v>
      </c>
      <c r="AF66" s="2">
        <f t="shared" si="54"/>
        <v>0</v>
      </c>
      <c r="AG66" s="2">
        <f t="shared" si="54"/>
        <v>0</v>
      </c>
      <c r="AH66" s="2">
        <f t="shared" si="54"/>
        <v>0</v>
      </c>
      <c r="AI66" s="2">
        <f t="shared" si="54"/>
        <v>0</v>
      </c>
      <c r="AJ66" s="2">
        <f t="shared" si="54"/>
        <v>0.68914996274020002</v>
      </c>
      <c r="AK66" s="2">
        <f t="shared" si="54"/>
        <v>0.71407208996630001</v>
      </c>
      <c r="AL66" s="2">
        <f t="shared" si="54"/>
        <v>0.7483851806431</v>
      </c>
      <c r="AM66" s="2">
        <f t="shared" si="54"/>
        <v>0.79081803165449993</v>
      </c>
      <c r="AN66" s="2">
        <f t="shared" si="54"/>
        <v>0.84250152410839996</v>
      </c>
      <c r="AO66" s="2">
        <f t="shared" si="54"/>
        <v>0.90237846335729999</v>
      </c>
      <c r="AP66" s="2">
        <f t="shared" si="54"/>
        <v>0.9742895609469</v>
      </c>
      <c r="AQ66" s="2">
        <f t="shared" si="54"/>
        <v>1.0709251613319</v>
      </c>
      <c r="AR66" s="2">
        <f t="shared" si="54"/>
        <v>1.1867129784654</v>
      </c>
      <c r="AS66" s="2">
        <f t="shared" si="54"/>
        <v>1.3224177545453</v>
      </c>
      <c r="AT66" s="2">
        <f t="shared" si="54"/>
        <v>1.4705583839403999</v>
      </c>
      <c r="AU66" s="2">
        <f t="shared" si="54"/>
        <v>1.6049288424474</v>
      </c>
      <c r="AV66" s="2">
        <f t="shared" si="54"/>
        <v>1.7508585302913</v>
      </c>
      <c r="AW66" s="2">
        <f t="shared" si="54"/>
        <v>1.9092794068896</v>
      </c>
      <c r="AX66" s="2">
        <f t="shared" si="54"/>
        <v>2.0811937008380998</v>
      </c>
      <c r="AY66" s="2">
        <f t="shared" si="54"/>
        <v>2.2677277074428002</v>
      </c>
      <c r="AZ66" s="2">
        <f t="shared" si="54"/>
        <v>2.4700528818130998</v>
      </c>
      <c r="BA66" s="2">
        <f t="shared" si="54"/>
        <v>2.6894291911464001</v>
      </c>
      <c r="BB66" s="2">
        <f t="shared" si="54"/>
        <v>2.9272115115481001</v>
      </c>
      <c r="BC66" s="2">
        <f t="shared" si="54"/>
        <v>3.1848563474075999</v>
      </c>
      <c r="BD66" s="2">
        <f t="shared" si="54"/>
        <v>3.4442800642321001</v>
      </c>
      <c r="BE66" s="2">
        <f t="shared" si="54"/>
        <v>3.7020966339608998</v>
      </c>
      <c r="BF66" s="2">
        <f t="shared" si="54"/>
        <v>3.9559151931902998</v>
      </c>
      <c r="BG66" s="2">
        <f t="shared" si="54"/>
        <v>4.2007325322451994</v>
      </c>
      <c r="BH66" s="2">
        <f t="shared" si="54"/>
        <v>4.4325650708030002</v>
      </c>
      <c r="BI66" s="2">
        <f t="shared" si="54"/>
        <v>4.6474384809628999</v>
      </c>
      <c r="BJ66" s="2">
        <f t="shared" si="54"/>
        <v>4.8413824546538997</v>
      </c>
      <c r="BK66" s="2">
        <f t="shared" si="54"/>
        <v>5.0327005399606</v>
      </c>
      <c r="BL66" s="2">
        <f t="shared" si="54"/>
        <v>5.2204438089784997</v>
      </c>
      <c r="BM66" s="2">
        <f t="shared" si="54"/>
        <v>5.403718793476</v>
      </c>
      <c r="BN66" s="2">
        <f t="shared" si="54"/>
        <v>5.5815379175451003</v>
      </c>
      <c r="BO66" s="2">
        <f t="shared" si="54"/>
        <v>5.7572714821573001</v>
      </c>
      <c r="BP66" s="2">
        <f t="shared" si="54"/>
        <v>5.9258729619606001</v>
      </c>
      <c r="BQ66" s="2">
        <f t="shared" si="54"/>
        <v>6.0863263008801001</v>
      </c>
      <c r="BR66" s="2">
        <f t="shared" si="54"/>
        <v>6.2377361315739002</v>
      </c>
      <c r="BS66" s="2">
        <f t="shared" si="54"/>
        <v>6.3792213906377002</v>
      </c>
      <c r="BT66" s="2">
        <f t="shared" si="53"/>
        <v>6.5098715105241993</v>
      </c>
      <c r="BU66" s="2">
        <f t="shared" si="53"/>
        <v>6.6435468114970986</v>
      </c>
      <c r="BV66" s="2">
        <f t="shared" si="53"/>
        <v>6.7803170182976</v>
      </c>
      <c r="BW66" s="2">
        <f t="shared" si="53"/>
        <v>6.9203155873959998</v>
      </c>
      <c r="BX66" s="2">
        <f t="shared" si="53"/>
        <v>7.0636926816446</v>
      </c>
      <c r="BY66" s="2">
        <f t="shared" si="53"/>
        <v>7.2103981870808997</v>
      </c>
      <c r="BZ66" s="2">
        <f t="shared" si="53"/>
        <v>7.3604791811982002</v>
      </c>
      <c r="CA66" s="2">
        <f t="shared" si="53"/>
        <v>7.5141710327334996</v>
      </c>
      <c r="CB66" s="2">
        <f t="shared" si="53"/>
        <v>7.6715126800377993</v>
      </c>
      <c r="CC66" s="2">
        <f t="shared" si="53"/>
        <v>7.8326269887703992</v>
      </c>
      <c r="CD66" s="2">
        <f t="shared" si="53"/>
        <v>7.9975991187807001</v>
      </c>
    </row>
    <row r="67" spans="3:82" s="2" customFormat="1" x14ac:dyDescent="0.2">
      <c r="D67" s="2" t="s">
        <v>34</v>
      </c>
      <c r="F67" s="2" t="s">
        <v>6</v>
      </c>
      <c r="G67" s="2">
        <f t="shared" si="46"/>
        <v>1</v>
      </c>
      <c r="H67" s="2">
        <f t="shared" si="54"/>
        <v>0</v>
      </c>
      <c r="I67" s="2" t="str">
        <f t="shared" si="54"/>
        <v>emission_co2e_ch4_trns_human_powered</v>
      </c>
      <c r="J67" s="2">
        <f t="shared" si="54"/>
        <v>0</v>
      </c>
      <c r="K67" s="2">
        <f t="shared" si="54"/>
        <v>0</v>
      </c>
      <c r="L67" s="2">
        <f t="shared" si="54"/>
        <v>0</v>
      </c>
      <c r="M67" s="2">
        <f t="shared" si="54"/>
        <v>0</v>
      </c>
      <c r="N67" s="2">
        <f t="shared" si="54"/>
        <v>0</v>
      </c>
      <c r="O67" s="2">
        <f t="shared" si="54"/>
        <v>0</v>
      </c>
      <c r="P67" s="2">
        <f t="shared" si="54"/>
        <v>0</v>
      </c>
      <c r="Q67" s="2">
        <f t="shared" si="54"/>
        <v>0</v>
      </c>
      <c r="R67" s="2">
        <f t="shared" si="54"/>
        <v>0</v>
      </c>
      <c r="S67" s="2">
        <f t="shared" si="54"/>
        <v>0</v>
      </c>
      <c r="T67" s="2">
        <f t="shared" si="54"/>
        <v>0</v>
      </c>
      <c r="U67" s="2">
        <f t="shared" si="54"/>
        <v>0</v>
      </c>
      <c r="V67" s="2">
        <f t="shared" si="54"/>
        <v>0</v>
      </c>
      <c r="W67" s="2">
        <f t="shared" si="54"/>
        <v>0</v>
      </c>
      <c r="X67" s="2">
        <f t="shared" si="54"/>
        <v>0</v>
      </c>
      <c r="Y67" s="2">
        <f t="shared" si="54"/>
        <v>0</v>
      </c>
      <c r="Z67" s="2">
        <f t="shared" si="54"/>
        <v>0</v>
      </c>
      <c r="AA67" s="2">
        <f t="shared" si="54"/>
        <v>0</v>
      </c>
      <c r="AB67" s="2">
        <f t="shared" si="54"/>
        <v>0</v>
      </c>
      <c r="AC67" s="2">
        <f t="shared" si="54"/>
        <v>0</v>
      </c>
      <c r="AD67" s="2">
        <f t="shared" si="54"/>
        <v>0</v>
      </c>
      <c r="AE67" s="2">
        <f t="shared" si="54"/>
        <v>0</v>
      </c>
      <c r="AF67" s="2">
        <f t="shared" si="54"/>
        <v>0</v>
      </c>
      <c r="AG67" s="2">
        <f t="shared" si="54"/>
        <v>0</v>
      </c>
      <c r="AH67" s="2">
        <f t="shared" si="54"/>
        <v>0</v>
      </c>
      <c r="AI67" s="2">
        <f t="shared" si="54"/>
        <v>0</v>
      </c>
      <c r="AJ67" s="2">
        <f t="shared" si="54"/>
        <v>0</v>
      </c>
      <c r="AK67" s="2">
        <f t="shared" si="54"/>
        <v>0</v>
      </c>
      <c r="AL67" s="2">
        <f t="shared" si="54"/>
        <v>0</v>
      </c>
      <c r="AM67" s="2">
        <f t="shared" si="54"/>
        <v>0</v>
      </c>
      <c r="AN67" s="2">
        <f t="shared" si="54"/>
        <v>0</v>
      </c>
      <c r="AO67" s="2">
        <f t="shared" si="54"/>
        <v>0</v>
      </c>
      <c r="AP67" s="2">
        <f t="shared" si="54"/>
        <v>0</v>
      </c>
      <c r="AQ67" s="2">
        <f t="shared" si="54"/>
        <v>0</v>
      </c>
      <c r="AR67" s="2">
        <f t="shared" si="54"/>
        <v>0</v>
      </c>
      <c r="AS67" s="2">
        <f t="shared" si="54"/>
        <v>0</v>
      </c>
      <c r="AT67" s="2">
        <f t="shared" si="54"/>
        <v>0</v>
      </c>
      <c r="AU67" s="2">
        <f t="shared" si="54"/>
        <v>0</v>
      </c>
      <c r="AV67" s="2">
        <f t="shared" si="54"/>
        <v>0</v>
      </c>
      <c r="AW67" s="2">
        <f t="shared" si="54"/>
        <v>0</v>
      </c>
      <c r="AX67" s="2">
        <f t="shared" si="54"/>
        <v>0</v>
      </c>
      <c r="AY67" s="2">
        <f t="shared" si="54"/>
        <v>0</v>
      </c>
      <c r="AZ67" s="2">
        <f t="shared" si="54"/>
        <v>0</v>
      </c>
      <c r="BA67" s="2">
        <f t="shared" si="54"/>
        <v>0</v>
      </c>
      <c r="BB67" s="2">
        <f t="shared" si="54"/>
        <v>0</v>
      </c>
      <c r="BC67" s="2">
        <f t="shared" si="54"/>
        <v>0</v>
      </c>
      <c r="BD67" s="2">
        <f t="shared" si="54"/>
        <v>0</v>
      </c>
      <c r="BE67" s="2">
        <f t="shared" si="54"/>
        <v>0</v>
      </c>
      <c r="BF67" s="2">
        <f t="shared" si="54"/>
        <v>0</v>
      </c>
      <c r="BG67" s="2">
        <f t="shared" si="54"/>
        <v>0</v>
      </c>
      <c r="BH67" s="2">
        <f t="shared" si="54"/>
        <v>0</v>
      </c>
      <c r="BI67" s="2">
        <f t="shared" si="54"/>
        <v>0</v>
      </c>
      <c r="BJ67" s="2">
        <f t="shared" si="54"/>
        <v>0</v>
      </c>
      <c r="BK67" s="2">
        <f t="shared" si="54"/>
        <v>0</v>
      </c>
      <c r="BL67" s="2">
        <f t="shared" si="54"/>
        <v>0</v>
      </c>
      <c r="BM67" s="2">
        <f t="shared" si="54"/>
        <v>0</v>
      </c>
      <c r="BN67" s="2">
        <f t="shared" si="54"/>
        <v>0</v>
      </c>
      <c r="BO67" s="2">
        <f t="shared" si="54"/>
        <v>0</v>
      </c>
      <c r="BP67" s="2">
        <f t="shared" si="54"/>
        <v>0</v>
      </c>
      <c r="BQ67" s="2">
        <f t="shared" si="54"/>
        <v>0</v>
      </c>
      <c r="BR67" s="2">
        <f t="shared" si="54"/>
        <v>0</v>
      </c>
      <c r="BS67" s="2">
        <f t="shared" ref="BS67:CD69" si="55">CA311</f>
        <v>0</v>
      </c>
      <c r="BT67" s="2">
        <f t="shared" si="55"/>
        <v>0</v>
      </c>
      <c r="BU67" s="2">
        <f t="shared" si="55"/>
        <v>0</v>
      </c>
      <c r="BV67" s="2">
        <f t="shared" si="55"/>
        <v>0</v>
      </c>
      <c r="BW67" s="2">
        <f t="shared" si="55"/>
        <v>0</v>
      </c>
      <c r="BX67" s="2">
        <f t="shared" si="55"/>
        <v>0</v>
      </c>
      <c r="BY67" s="2">
        <f t="shared" si="55"/>
        <v>0</v>
      </c>
      <c r="BZ67" s="2">
        <f t="shared" si="55"/>
        <v>0</v>
      </c>
      <c r="CA67" s="2">
        <f t="shared" si="55"/>
        <v>0</v>
      </c>
      <c r="CB67" s="2">
        <f t="shared" si="55"/>
        <v>0</v>
      </c>
      <c r="CC67" s="2">
        <f t="shared" si="55"/>
        <v>0</v>
      </c>
      <c r="CD67" s="2">
        <f t="shared" si="55"/>
        <v>0</v>
      </c>
    </row>
    <row r="68" spans="3:82" s="2" customFormat="1" x14ac:dyDescent="0.2">
      <c r="D68" s="2" t="s">
        <v>34</v>
      </c>
      <c r="F68" s="2" t="s">
        <v>7</v>
      </c>
      <c r="G68" s="2">
        <f t="shared" si="46"/>
        <v>1</v>
      </c>
      <c r="H68" s="2">
        <f t="shared" ref="H68:Q69" si="56">P312</f>
        <v>0</v>
      </c>
      <c r="I68" s="2" t="str">
        <f t="shared" si="56"/>
        <v>emission_co2e_co2_trns_human_powered</v>
      </c>
      <c r="J68" s="2">
        <f t="shared" si="56"/>
        <v>0</v>
      </c>
      <c r="K68" s="2">
        <f t="shared" si="56"/>
        <v>0</v>
      </c>
      <c r="L68" s="2">
        <f t="shared" si="56"/>
        <v>0</v>
      </c>
      <c r="M68" s="2">
        <f t="shared" si="56"/>
        <v>0</v>
      </c>
      <c r="N68" s="2">
        <f t="shared" si="56"/>
        <v>0</v>
      </c>
      <c r="O68" s="2">
        <f t="shared" si="56"/>
        <v>0</v>
      </c>
      <c r="P68" s="2">
        <f t="shared" si="56"/>
        <v>0</v>
      </c>
      <c r="Q68" s="2">
        <f t="shared" si="56"/>
        <v>0</v>
      </c>
      <c r="R68" s="2">
        <f t="shared" ref="R68:AA69" si="57">Z312</f>
        <v>0</v>
      </c>
      <c r="S68" s="2">
        <f t="shared" si="57"/>
        <v>0</v>
      </c>
      <c r="T68" s="2">
        <f t="shared" si="57"/>
        <v>0</v>
      </c>
      <c r="U68" s="2">
        <f t="shared" si="57"/>
        <v>0</v>
      </c>
      <c r="V68" s="2">
        <f t="shared" si="57"/>
        <v>0</v>
      </c>
      <c r="W68" s="2">
        <f t="shared" si="57"/>
        <v>0</v>
      </c>
      <c r="X68" s="2">
        <f t="shared" si="57"/>
        <v>0</v>
      </c>
      <c r="Y68" s="2">
        <f t="shared" si="57"/>
        <v>0</v>
      </c>
      <c r="Z68" s="2">
        <f t="shared" si="57"/>
        <v>0</v>
      </c>
      <c r="AA68" s="2">
        <f t="shared" si="57"/>
        <v>0</v>
      </c>
      <c r="AB68" s="2">
        <f t="shared" ref="AB68:AK69" si="58">AJ312</f>
        <v>0</v>
      </c>
      <c r="AC68" s="2">
        <f t="shared" si="58"/>
        <v>0</v>
      </c>
      <c r="AD68" s="2">
        <f t="shared" si="58"/>
        <v>0</v>
      </c>
      <c r="AE68" s="2">
        <f t="shared" si="58"/>
        <v>0</v>
      </c>
      <c r="AF68" s="2">
        <f t="shared" si="58"/>
        <v>0</v>
      </c>
      <c r="AG68" s="2">
        <f t="shared" si="58"/>
        <v>0</v>
      </c>
      <c r="AH68" s="2">
        <f t="shared" si="58"/>
        <v>0</v>
      </c>
      <c r="AI68" s="2">
        <f t="shared" si="58"/>
        <v>0</v>
      </c>
      <c r="AJ68" s="2">
        <f t="shared" si="58"/>
        <v>0</v>
      </c>
      <c r="AK68" s="2">
        <f t="shared" si="58"/>
        <v>0</v>
      </c>
      <c r="AL68" s="2">
        <f t="shared" ref="AL68:AU69" si="59">AT312</f>
        <v>0</v>
      </c>
      <c r="AM68" s="2">
        <f t="shared" si="59"/>
        <v>0</v>
      </c>
      <c r="AN68" s="2">
        <f t="shared" si="59"/>
        <v>0</v>
      </c>
      <c r="AO68" s="2">
        <f t="shared" si="59"/>
        <v>0</v>
      </c>
      <c r="AP68" s="2">
        <f t="shared" si="59"/>
        <v>0</v>
      </c>
      <c r="AQ68" s="2">
        <f t="shared" si="59"/>
        <v>0</v>
      </c>
      <c r="AR68" s="2">
        <f t="shared" si="59"/>
        <v>0</v>
      </c>
      <c r="AS68" s="2">
        <f t="shared" si="59"/>
        <v>0</v>
      </c>
      <c r="AT68" s="2">
        <f t="shared" si="59"/>
        <v>0</v>
      </c>
      <c r="AU68" s="2">
        <f t="shared" si="59"/>
        <v>0</v>
      </c>
      <c r="AV68" s="2">
        <f t="shared" ref="AV68:BE69" si="60">BD312</f>
        <v>0</v>
      </c>
      <c r="AW68" s="2">
        <f t="shared" si="60"/>
        <v>0</v>
      </c>
      <c r="AX68" s="2">
        <f t="shared" si="60"/>
        <v>0</v>
      </c>
      <c r="AY68" s="2">
        <f t="shared" si="60"/>
        <v>0</v>
      </c>
      <c r="AZ68" s="2">
        <f t="shared" si="60"/>
        <v>0</v>
      </c>
      <c r="BA68" s="2">
        <f t="shared" si="60"/>
        <v>0</v>
      </c>
      <c r="BB68" s="2">
        <f t="shared" si="60"/>
        <v>0</v>
      </c>
      <c r="BC68" s="2">
        <f t="shared" si="60"/>
        <v>0</v>
      </c>
      <c r="BD68" s="2">
        <f t="shared" si="60"/>
        <v>0</v>
      </c>
      <c r="BE68" s="2">
        <f t="shared" si="60"/>
        <v>0</v>
      </c>
      <c r="BF68" s="2">
        <f t="shared" ref="BF68:BO69" si="61">BN312</f>
        <v>0</v>
      </c>
      <c r="BG68" s="2">
        <f t="shared" si="61"/>
        <v>0</v>
      </c>
      <c r="BH68" s="2">
        <f t="shared" si="61"/>
        <v>0</v>
      </c>
      <c r="BI68" s="2">
        <f t="shared" si="61"/>
        <v>0</v>
      </c>
      <c r="BJ68" s="2">
        <f t="shared" si="61"/>
        <v>0</v>
      </c>
      <c r="BK68" s="2">
        <f t="shared" si="61"/>
        <v>0</v>
      </c>
      <c r="BL68" s="2">
        <f t="shared" si="61"/>
        <v>0</v>
      </c>
      <c r="BM68" s="2">
        <f t="shared" si="61"/>
        <v>0</v>
      </c>
      <c r="BN68" s="2">
        <f t="shared" si="61"/>
        <v>0</v>
      </c>
      <c r="BO68" s="2">
        <f t="shared" si="61"/>
        <v>0</v>
      </c>
      <c r="BP68" s="2">
        <f t="shared" ref="BP68:BY69" si="62">BX312</f>
        <v>0</v>
      </c>
      <c r="BQ68" s="2">
        <f t="shared" si="62"/>
        <v>0</v>
      </c>
      <c r="BR68" s="2">
        <f t="shared" si="62"/>
        <v>0</v>
      </c>
      <c r="BS68" s="2">
        <f t="shared" si="55"/>
        <v>0</v>
      </c>
      <c r="BT68" s="2">
        <f t="shared" si="55"/>
        <v>0</v>
      </c>
      <c r="BU68" s="2">
        <f t="shared" si="55"/>
        <v>0</v>
      </c>
      <c r="BV68" s="2">
        <f t="shared" si="55"/>
        <v>0</v>
      </c>
      <c r="BW68" s="2">
        <f t="shared" si="55"/>
        <v>0</v>
      </c>
      <c r="BX68" s="2">
        <f t="shared" si="55"/>
        <v>0</v>
      </c>
      <c r="BY68" s="2">
        <f t="shared" si="55"/>
        <v>0</v>
      </c>
      <c r="BZ68" s="2">
        <f t="shared" si="55"/>
        <v>0</v>
      </c>
      <c r="CA68" s="2">
        <f t="shared" si="55"/>
        <v>0</v>
      </c>
      <c r="CB68" s="2">
        <f t="shared" si="55"/>
        <v>0</v>
      </c>
      <c r="CC68" s="2">
        <f t="shared" si="55"/>
        <v>0</v>
      </c>
      <c r="CD68" s="2">
        <f t="shared" si="55"/>
        <v>0</v>
      </c>
    </row>
    <row r="69" spans="3:82" s="2" customFormat="1" x14ac:dyDescent="0.2">
      <c r="D69" s="2" t="s">
        <v>34</v>
      </c>
      <c r="F69" s="2" t="s">
        <v>8</v>
      </c>
      <c r="G69" s="2">
        <f t="shared" si="46"/>
        <v>1</v>
      </c>
      <c r="H69" s="2">
        <f t="shared" si="56"/>
        <v>0</v>
      </c>
      <c r="I69" s="2" t="str">
        <f t="shared" si="56"/>
        <v>emission_co2e_n2o_trns_human_powered</v>
      </c>
      <c r="J69" s="2">
        <f t="shared" si="56"/>
        <v>0</v>
      </c>
      <c r="K69" s="2">
        <f t="shared" si="56"/>
        <v>0</v>
      </c>
      <c r="L69" s="2">
        <f t="shared" si="56"/>
        <v>0</v>
      </c>
      <c r="M69" s="2">
        <f t="shared" si="56"/>
        <v>0</v>
      </c>
      <c r="N69" s="2">
        <f t="shared" si="56"/>
        <v>0</v>
      </c>
      <c r="O69" s="2">
        <f t="shared" si="56"/>
        <v>0</v>
      </c>
      <c r="P69" s="2">
        <f t="shared" si="56"/>
        <v>0</v>
      </c>
      <c r="Q69" s="2">
        <f t="shared" si="56"/>
        <v>0</v>
      </c>
      <c r="R69" s="2">
        <f t="shared" si="57"/>
        <v>0</v>
      </c>
      <c r="S69" s="2">
        <f t="shared" si="57"/>
        <v>0</v>
      </c>
      <c r="T69" s="2">
        <f t="shared" si="57"/>
        <v>0</v>
      </c>
      <c r="U69" s="2">
        <f t="shared" si="57"/>
        <v>0</v>
      </c>
      <c r="V69" s="2">
        <f t="shared" si="57"/>
        <v>0</v>
      </c>
      <c r="W69" s="2">
        <f t="shared" si="57"/>
        <v>0</v>
      </c>
      <c r="X69" s="2">
        <f t="shared" si="57"/>
        <v>0</v>
      </c>
      <c r="Y69" s="2">
        <f t="shared" si="57"/>
        <v>0</v>
      </c>
      <c r="Z69" s="2">
        <f t="shared" si="57"/>
        <v>0</v>
      </c>
      <c r="AA69" s="2">
        <f t="shared" si="57"/>
        <v>0</v>
      </c>
      <c r="AB69" s="2">
        <f t="shared" si="58"/>
        <v>0</v>
      </c>
      <c r="AC69" s="2">
        <f t="shared" si="58"/>
        <v>0</v>
      </c>
      <c r="AD69" s="2">
        <f t="shared" si="58"/>
        <v>0</v>
      </c>
      <c r="AE69" s="2">
        <f t="shared" si="58"/>
        <v>0</v>
      </c>
      <c r="AF69" s="2">
        <f t="shared" si="58"/>
        <v>0</v>
      </c>
      <c r="AG69" s="2">
        <f t="shared" si="58"/>
        <v>0</v>
      </c>
      <c r="AH69" s="2">
        <f t="shared" si="58"/>
        <v>0</v>
      </c>
      <c r="AI69" s="2">
        <f t="shared" si="58"/>
        <v>0</v>
      </c>
      <c r="AJ69" s="2">
        <f t="shared" si="58"/>
        <v>0</v>
      </c>
      <c r="AK69" s="2">
        <f t="shared" si="58"/>
        <v>0</v>
      </c>
      <c r="AL69" s="2">
        <f t="shared" si="59"/>
        <v>0</v>
      </c>
      <c r="AM69" s="2">
        <f t="shared" si="59"/>
        <v>0</v>
      </c>
      <c r="AN69" s="2">
        <f t="shared" si="59"/>
        <v>0</v>
      </c>
      <c r="AO69" s="2">
        <f t="shared" si="59"/>
        <v>0</v>
      </c>
      <c r="AP69" s="2">
        <f t="shared" si="59"/>
        <v>0</v>
      </c>
      <c r="AQ69" s="2">
        <f t="shared" si="59"/>
        <v>0</v>
      </c>
      <c r="AR69" s="2">
        <f t="shared" si="59"/>
        <v>0</v>
      </c>
      <c r="AS69" s="2">
        <f t="shared" si="59"/>
        <v>0</v>
      </c>
      <c r="AT69" s="2">
        <f t="shared" si="59"/>
        <v>0</v>
      </c>
      <c r="AU69" s="2">
        <f t="shared" si="59"/>
        <v>0</v>
      </c>
      <c r="AV69" s="2">
        <f t="shared" si="60"/>
        <v>0</v>
      </c>
      <c r="AW69" s="2">
        <f t="shared" si="60"/>
        <v>0</v>
      </c>
      <c r="AX69" s="2">
        <f t="shared" si="60"/>
        <v>0</v>
      </c>
      <c r="AY69" s="2">
        <f t="shared" si="60"/>
        <v>0</v>
      </c>
      <c r="AZ69" s="2">
        <f t="shared" si="60"/>
        <v>0</v>
      </c>
      <c r="BA69" s="2">
        <f t="shared" si="60"/>
        <v>0</v>
      </c>
      <c r="BB69" s="2">
        <f t="shared" si="60"/>
        <v>0</v>
      </c>
      <c r="BC69" s="2">
        <f t="shared" si="60"/>
        <v>0</v>
      </c>
      <c r="BD69" s="2">
        <f t="shared" si="60"/>
        <v>0</v>
      </c>
      <c r="BE69" s="2">
        <f t="shared" si="60"/>
        <v>0</v>
      </c>
      <c r="BF69" s="2">
        <f t="shared" si="61"/>
        <v>0</v>
      </c>
      <c r="BG69" s="2">
        <f t="shared" si="61"/>
        <v>0</v>
      </c>
      <c r="BH69" s="2">
        <f t="shared" si="61"/>
        <v>0</v>
      </c>
      <c r="BI69" s="2">
        <f t="shared" si="61"/>
        <v>0</v>
      </c>
      <c r="BJ69" s="2">
        <f t="shared" si="61"/>
        <v>0</v>
      </c>
      <c r="BK69" s="2">
        <f t="shared" si="61"/>
        <v>0</v>
      </c>
      <c r="BL69" s="2">
        <f t="shared" si="61"/>
        <v>0</v>
      </c>
      <c r="BM69" s="2">
        <f t="shared" si="61"/>
        <v>0</v>
      </c>
      <c r="BN69" s="2">
        <f t="shared" si="61"/>
        <v>0</v>
      </c>
      <c r="BO69" s="2">
        <f t="shared" si="61"/>
        <v>0</v>
      </c>
      <c r="BP69" s="2">
        <f t="shared" si="62"/>
        <v>0</v>
      </c>
      <c r="BQ69" s="2">
        <f t="shared" si="62"/>
        <v>0</v>
      </c>
      <c r="BR69" s="2">
        <f t="shared" si="62"/>
        <v>0</v>
      </c>
      <c r="BS69" s="2">
        <f t="shared" si="55"/>
        <v>0</v>
      </c>
      <c r="BT69" s="2">
        <f t="shared" si="55"/>
        <v>0</v>
      </c>
      <c r="BU69" s="2">
        <f t="shared" si="55"/>
        <v>0</v>
      </c>
      <c r="BV69" s="2">
        <f t="shared" si="55"/>
        <v>0</v>
      </c>
      <c r="BW69" s="2">
        <f t="shared" si="55"/>
        <v>0</v>
      </c>
      <c r="BX69" s="2">
        <f t="shared" si="55"/>
        <v>0</v>
      </c>
      <c r="BY69" s="2">
        <f t="shared" si="55"/>
        <v>0</v>
      </c>
      <c r="BZ69" s="2">
        <f t="shared" si="55"/>
        <v>0</v>
      </c>
      <c r="CA69" s="2">
        <f t="shared" si="55"/>
        <v>0</v>
      </c>
      <c r="CB69" s="2">
        <f t="shared" si="55"/>
        <v>0</v>
      </c>
      <c r="CC69" s="2">
        <f t="shared" si="55"/>
        <v>0</v>
      </c>
      <c r="CD69" s="2">
        <f t="shared" si="55"/>
        <v>0</v>
      </c>
    </row>
    <row r="70" spans="3:82" s="3" customFormat="1" x14ac:dyDescent="0.2">
      <c r="C70" s="3" t="s">
        <v>35</v>
      </c>
      <c r="G70" s="3">
        <f>SUM(G71:G79)</f>
        <v>9</v>
      </c>
      <c r="H70" s="3">
        <f t="shared" ref="H70:BS70" si="63">SUM(H71:H79)</f>
        <v>0</v>
      </c>
      <c r="I70" s="3">
        <f t="shared" si="63"/>
        <v>0</v>
      </c>
      <c r="J70" s="3">
        <f t="shared" si="63"/>
        <v>0</v>
      </c>
      <c r="K70" s="3">
        <f t="shared" si="63"/>
        <v>2120.7742000000003</v>
      </c>
      <c r="L70" s="3">
        <f t="shared" si="63"/>
        <v>2120.7742000000003</v>
      </c>
      <c r="M70" s="3">
        <f t="shared" si="63"/>
        <v>2266.7864</v>
      </c>
      <c r="N70" s="3">
        <f t="shared" si="63"/>
        <v>2368.7652000000003</v>
      </c>
      <c r="O70" s="3">
        <f t="shared" si="63"/>
        <v>2357.2707</v>
      </c>
      <c r="P70" s="3">
        <f t="shared" si="63"/>
        <v>2510.4497999999999</v>
      </c>
      <c r="Q70" s="3">
        <f t="shared" si="63"/>
        <v>2718.2145</v>
      </c>
      <c r="R70" s="3">
        <f t="shared" si="63"/>
        <v>2969.1118999999999</v>
      </c>
      <c r="S70" s="3">
        <f t="shared" si="63"/>
        <v>2967.6062999999999</v>
      </c>
      <c r="T70" s="3">
        <f t="shared" si="63"/>
        <v>2980.6027999999997</v>
      </c>
      <c r="U70" s="3">
        <f t="shared" si="63"/>
        <v>3074.8195000000001</v>
      </c>
      <c r="V70" s="3">
        <f t="shared" si="63"/>
        <v>3180.3850000000007</v>
      </c>
      <c r="W70" s="3">
        <f t="shared" si="63"/>
        <v>3298.6086</v>
      </c>
      <c r="X70" s="3">
        <f t="shared" si="63"/>
        <v>3538.9854999999998</v>
      </c>
      <c r="Y70" s="3">
        <f t="shared" si="63"/>
        <v>3628.3495000000003</v>
      </c>
      <c r="Z70" s="3">
        <f t="shared" si="63"/>
        <v>3720.4114000000004</v>
      </c>
      <c r="AA70" s="3">
        <f t="shared" si="63"/>
        <v>3862.8874000000001</v>
      </c>
      <c r="AB70" s="3">
        <f t="shared" si="63"/>
        <v>3943.2185000000004</v>
      </c>
      <c r="AC70" s="3">
        <f t="shared" si="63"/>
        <v>3504.1935000000003</v>
      </c>
      <c r="AD70" s="3">
        <f t="shared" si="63"/>
        <v>3745.4776999999995</v>
      </c>
      <c r="AE70" s="3">
        <f t="shared" si="63"/>
        <v>4134.6539000000012</v>
      </c>
      <c r="AF70" s="3">
        <f t="shared" si="63"/>
        <v>3865.3852000000002</v>
      </c>
      <c r="AG70" s="3">
        <f t="shared" si="63"/>
        <v>4014.7552999999998</v>
      </c>
      <c r="AH70" s="3">
        <f t="shared" si="63"/>
        <v>4343.6018000000004</v>
      </c>
      <c r="AI70" s="3">
        <f t="shared" si="63"/>
        <v>4576.8445999999994</v>
      </c>
      <c r="AJ70" s="3">
        <f t="shared" si="63"/>
        <v>5869.7113346426413</v>
      </c>
      <c r="AK70" s="3">
        <f t="shared" si="63"/>
        <v>6070.04936336631</v>
      </c>
      <c r="AL70" s="3">
        <f t="shared" si="63"/>
        <v>6261.1029995526833</v>
      </c>
      <c r="AM70" s="3">
        <f t="shared" si="63"/>
        <v>6468.827217279164</v>
      </c>
      <c r="AN70" s="3">
        <f t="shared" si="63"/>
        <v>6718.0267734384151</v>
      </c>
      <c r="AO70" s="3">
        <f t="shared" si="63"/>
        <v>6988.9781471181959</v>
      </c>
      <c r="AP70" s="3">
        <f t="shared" si="63"/>
        <v>7289.2965477058733</v>
      </c>
      <c r="AQ70" s="3">
        <f t="shared" si="63"/>
        <v>7729.6022663192125</v>
      </c>
      <c r="AR70" s="3">
        <f t="shared" si="63"/>
        <v>8267.2260819788044</v>
      </c>
      <c r="AS70" s="3">
        <f t="shared" si="63"/>
        <v>8936.1868429417063</v>
      </c>
      <c r="AT70" s="3">
        <f t="shared" si="63"/>
        <v>9768.7437021018995</v>
      </c>
      <c r="AU70" s="3">
        <f t="shared" si="63"/>
        <v>10770.367742945102</v>
      </c>
      <c r="AV70" s="3">
        <f t="shared" si="63"/>
        <v>12063.848953072169</v>
      </c>
      <c r="AW70" s="3">
        <f t="shared" si="63"/>
        <v>13722.869216292023</v>
      </c>
      <c r="AX70" s="3">
        <f t="shared" si="63"/>
        <v>15797.064373161827</v>
      </c>
      <c r="AY70" s="3">
        <f t="shared" si="63"/>
        <v>18283.161772161453</v>
      </c>
      <c r="AZ70" s="3">
        <f t="shared" si="63"/>
        <v>21108.626355058088</v>
      </c>
      <c r="BA70" s="3">
        <f t="shared" si="63"/>
        <v>24146.498334074982</v>
      </c>
      <c r="BB70" s="3">
        <f t="shared" si="63"/>
        <v>27258.024432277485</v>
      </c>
      <c r="BC70" s="3">
        <f t="shared" si="63"/>
        <v>30336.826693530806</v>
      </c>
      <c r="BD70" s="3">
        <f t="shared" si="63"/>
        <v>33229.083400230571</v>
      </c>
      <c r="BE70" s="3">
        <f t="shared" si="63"/>
        <v>35897.412645917793</v>
      </c>
      <c r="BF70" s="3">
        <f t="shared" si="63"/>
        <v>38313.499342847717</v>
      </c>
      <c r="BG70" s="3">
        <f t="shared" si="63"/>
        <v>40512.439014077441</v>
      </c>
      <c r="BH70" s="3">
        <f t="shared" si="63"/>
        <v>42507.920507765921</v>
      </c>
      <c r="BI70" s="3">
        <f t="shared" si="63"/>
        <v>44308.860669939604</v>
      </c>
      <c r="BJ70" s="3">
        <f t="shared" si="63"/>
        <v>45745.739428191839</v>
      </c>
      <c r="BK70" s="3">
        <f t="shared" si="63"/>
        <v>47172.441420880321</v>
      </c>
      <c r="BL70" s="3">
        <f t="shared" si="63"/>
        <v>48583.634473954473</v>
      </c>
      <c r="BM70" s="3">
        <f t="shared" si="63"/>
        <v>49972.833186235526</v>
      </c>
      <c r="BN70" s="3">
        <f t="shared" si="63"/>
        <v>51334.965260421559</v>
      </c>
      <c r="BO70" s="3">
        <f t="shared" si="63"/>
        <v>52665.754036155304</v>
      </c>
      <c r="BP70" s="3">
        <f t="shared" si="63"/>
        <v>53960.756487939107</v>
      </c>
      <c r="BQ70" s="3">
        <f t="shared" si="63"/>
        <v>55215.401501840766</v>
      </c>
      <c r="BR70" s="3">
        <f t="shared" si="63"/>
        <v>56423.802768374997</v>
      </c>
      <c r="BS70" s="3">
        <f t="shared" si="63"/>
        <v>57580.531481700462</v>
      </c>
      <c r="BT70" s="3">
        <f t="shared" ref="BT70:CD70" si="64">SUM(BT71:BT79)</f>
        <v>58681.398163221042</v>
      </c>
      <c r="BU70" s="3">
        <f t="shared" si="64"/>
        <v>59798.404844676596</v>
      </c>
      <c r="BV70" s="3">
        <f t="shared" si="64"/>
        <v>60931.898693962823</v>
      </c>
      <c r="BW70" s="3">
        <f t="shared" si="64"/>
        <v>62081.323819016281</v>
      </c>
      <c r="BX70" s="3">
        <f t="shared" si="64"/>
        <v>63245.91150005316</v>
      </c>
      <c r="BY70" s="3">
        <f t="shared" si="64"/>
        <v>64427.761420261653</v>
      </c>
      <c r="BZ70" s="3">
        <f t="shared" si="64"/>
        <v>65627.604462438961</v>
      </c>
      <c r="CA70" s="3">
        <f t="shared" si="64"/>
        <v>66843.556237231023</v>
      </c>
      <c r="CB70" s="3">
        <f t="shared" si="64"/>
        <v>68076.563235340698</v>
      </c>
      <c r="CC70" s="3">
        <f t="shared" si="64"/>
        <v>69326.445261138666</v>
      </c>
      <c r="CD70" s="3">
        <f t="shared" si="64"/>
        <v>70593.583357500946</v>
      </c>
    </row>
    <row r="71" spans="3:82" s="2" customFormat="1" x14ac:dyDescent="0.2">
      <c r="D71" s="2" t="s">
        <v>36</v>
      </c>
      <c r="F71" s="2" t="s">
        <v>6</v>
      </c>
      <c r="G71" s="2">
        <f t="shared" ref="G71:G79" si="65">O314</f>
        <v>1</v>
      </c>
      <c r="H71" s="2">
        <f t="shared" ref="H71:BS72" si="66">P314</f>
        <v>0</v>
      </c>
      <c r="I71" s="2" t="str">
        <f t="shared" si="66"/>
        <v>emission_co2e_ch4_scoe_commercial_municipal</v>
      </c>
      <c r="J71" s="2">
        <f t="shared" si="66"/>
        <v>0</v>
      </c>
      <c r="K71" s="2">
        <f t="shared" si="66"/>
        <v>252.94139999999999</v>
      </c>
      <c r="L71" s="2">
        <f t="shared" si="66"/>
        <v>252.94139999999999</v>
      </c>
      <c r="M71" s="2">
        <f t="shared" si="66"/>
        <v>273.42</v>
      </c>
      <c r="N71" s="2">
        <f t="shared" si="66"/>
        <v>283.91039999999998</v>
      </c>
      <c r="O71" s="2">
        <f t="shared" si="66"/>
        <v>198.4248</v>
      </c>
      <c r="P71" s="2">
        <f t="shared" si="66"/>
        <v>329.63850000000002</v>
      </c>
      <c r="Q71" s="2">
        <f t="shared" si="66"/>
        <v>379.9701</v>
      </c>
      <c r="R71" s="2">
        <f t="shared" si="66"/>
        <v>415.87740000000002</v>
      </c>
      <c r="S71" s="2">
        <f t="shared" si="66"/>
        <v>415.87740000000002</v>
      </c>
      <c r="T71" s="2">
        <f t="shared" si="66"/>
        <v>401.39729999999997</v>
      </c>
      <c r="U71" s="2">
        <f t="shared" si="66"/>
        <v>421.37369999999999</v>
      </c>
      <c r="V71" s="2">
        <f t="shared" si="66"/>
        <v>420.73200000000003</v>
      </c>
      <c r="W71" s="2">
        <f t="shared" si="66"/>
        <v>461.07539999999989</v>
      </c>
      <c r="X71" s="2">
        <f t="shared" si="66"/>
        <v>481.13549999999998</v>
      </c>
      <c r="Y71" s="2">
        <f t="shared" si="66"/>
        <v>501.02819999999991</v>
      </c>
      <c r="Z71" s="2">
        <f t="shared" si="66"/>
        <v>520.72559999999999</v>
      </c>
      <c r="AA71" s="2">
        <f t="shared" si="66"/>
        <v>518.1309</v>
      </c>
      <c r="AB71" s="2">
        <f t="shared" si="66"/>
        <v>515.45249999999999</v>
      </c>
      <c r="AC71" s="2">
        <f t="shared" si="66"/>
        <v>279.30689999999998</v>
      </c>
      <c r="AD71" s="2">
        <f t="shared" si="66"/>
        <v>129.40020000000001</v>
      </c>
      <c r="AE71" s="2">
        <f t="shared" si="66"/>
        <v>120.69540000000001</v>
      </c>
      <c r="AF71" s="2">
        <f t="shared" si="66"/>
        <v>0.4743</v>
      </c>
      <c r="AG71" s="2">
        <f t="shared" si="66"/>
        <v>115.3107</v>
      </c>
      <c r="AH71" s="2">
        <f t="shared" si="66"/>
        <v>327.18329999999997</v>
      </c>
      <c r="AI71" s="2">
        <f t="shared" si="66"/>
        <v>362.9511</v>
      </c>
      <c r="AJ71" s="2">
        <f t="shared" si="66"/>
        <v>455.82030340765698</v>
      </c>
      <c r="AK71" s="2">
        <f t="shared" si="66"/>
        <v>456.01559664647499</v>
      </c>
      <c r="AL71" s="2">
        <f t="shared" si="66"/>
        <v>477.22852919676899</v>
      </c>
      <c r="AM71" s="2">
        <f t="shared" si="66"/>
        <v>503.20099752243789</v>
      </c>
      <c r="AN71" s="2">
        <f t="shared" si="66"/>
        <v>534.56731228803903</v>
      </c>
      <c r="AO71" s="2">
        <f t="shared" si="66"/>
        <v>570.67579030270701</v>
      </c>
      <c r="AP71" s="2">
        <f t="shared" si="66"/>
        <v>613.69518283364994</v>
      </c>
      <c r="AQ71" s="2">
        <f t="shared" si="66"/>
        <v>664.56497581109693</v>
      </c>
      <c r="AR71" s="2">
        <f t="shared" si="66"/>
        <v>721.50917840837405</v>
      </c>
      <c r="AS71" s="2">
        <f t="shared" si="66"/>
        <v>781.74870935097192</v>
      </c>
      <c r="AT71" s="2">
        <f t="shared" si="66"/>
        <v>836.61206499648699</v>
      </c>
      <c r="AU71" s="2">
        <f t="shared" si="66"/>
        <v>867.14384781288595</v>
      </c>
      <c r="AV71" s="2">
        <f t="shared" si="66"/>
        <v>880.23384910208506</v>
      </c>
      <c r="AW71" s="2">
        <f t="shared" si="66"/>
        <v>869.17785987359298</v>
      </c>
      <c r="AX71" s="2">
        <f t="shared" si="66"/>
        <v>828.94934876817501</v>
      </c>
      <c r="AY71" s="2">
        <f t="shared" si="66"/>
        <v>758.85666225901207</v>
      </c>
      <c r="AZ71" s="2">
        <f t="shared" si="66"/>
        <v>664.25737500825596</v>
      </c>
      <c r="BA71" s="2">
        <f t="shared" si="66"/>
        <v>555.73707221046197</v>
      </c>
      <c r="BB71" s="2">
        <f t="shared" si="66"/>
        <v>445.669269587889</v>
      </c>
      <c r="BC71" s="2">
        <f t="shared" si="66"/>
        <v>344.30191760780298</v>
      </c>
      <c r="BD71" s="2">
        <f t="shared" si="66"/>
        <v>256.31329344053398</v>
      </c>
      <c r="BE71" s="2">
        <f t="shared" si="66"/>
        <v>184.61573398644299</v>
      </c>
      <c r="BF71" s="2">
        <f t="shared" si="66"/>
        <v>128.84243740721701</v>
      </c>
      <c r="BG71" s="2">
        <f t="shared" si="66"/>
        <v>86.870262028260996</v>
      </c>
      <c r="BH71" s="2">
        <f t="shared" si="66"/>
        <v>56.0353627792556</v>
      </c>
      <c r="BI71" s="2">
        <f t="shared" si="66"/>
        <v>33.774692614656097</v>
      </c>
      <c r="BJ71" s="2">
        <f t="shared" si="66"/>
        <v>35.1173890151832</v>
      </c>
      <c r="BK71" s="2">
        <f t="shared" si="66"/>
        <v>36.444322175927013</v>
      </c>
      <c r="BL71" s="2">
        <f t="shared" si="66"/>
        <v>37.749688870083602</v>
      </c>
      <c r="BM71" s="2">
        <f t="shared" si="66"/>
        <v>39.027692145338499</v>
      </c>
      <c r="BN71" s="2">
        <f t="shared" si="66"/>
        <v>40.272331222980313</v>
      </c>
      <c r="BO71" s="2">
        <f t="shared" si="66"/>
        <v>41.477506615455702</v>
      </c>
      <c r="BP71" s="2">
        <f t="shared" si="66"/>
        <v>42.637169021615897</v>
      </c>
      <c r="BQ71" s="2">
        <f t="shared" si="66"/>
        <v>43.745367418499299</v>
      </c>
      <c r="BR71" s="2">
        <f t="shared" si="66"/>
        <v>44.796425477267803</v>
      </c>
      <c r="BS71" s="2">
        <f t="shared" si="66"/>
        <v>45.784809821098101</v>
      </c>
      <c r="BT71" s="2">
        <f t="shared" ref="BT71:CD71" si="67">CB314</f>
        <v>46.705099978123997</v>
      </c>
      <c r="BU71" s="2">
        <f t="shared" si="67"/>
        <v>47.6444060923668</v>
      </c>
      <c r="BV71" s="2">
        <f t="shared" si="67"/>
        <v>48.603119341331293</v>
      </c>
      <c r="BW71" s="2">
        <f t="shared" si="67"/>
        <v>49.581731575893897</v>
      </c>
      <c r="BX71" s="2">
        <f t="shared" si="67"/>
        <v>50.580764322253501</v>
      </c>
      <c r="BY71" s="2">
        <f t="shared" si="67"/>
        <v>51.600444968851697</v>
      </c>
      <c r="BZ71" s="2">
        <f t="shared" si="67"/>
        <v>52.641152647393099</v>
      </c>
      <c r="CA71" s="2">
        <f t="shared" si="67"/>
        <v>53.703552054067003</v>
      </c>
      <c r="CB71" s="2">
        <f t="shared" si="67"/>
        <v>54.788020492412087</v>
      </c>
      <c r="CC71" s="2">
        <f t="shared" si="67"/>
        <v>55.895065603449197</v>
      </c>
      <c r="CD71" s="2">
        <f t="shared" si="67"/>
        <v>57.0251447146725</v>
      </c>
    </row>
    <row r="72" spans="3:82" s="2" customFormat="1" x14ac:dyDescent="0.2">
      <c r="D72" s="2" t="s">
        <v>36</v>
      </c>
      <c r="F72" s="2" t="s">
        <v>7</v>
      </c>
      <c r="G72" s="2">
        <f t="shared" si="65"/>
        <v>1</v>
      </c>
      <c r="H72" s="2">
        <f t="shared" si="66"/>
        <v>0</v>
      </c>
      <c r="I72" s="2" t="str">
        <f t="shared" si="66"/>
        <v>emission_co2e_co2_scoe_nbmass_commercial_municipal</v>
      </c>
      <c r="J72" s="2">
        <f t="shared" si="66"/>
        <v>0</v>
      </c>
      <c r="K72" s="2">
        <f t="shared" si="66"/>
        <v>10.254</v>
      </c>
      <c r="L72" s="2">
        <f t="shared" si="66"/>
        <v>10.254</v>
      </c>
      <c r="M72" s="2">
        <f t="shared" si="66"/>
        <v>11.4</v>
      </c>
      <c r="N72" s="2">
        <f t="shared" si="66"/>
        <v>13.965</v>
      </c>
      <c r="O72" s="2">
        <f t="shared" si="66"/>
        <v>12.101000000000001</v>
      </c>
      <c r="P72" s="2">
        <f t="shared" si="66"/>
        <v>27.969000000000001</v>
      </c>
      <c r="Q72" s="2">
        <f t="shared" si="66"/>
        <v>15.304</v>
      </c>
      <c r="R72" s="2">
        <f t="shared" si="66"/>
        <v>15.164</v>
      </c>
      <c r="S72" s="2">
        <f t="shared" si="66"/>
        <v>15.387</v>
      </c>
      <c r="T72" s="2">
        <f t="shared" si="66"/>
        <v>11.069000000000001</v>
      </c>
      <c r="U72" s="2">
        <f t="shared" si="66"/>
        <v>13.372999999999999</v>
      </c>
      <c r="V72" s="2">
        <f t="shared" si="66"/>
        <v>9.6229999999999993</v>
      </c>
      <c r="W72" s="2">
        <f t="shared" si="66"/>
        <v>7.6980000000000004</v>
      </c>
      <c r="X72" s="2">
        <f t="shared" si="66"/>
        <v>14.151</v>
      </c>
      <c r="Y72" s="2">
        <f t="shared" si="66"/>
        <v>16.689</v>
      </c>
      <c r="Z72" s="2">
        <f t="shared" si="66"/>
        <v>13.688000000000001</v>
      </c>
      <c r="AA72" s="2">
        <f t="shared" si="66"/>
        <v>17.754999999999999</v>
      </c>
      <c r="AB72" s="2">
        <f t="shared" si="66"/>
        <v>17.754999999999999</v>
      </c>
      <c r="AC72" s="2">
        <f t="shared" si="66"/>
        <v>27.61</v>
      </c>
      <c r="AD72" s="2">
        <f t="shared" si="66"/>
        <v>12.941000000000001</v>
      </c>
      <c r="AE72" s="2">
        <f t="shared" si="66"/>
        <v>118.306</v>
      </c>
      <c r="AF72" s="2">
        <f t="shared" si="66"/>
        <v>124.795</v>
      </c>
      <c r="AG72" s="2">
        <f t="shared" si="66"/>
        <v>131.46899999999999</v>
      </c>
      <c r="AH72" s="2">
        <f t="shared" si="66"/>
        <v>178.38200000000001</v>
      </c>
      <c r="AI72" s="2">
        <f t="shared" si="66"/>
        <v>66.046999999999997</v>
      </c>
      <c r="AJ72" s="2">
        <f t="shared" si="66"/>
        <v>122.47668018569399</v>
      </c>
      <c r="AK72" s="2">
        <f t="shared" si="66"/>
        <v>190.93462915090001</v>
      </c>
      <c r="AL72" s="2">
        <f t="shared" si="66"/>
        <v>199.81652582171401</v>
      </c>
      <c r="AM72" s="2">
        <f t="shared" si="66"/>
        <v>210.69124950301801</v>
      </c>
      <c r="AN72" s="2">
        <f t="shared" si="66"/>
        <v>223.824387320326</v>
      </c>
      <c r="AO72" s="2">
        <f t="shared" si="66"/>
        <v>238.94307823711799</v>
      </c>
      <c r="AP72" s="2">
        <f t="shared" si="66"/>
        <v>256.95538268371399</v>
      </c>
      <c r="AQ72" s="2">
        <f t="shared" si="66"/>
        <v>336.50822093530002</v>
      </c>
      <c r="AR72" s="2">
        <f t="shared" si="66"/>
        <v>461.71333856855301</v>
      </c>
      <c r="AS72" s="2">
        <f t="shared" si="66"/>
        <v>659.38091116303997</v>
      </c>
      <c r="AT72" s="2">
        <f t="shared" si="66"/>
        <v>965.17858394172197</v>
      </c>
      <c r="AU72" s="2">
        <f t="shared" si="66"/>
        <v>1410.4258213191999</v>
      </c>
      <c r="AV72" s="2">
        <f t="shared" si="66"/>
        <v>2066.3039323752901</v>
      </c>
      <c r="AW72" s="2">
        <f t="shared" si="66"/>
        <v>2996.0960192901298</v>
      </c>
      <c r="AX72" s="2">
        <f t="shared" si="66"/>
        <v>4248.5117362388501</v>
      </c>
      <c r="AY72" s="2">
        <f t="shared" si="66"/>
        <v>5834.4633049019603</v>
      </c>
      <c r="AZ72" s="2">
        <f t="shared" si="66"/>
        <v>7711.50106846172</v>
      </c>
      <c r="BA72" s="2">
        <f t="shared" si="66"/>
        <v>9791.2768101369711</v>
      </c>
      <c r="BB72" s="2">
        <f t="shared" si="66"/>
        <v>11969.9583908276</v>
      </c>
      <c r="BC72" s="2">
        <f t="shared" si="66"/>
        <v>14162.8282223324</v>
      </c>
      <c r="BD72" s="2">
        <f t="shared" si="66"/>
        <v>16240.2115928433</v>
      </c>
      <c r="BE72" s="2">
        <f t="shared" si="66"/>
        <v>18161.072484247299</v>
      </c>
      <c r="BF72" s="2">
        <f t="shared" si="66"/>
        <v>19914.002391460901</v>
      </c>
      <c r="BG72" s="2">
        <f t="shared" si="66"/>
        <v>21499.229353804101</v>
      </c>
      <c r="BH72" s="2">
        <f t="shared" si="66"/>
        <v>22922.952045980601</v>
      </c>
      <c r="BI72" s="2">
        <f t="shared" si="66"/>
        <v>24190.537577138599</v>
      </c>
      <c r="BJ72" s="2">
        <f t="shared" si="66"/>
        <v>25152.220577550099</v>
      </c>
      <c r="BK72" s="2">
        <f t="shared" si="66"/>
        <v>26102.6134309671</v>
      </c>
      <c r="BL72" s="2">
        <f t="shared" si="66"/>
        <v>27037.559676880101</v>
      </c>
      <c r="BM72" s="2">
        <f t="shared" si="66"/>
        <v>27952.907348774101</v>
      </c>
      <c r="BN72" s="2">
        <f t="shared" si="66"/>
        <v>28844.358493013598</v>
      </c>
      <c r="BO72" s="2">
        <f t="shared" si="66"/>
        <v>29707.544457467498</v>
      </c>
      <c r="BP72" s="2">
        <f t="shared" si="66"/>
        <v>30538.132535146699</v>
      </c>
      <c r="BQ72" s="2">
        <f t="shared" si="66"/>
        <v>31331.8604091081</v>
      </c>
      <c r="BR72" s="2">
        <f t="shared" si="66"/>
        <v>32084.6625073088</v>
      </c>
      <c r="BS72" s="2">
        <f t="shared" ref="BS72:CD79" si="68">CA315</f>
        <v>32792.575644605698</v>
      </c>
      <c r="BT72" s="2">
        <f t="shared" si="68"/>
        <v>33451.717502072897</v>
      </c>
      <c r="BU72" s="2">
        <f t="shared" si="68"/>
        <v>34124.479208960103</v>
      </c>
      <c r="BV72" s="2">
        <f t="shared" si="68"/>
        <v>34811.140939368001</v>
      </c>
      <c r="BW72" s="2">
        <f t="shared" si="68"/>
        <v>35512.054972953199</v>
      </c>
      <c r="BX72" s="2">
        <f t="shared" si="68"/>
        <v>36227.594843806502</v>
      </c>
      <c r="BY72" s="2">
        <f t="shared" si="68"/>
        <v>36957.923414954101</v>
      </c>
      <c r="BZ72" s="2">
        <f t="shared" si="68"/>
        <v>37703.312232901597</v>
      </c>
      <c r="CA72" s="2">
        <f t="shared" si="68"/>
        <v>38464.237374761098</v>
      </c>
      <c r="CB72" s="2">
        <f t="shared" si="68"/>
        <v>39240.969077646303</v>
      </c>
      <c r="CC72" s="2">
        <f t="shared" si="68"/>
        <v>40033.870930630503</v>
      </c>
      <c r="CD72" s="2">
        <f t="shared" si="68"/>
        <v>40843.270486596397</v>
      </c>
    </row>
    <row r="73" spans="3:82" s="2" customFormat="1" x14ac:dyDescent="0.2">
      <c r="D73" s="2" t="s">
        <v>36</v>
      </c>
      <c r="F73" s="2" t="s">
        <v>8</v>
      </c>
      <c r="G73" s="2">
        <f t="shared" si="65"/>
        <v>1</v>
      </c>
      <c r="H73" s="2">
        <f t="shared" ref="H73:BS76" si="69">P316</f>
        <v>0</v>
      </c>
      <c r="I73" s="2" t="str">
        <f t="shared" si="69"/>
        <v>emission_co2e_n2o_scoe_commercial_municipal</v>
      </c>
      <c r="J73" s="2">
        <f t="shared" si="69"/>
        <v>0</v>
      </c>
      <c r="K73" s="2">
        <f t="shared" si="69"/>
        <v>31.940999999999999</v>
      </c>
      <c r="L73" s="2">
        <f t="shared" si="69"/>
        <v>31.940999999999999</v>
      </c>
      <c r="M73" s="2">
        <f t="shared" si="69"/>
        <v>34.125</v>
      </c>
      <c r="N73" s="2">
        <f t="shared" si="69"/>
        <v>35.49</v>
      </c>
      <c r="O73" s="2">
        <f t="shared" si="69"/>
        <v>24.843</v>
      </c>
      <c r="P73" s="2">
        <f t="shared" si="69"/>
        <v>42.314999999999998</v>
      </c>
      <c r="Q73" s="2">
        <f t="shared" si="69"/>
        <v>48.320999999999998</v>
      </c>
      <c r="R73" s="2">
        <f t="shared" si="69"/>
        <v>52.143000000000001</v>
      </c>
      <c r="S73" s="2">
        <f t="shared" si="69"/>
        <v>52.143000000000001</v>
      </c>
      <c r="T73" s="2">
        <f t="shared" si="69"/>
        <v>49.959000000000003</v>
      </c>
      <c r="U73" s="2">
        <f t="shared" si="69"/>
        <v>52.143000000000001</v>
      </c>
      <c r="V73" s="2">
        <f t="shared" si="69"/>
        <v>52.143000000000001</v>
      </c>
      <c r="W73" s="2">
        <f t="shared" si="69"/>
        <v>56.783999999999999</v>
      </c>
      <c r="X73" s="2">
        <f t="shared" si="69"/>
        <v>58.968000000000004</v>
      </c>
      <c r="Y73" s="2">
        <f t="shared" si="69"/>
        <v>61.424999999999997</v>
      </c>
      <c r="Z73" s="2">
        <f t="shared" si="69"/>
        <v>63.609000000000002</v>
      </c>
      <c r="AA73" s="2">
        <f t="shared" si="69"/>
        <v>63.609000000000002</v>
      </c>
      <c r="AB73" s="2">
        <f t="shared" si="69"/>
        <v>63.336000000000013</v>
      </c>
      <c r="AC73" s="2">
        <f t="shared" si="69"/>
        <v>35.762999999999998</v>
      </c>
      <c r="AD73" s="2">
        <f t="shared" si="69"/>
        <v>16.106999999999999</v>
      </c>
      <c r="AE73" s="2">
        <f t="shared" si="69"/>
        <v>11.739000000000001</v>
      </c>
      <c r="AF73" s="2">
        <f t="shared" si="69"/>
        <v>0.27300000000000002</v>
      </c>
      <c r="AG73" s="2">
        <f t="shared" si="69"/>
        <v>11.193</v>
      </c>
      <c r="AH73" s="2">
        <f t="shared" si="69"/>
        <v>40.131</v>
      </c>
      <c r="AI73" s="2">
        <f t="shared" si="69"/>
        <v>42.042000000000002</v>
      </c>
      <c r="AJ73" s="2">
        <f t="shared" si="69"/>
        <v>58.565900476132001</v>
      </c>
      <c r="AK73" s="2">
        <f t="shared" si="69"/>
        <v>58.608269152413598</v>
      </c>
      <c r="AL73" s="2">
        <f t="shared" si="69"/>
        <v>61.334608491599298</v>
      </c>
      <c r="AM73" s="2">
        <f t="shared" si="69"/>
        <v>64.672655315825693</v>
      </c>
      <c r="AN73" s="2">
        <f t="shared" si="69"/>
        <v>68.703932823920809</v>
      </c>
      <c r="AO73" s="2">
        <f t="shared" si="69"/>
        <v>73.344685056367695</v>
      </c>
      <c r="AP73" s="2">
        <f t="shared" si="69"/>
        <v>78.873645369936597</v>
      </c>
      <c r="AQ73" s="2">
        <f t="shared" si="69"/>
        <v>85.426271382171805</v>
      </c>
      <c r="AR73" s="2">
        <f t="shared" si="69"/>
        <v>92.770483360359805</v>
      </c>
      <c r="AS73" s="2">
        <f t="shared" si="69"/>
        <v>100.55617186621301</v>
      </c>
      <c r="AT73" s="2">
        <f t="shared" si="69"/>
        <v>107.678778700362</v>
      </c>
      <c r="AU73" s="2">
        <f t="shared" si="69"/>
        <v>111.712023124713</v>
      </c>
      <c r="AV73" s="2">
        <f t="shared" si="69"/>
        <v>113.55864739712401</v>
      </c>
      <c r="AW73" s="2">
        <f t="shared" si="69"/>
        <v>112.37370149305799</v>
      </c>
      <c r="AX73" s="2">
        <f t="shared" si="69"/>
        <v>107.523996645864</v>
      </c>
      <c r="AY73" s="2">
        <f t="shared" si="69"/>
        <v>98.923468941194201</v>
      </c>
      <c r="AZ73" s="2">
        <f t="shared" si="69"/>
        <v>87.2493996809348</v>
      </c>
      <c r="BA73" s="2">
        <f t="shared" si="69"/>
        <v>73.838842207210803</v>
      </c>
      <c r="BB73" s="2">
        <f t="shared" si="69"/>
        <v>60.254539490533602</v>
      </c>
      <c r="BC73" s="2">
        <f t="shared" si="69"/>
        <v>47.791103866515201</v>
      </c>
      <c r="BD73" s="2">
        <f t="shared" si="69"/>
        <v>37.016553878083897</v>
      </c>
      <c r="BE73" s="2">
        <f t="shared" si="69"/>
        <v>28.294518338498602</v>
      </c>
      <c r="BF73" s="2">
        <f t="shared" si="69"/>
        <v>21.575012409215901</v>
      </c>
      <c r="BG73" s="2">
        <f t="shared" si="69"/>
        <v>16.5854467032357</v>
      </c>
      <c r="BH73" s="2">
        <f t="shared" si="69"/>
        <v>12.9853043985349</v>
      </c>
      <c r="BI73" s="2">
        <f t="shared" si="69"/>
        <v>10.446802808788</v>
      </c>
      <c r="BJ73" s="2">
        <f t="shared" si="69"/>
        <v>10.862110349508299</v>
      </c>
      <c r="BK73" s="2">
        <f t="shared" si="69"/>
        <v>11.2725421846367</v>
      </c>
      <c r="BL73" s="2">
        <f t="shared" si="69"/>
        <v>11.6763033262287</v>
      </c>
      <c r="BM73" s="2">
        <f t="shared" si="69"/>
        <v>12.071600727093299</v>
      </c>
      <c r="BN73" s="2">
        <f t="shared" si="69"/>
        <v>12.4565782947824</v>
      </c>
      <c r="BO73" s="2">
        <f t="shared" si="69"/>
        <v>12.829349405354399</v>
      </c>
      <c r="BP73" s="2">
        <f t="shared" si="69"/>
        <v>13.1880429579543</v>
      </c>
      <c r="BQ73" s="2">
        <f t="shared" si="69"/>
        <v>13.5308182500152</v>
      </c>
      <c r="BR73" s="2">
        <f t="shared" si="69"/>
        <v>13.855919544224401</v>
      </c>
      <c r="BS73" s="2">
        <f t="shared" si="69"/>
        <v>14.1616353195563</v>
      </c>
      <c r="BT73" s="2">
        <f t="shared" si="68"/>
        <v>14.446288977459499</v>
      </c>
      <c r="BU73" s="2">
        <f t="shared" si="68"/>
        <v>14.7368244344225</v>
      </c>
      <c r="BV73" s="2">
        <f t="shared" si="68"/>
        <v>15.033362685010699</v>
      </c>
      <c r="BW73" s="2">
        <f t="shared" si="68"/>
        <v>15.336055862928999</v>
      </c>
      <c r="BX73" s="2">
        <f t="shared" si="68"/>
        <v>15.645065280714601</v>
      </c>
      <c r="BY73" s="2">
        <f t="shared" si="68"/>
        <v>15.960461271567301</v>
      </c>
      <c r="BZ73" s="2">
        <f t="shared" si="68"/>
        <v>16.282361104183401</v>
      </c>
      <c r="CA73" s="2">
        <f t="shared" si="68"/>
        <v>16.610970374808598</v>
      </c>
      <c r="CB73" s="2">
        <f t="shared" si="68"/>
        <v>16.946405786671601</v>
      </c>
      <c r="CC73" s="2">
        <f t="shared" si="68"/>
        <v>17.288824357504701</v>
      </c>
      <c r="CD73" s="2">
        <f t="shared" si="68"/>
        <v>17.638367542633699</v>
      </c>
    </row>
    <row r="74" spans="3:82" s="2" customFormat="1" x14ac:dyDescent="0.2">
      <c r="D74" s="2" t="s">
        <v>38</v>
      </c>
      <c r="F74" s="2" t="s">
        <v>6</v>
      </c>
      <c r="G74" s="2">
        <f t="shared" si="65"/>
        <v>1</v>
      </c>
      <c r="H74" s="2">
        <f t="shared" si="69"/>
        <v>0</v>
      </c>
      <c r="I74" s="2" t="str">
        <f t="shared" si="69"/>
        <v>emission_co2e_ch4_scoe_residential</v>
      </c>
      <c r="J74" s="2">
        <f t="shared" si="69"/>
        <v>0</v>
      </c>
      <c r="K74" s="2">
        <f t="shared" si="69"/>
        <v>1506.8232</v>
      </c>
      <c r="L74" s="2">
        <f t="shared" si="69"/>
        <v>1506.8232</v>
      </c>
      <c r="M74" s="2">
        <f t="shared" si="69"/>
        <v>1603.9989</v>
      </c>
      <c r="N74" s="2">
        <f t="shared" si="69"/>
        <v>1654.9443000000001</v>
      </c>
      <c r="O74" s="2">
        <f t="shared" si="69"/>
        <v>1740.8205</v>
      </c>
      <c r="P74" s="2">
        <f t="shared" si="69"/>
        <v>1726.173</v>
      </c>
      <c r="Q74" s="2">
        <f t="shared" si="69"/>
        <v>1853.0900999999999</v>
      </c>
      <c r="R74" s="2">
        <f t="shared" si="69"/>
        <v>2031.3153</v>
      </c>
      <c r="S74" s="2">
        <f t="shared" si="69"/>
        <v>2029.8087</v>
      </c>
      <c r="T74" s="2">
        <f t="shared" si="69"/>
        <v>2079.5544</v>
      </c>
      <c r="U74" s="2">
        <f t="shared" si="69"/>
        <v>2144.9798999999998</v>
      </c>
      <c r="V74" s="2">
        <f t="shared" si="69"/>
        <v>2212.6095</v>
      </c>
      <c r="W74" s="2">
        <f t="shared" si="69"/>
        <v>2282.2757999999999</v>
      </c>
      <c r="X74" s="2">
        <f t="shared" si="69"/>
        <v>2407.2678000000001</v>
      </c>
      <c r="Y74" s="2">
        <f t="shared" si="69"/>
        <v>2428.6113</v>
      </c>
      <c r="Z74" s="2">
        <f t="shared" si="69"/>
        <v>2505.42</v>
      </c>
      <c r="AA74" s="2">
        <f t="shared" si="69"/>
        <v>2584.7118</v>
      </c>
      <c r="AB74" s="2">
        <f t="shared" si="69"/>
        <v>2666.3472000000002</v>
      </c>
      <c r="AC74" s="2">
        <f t="shared" si="69"/>
        <v>2574.9747000000002</v>
      </c>
      <c r="AD74" s="2">
        <f t="shared" si="69"/>
        <v>2837.43</v>
      </c>
      <c r="AE74" s="2">
        <f t="shared" si="69"/>
        <v>3161.3490000000002</v>
      </c>
      <c r="AF74" s="2">
        <f t="shared" si="69"/>
        <v>2935.1358</v>
      </c>
      <c r="AG74" s="2">
        <f t="shared" si="69"/>
        <v>2935.1637000000001</v>
      </c>
      <c r="AH74" s="2">
        <f t="shared" si="69"/>
        <v>3099.1320000000001</v>
      </c>
      <c r="AI74" s="2">
        <f t="shared" si="69"/>
        <v>3083.3406</v>
      </c>
      <c r="AJ74" s="2">
        <f t="shared" si="69"/>
        <v>3869.7793243522201</v>
      </c>
      <c r="AK74" s="2">
        <f t="shared" si="69"/>
        <v>3850.4679486564801</v>
      </c>
      <c r="AL74" s="2">
        <f t="shared" si="69"/>
        <v>3974.1104157417799</v>
      </c>
      <c r="AM74" s="2">
        <f t="shared" si="69"/>
        <v>4107.7800770825497</v>
      </c>
      <c r="AN74" s="2">
        <f t="shared" si="69"/>
        <v>4252.2158014227698</v>
      </c>
      <c r="AO74" s="2">
        <f t="shared" si="69"/>
        <v>4406.0110781971798</v>
      </c>
      <c r="AP74" s="2">
        <f t="shared" si="69"/>
        <v>4571.0486780326701</v>
      </c>
      <c r="AQ74" s="2">
        <f t="shared" si="69"/>
        <v>4712.3281780669004</v>
      </c>
      <c r="AR74" s="2">
        <f t="shared" si="69"/>
        <v>4841.0790554026098</v>
      </c>
      <c r="AS74" s="2">
        <f t="shared" si="69"/>
        <v>4942.4224792529194</v>
      </c>
      <c r="AT74" s="2">
        <f t="shared" si="69"/>
        <v>4991.0213223106202</v>
      </c>
      <c r="AU74" s="2">
        <f t="shared" si="69"/>
        <v>4947.9993825111806</v>
      </c>
      <c r="AV74" s="2">
        <f t="shared" si="69"/>
        <v>4804.7813855538107</v>
      </c>
      <c r="AW74" s="2">
        <f t="shared" si="69"/>
        <v>4539.2658431905302</v>
      </c>
      <c r="AX74" s="2">
        <f t="shared" si="69"/>
        <v>4142.5839282141196</v>
      </c>
      <c r="AY74" s="2">
        <f t="shared" si="69"/>
        <v>3629.3477261605099</v>
      </c>
      <c r="AZ74" s="2">
        <f t="shared" si="69"/>
        <v>3040.8238976320599</v>
      </c>
      <c r="BA74" s="2">
        <f t="shared" si="69"/>
        <v>2435.41503477779</v>
      </c>
      <c r="BB74" s="2">
        <f t="shared" si="69"/>
        <v>1869.95471001027</v>
      </c>
      <c r="BC74" s="2">
        <f t="shared" si="69"/>
        <v>1383.3876131264101</v>
      </c>
      <c r="BD74" s="2">
        <f t="shared" si="69"/>
        <v>990.39349209218597</v>
      </c>
      <c r="BE74" s="2">
        <f t="shared" si="69"/>
        <v>688.98515078278399</v>
      </c>
      <c r="BF74" s="2">
        <f t="shared" si="69"/>
        <v>465.71860941243801</v>
      </c>
      <c r="BG74" s="2">
        <f t="shared" si="69"/>
        <v>305.51929230647198</v>
      </c>
      <c r="BH74" s="2">
        <f t="shared" si="69"/>
        <v>192.66253182129901</v>
      </c>
      <c r="BI74" s="2">
        <f t="shared" si="69"/>
        <v>114.121286110162</v>
      </c>
      <c r="BJ74" s="2">
        <f t="shared" si="69"/>
        <v>116.88137770228801</v>
      </c>
      <c r="BK74" s="2">
        <f t="shared" si="69"/>
        <v>119.641609174821</v>
      </c>
      <c r="BL74" s="2">
        <f t="shared" si="69"/>
        <v>122.396257349967</v>
      </c>
      <c r="BM74" s="2">
        <f t="shared" si="69"/>
        <v>125.13269603689101</v>
      </c>
      <c r="BN74" s="2">
        <f t="shared" si="69"/>
        <v>127.847438843628</v>
      </c>
      <c r="BO74" s="2">
        <f t="shared" si="69"/>
        <v>130.54200467445699</v>
      </c>
      <c r="BP74" s="2">
        <f t="shared" si="69"/>
        <v>133.216435387795</v>
      </c>
      <c r="BQ74" s="2">
        <f t="shared" si="69"/>
        <v>135.86940226215299</v>
      </c>
      <c r="BR74" s="2">
        <f t="shared" si="69"/>
        <v>138.490462726169</v>
      </c>
      <c r="BS74" s="2">
        <f t="shared" si="69"/>
        <v>141.07126083382801</v>
      </c>
      <c r="BT74" s="2">
        <f t="shared" si="68"/>
        <v>143.610301824228</v>
      </c>
      <c r="BU74" s="2">
        <f t="shared" si="68"/>
        <v>146.16336698651801</v>
      </c>
      <c r="BV74" s="2">
        <f t="shared" si="68"/>
        <v>148.730320466633</v>
      </c>
      <c r="BW74" s="2">
        <f t="shared" si="68"/>
        <v>151.30542036991599</v>
      </c>
      <c r="BX74" s="2">
        <f t="shared" si="68"/>
        <v>153.88168854427701</v>
      </c>
      <c r="BY74" s="2">
        <f t="shared" si="68"/>
        <v>156.47053500638901</v>
      </c>
      <c r="BZ74" s="2">
        <f t="shared" si="68"/>
        <v>159.074612232352</v>
      </c>
      <c r="CA74" s="2">
        <f t="shared" si="68"/>
        <v>161.679970813804</v>
      </c>
      <c r="CB74" s="2">
        <f t="shared" si="68"/>
        <v>164.29055231899</v>
      </c>
      <c r="CC74" s="2">
        <f t="shared" si="68"/>
        <v>166.90306961556601</v>
      </c>
      <c r="CD74" s="2">
        <f t="shared" si="68"/>
        <v>169.51782856138101</v>
      </c>
    </row>
    <row r="75" spans="3:82" s="2" customFormat="1" x14ac:dyDescent="0.2">
      <c r="D75" s="2" t="s">
        <v>38</v>
      </c>
      <c r="F75" s="2" t="s">
        <v>7</v>
      </c>
      <c r="G75" s="2">
        <f t="shared" si="65"/>
        <v>1</v>
      </c>
      <c r="H75" s="2">
        <f t="shared" si="69"/>
        <v>0</v>
      </c>
      <c r="I75" s="2" t="str">
        <f t="shared" si="69"/>
        <v>emission_co2e_co2_scoe_nbmass_residential</v>
      </c>
      <c r="J75" s="2">
        <f t="shared" si="69"/>
        <v>0</v>
      </c>
      <c r="K75" s="2">
        <f t="shared" si="69"/>
        <v>93.631</v>
      </c>
      <c r="L75" s="2">
        <f t="shared" si="69"/>
        <v>93.631</v>
      </c>
      <c r="M75" s="2">
        <f t="shared" si="69"/>
        <v>104.931</v>
      </c>
      <c r="N75" s="2">
        <f t="shared" si="69"/>
        <v>128.51599999999999</v>
      </c>
      <c r="O75" s="2">
        <f t="shared" si="69"/>
        <v>111.69</v>
      </c>
      <c r="P75" s="2">
        <f t="shared" si="69"/>
        <v>115.485</v>
      </c>
      <c r="Q75" s="2">
        <f t="shared" si="69"/>
        <v>135.05000000000001</v>
      </c>
      <c r="R75" s="2">
        <f t="shared" si="69"/>
        <v>135.911</v>
      </c>
      <c r="S75" s="2">
        <f t="shared" si="69"/>
        <v>135.911</v>
      </c>
      <c r="T75" s="2">
        <f t="shared" si="69"/>
        <v>105.316</v>
      </c>
      <c r="U75" s="2">
        <f t="shared" si="69"/>
        <v>86.063999999999993</v>
      </c>
      <c r="V75" s="2">
        <f t="shared" si="69"/>
        <v>93.945999999999998</v>
      </c>
      <c r="W75" s="2">
        <f t="shared" si="69"/>
        <v>78.474999999999994</v>
      </c>
      <c r="X75" s="2">
        <f t="shared" si="69"/>
        <v>137.85300000000001</v>
      </c>
      <c r="Y75" s="2">
        <f t="shared" si="69"/>
        <v>161.75399999999999</v>
      </c>
      <c r="Z75" s="2">
        <f t="shared" si="69"/>
        <v>133.11600000000001</v>
      </c>
      <c r="AA75" s="2">
        <f t="shared" si="69"/>
        <v>176.39699999999999</v>
      </c>
      <c r="AB75" s="2">
        <f t="shared" si="69"/>
        <v>174.52</v>
      </c>
      <c r="AC75" s="2">
        <f t="shared" si="69"/>
        <v>111.93899999999999</v>
      </c>
      <c r="AD75" s="2">
        <f t="shared" si="69"/>
        <v>131.52199999999999</v>
      </c>
      <c r="AE75" s="2">
        <f t="shared" si="69"/>
        <v>155.762</v>
      </c>
      <c r="AF75" s="2">
        <f t="shared" si="69"/>
        <v>167.34399999999999</v>
      </c>
      <c r="AG75" s="2">
        <f t="shared" si="69"/>
        <v>173.274</v>
      </c>
      <c r="AH75" s="2">
        <f t="shared" si="69"/>
        <v>135.779</v>
      </c>
      <c r="AI75" s="2">
        <f t="shared" si="69"/>
        <v>134.14699999999999</v>
      </c>
      <c r="AJ75" s="2">
        <f t="shared" si="69"/>
        <v>248.59508521642201</v>
      </c>
      <c r="AK75" s="2">
        <f t="shared" si="69"/>
        <v>385.43891447336398</v>
      </c>
      <c r="AL75" s="2">
        <f t="shared" si="69"/>
        <v>397.81575254386303</v>
      </c>
      <c r="AM75" s="2">
        <f t="shared" si="69"/>
        <v>411.19633117799702</v>
      </c>
      <c r="AN75" s="2">
        <f t="shared" si="69"/>
        <v>425.65461249424402</v>
      </c>
      <c r="AO75" s="2">
        <f t="shared" si="69"/>
        <v>441.04980220144199</v>
      </c>
      <c r="AP75" s="2">
        <f t="shared" si="69"/>
        <v>457.57036909775297</v>
      </c>
      <c r="AQ75" s="2">
        <f t="shared" si="69"/>
        <v>567.45137993589606</v>
      </c>
      <c r="AR75" s="2">
        <f t="shared" si="69"/>
        <v>732.824639650564</v>
      </c>
      <c r="AS75" s="2">
        <f t="shared" si="69"/>
        <v>981.32833550559099</v>
      </c>
      <c r="AT75" s="2">
        <f t="shared" si="69"/>
        <v>1349.8199196077301</v>
      </c>
      <c r="AU75" s="2">
        <f t="shared" si="69"/>
        <v>1880.44613092605</v>
      </c>
      <c r="AV75" s="2">
        <f t="shared" si="69"/>
        <v>2628.8495930818599</v>
      </c>
      <c r="AW75" s="2">
        <f t="shared" si="69"/>
        <v>3640.4142481076101</v>
      </c>
      <c r="AX75" s="2">
        <f t="shared" si="69"/>
        <v>4933.4541055338204</v>
      </c>
      <c r="AY75" s="2">
        <f t="shared" si="69"/>
        <v>6478.3067554938998</v>
      </c>
      <c r="AZ75" s="2">
        <f t="shared" si="69"/>
        <v>8190.738094167591</v>
      </c>
      <c r="BA75" s="2">
        <f t="shared" si="69"/>
        <v>9951.45845472377</v>
      </c>
      <c r="BB75" s="2">
        <f t="shared" si="69"/>
        <v>11644.3817648566</v>
      </c>
      <c r="BC75" s="2">
        <f t="shared" si="69"/>
        <v>13189.9972452686</v>
      </c>
      <c r="BD75" s="2">
        <f t="shared" si="69"/>
        <v>14541.3839699647</v>
      </c>
      <c r="BE75" s="2">
        <f t="shared" si="69"/>
        <v>15700.989997955699</v>
      </c>
      <c r="BF75" s="2">
        <f t="shared" si="69"/>
        <v>16668.044228337301</v>
      </c>
      <c r="BG75" s="2">
        <f t="shared" si="69"/>
        <v>17497.276704608601</v>
      </c>
      <c r="BH75" s="2">
        <f t="shared" si="69"/>
        <v>18218.467243473398</v>
      </c>
      <c r="BI75" s="2">
        <f t="shared" si="69"/>
        <v>18855.543575557698</v>
      </c>
      <c r="BJ75" s="2">
        <f t="shared" si="69"/>
        <v>19311.576179656098</v>
      </c>
      <c r="BK75" s="2">
        <f t="shared" si="69"/>
        <v>19767.631895315601</v>
      </c>
      <c r="BL75" s="2">
        <f t="shared" si="69"/>
        <v>20222.765117803599</v>
      </c>
      <c r="BM75" s="2">
        <f t="shared" si="69"/>
        <v>20674.889700883901</v>
      </c>
      <c r="BN75" s="2">
        <f t="shared" si="69"/>
        <v>21123.429609901799</v>
      </c>
      <c r="BO75" s="2">
        <f t="shared" si="69"/>
        <v>21568.6358038748</v>
      </c>
      <c r="BP75" s="2">
        <f t="shared" si="69"/>
        <v>22010.515198806301</v>
      </c>
      <c r="BQ75" s="2">
        <f t="shared" si="69"/>
        <v>22448.848258387101</v>
      </c>
      <c r="BR75" s="2">
        <f t="shared" si="69"/>
        <v>22881.9096221166</v>
      </c>
      <c r="BS75" s="2">
        <f t="shared" si="69"/>
        <v>23308.318689498701</v>
      </c>
      <c r="BT75" s="2">
        <f t="shared" si="68"/>
        <v>23727.828490574699</v>
      </c>
      <c r="BU75" s="2">
        <f t="shared" si="68"/>
        <v>24149.655417519101</v>
      </c>
      <c r="BV75" s="2">
        <f t="shared" si="68"/>
        <v>24573.7770240178</v>
      </c>
      <c r="BW75" s="2">
        <f t="shared" si="68"/>
        <v>24999.2446128679</v>
      </c>
      <c r="BX75" s="2">
        <f t="shared" si="68"/>
        <v>25424.9052278132</v>
      </c>
      <c r="BY75" s="2">
        <f t="shared" si="68"/>
        <v>25852.644074268599</v>
      </c>
      <c r="BZ75" s="2">
        <f t="shared" si="68"/>
        <v>26282.899404206499</v>
      </c>
      <c r="CA75" s="2">
        <f t="shared" si="68"/>
        <v>26713.366444466599</v>
      </c>
      <c r="CB75" s="2">
        <f t="shared" si="68"/>
        <v>27144.696435622402</v>
      </c>
      <c r="CC75" s="2">
        <f t="shared" si="68"/>
        <v>27576.346265435401</v>
      </c>
      <c r="CD75" s="2">
        <f t="shared" si="68"/>
        <v>28008.366468877499</v>
      </c>
    </row>
    <row r="76" spans="3:82" s="2" customFormat="1" x14ac:dyDescent="0.2">
      <c r="D76" s="2" t="s">
        <v>38</v>
      </c>
      <c r="F76" s="2" t="s">
        <v>8</v>
      </c>
      <c r="G76" s="2">
        <f t="shared" si="65"/>
        <v>1</v>
      </c>
      <c r="H76" s="2">
        <f t="shared" ref="H76:V79" si="70">P319</f>
        <v>0</v>
      </c>
      <c r="I76" s="2" t="str">
        <f t="shared" si="70"/>
        <v>emission_co2e_n2o_scoe_residential</v>
      </c>
      <c r="J76" s="2">
        <f t="shared" si="70"/>
        <v>0</v>
      </c>
      <c r="K76" s="2">
        <f t="shared" si="70"/>
        <v>192.465</v>
      </c>
      <c r="L76" s="2">
        <f t="shared" si="70"/>
        <v>192.465</v>
      </c>
      <c r="M76" s="2">
        <f t="shared" si="70"/>
        <v>204.75</v>
      </c>
      <c r="N76" s="2">
        <f t="shared" si="70"/>
        <v>211.30199999999999</v>
      </c>
      <c r="O76" s="2">
        <f t="shared" si="70"/>
        <v>222.22200000000001</v>
      </c>
      <c r="P76" s="2">
        <f t="shared" si="70"/>
        <v>220.03800000000001</v>
      </c>
      <c r="Q76" s="2">
        <f t="shared" si="70"/>
        <v>236.41800000000001</v>
      </c>
      <c r="R76" s="2">
        <f t="shared" si="70"/>
        <v>258.80399999999997</v>
      </c>
      <c r="S76" s="2">
        <f t="shared" si="70"/>
        <v>258.53100000000001</v>
      </c>
      <c r="T76" s="2">
        <f t="shared" si="70"/>
        <v>264.53699999999998</v>
      </c>
      <c r="U76" s="2">
        <f t="shared" si="70"/>
        <v>272.72699999999998</v>
      </c>
      <c r="V76" s="2">
        <f t="shared" si="70"/>
        <v>281.46300000000002</v>
      </c>
      <c r="W76" s="2">
        <f t="shared" si="69"/>
        <v>290.19900000000001</v>
      </c>
      <c r="X76" s="2">
        <f t="shared" si="69"/>
        <v>302.21100000000001</v>
      </c>
      <c r="Y76" s="2">
        <f t="shared" si="69"/>
        <v>309.30900000000003</v>
      </c>
      <c r="Z76" s="2">
        <f t="shared" si="69"/>
        <v>318.86399999999998</v>
      </c>
      <c r="AA76" s="2">
        <f t="shared" si="69"/>
        <v>329.238</v>
      </c>
      <c r="AB76" s="2">
        <f t="shared" si="69"/>
        <v>339.61200000000002</v>
      </c>
      <c r="AC76" s="2">
        <f t="shared" si="69"/>
        <v>320.50200000000001</v>
      </c>
      <c r="AD76" s="2">
        <f t="shared" si="69"/>
        <v>361.452</v>
      </c>
      <c r="AE76" s="2">
        <f t="shared" si="69"/>
        <v>391.755</v>
      </c>
      <c r="AF76" s="2">
        <f t="shared" si="69"/>
        <v>362.27100000000002</v>
      </c>
      <c r="AG76" s="2">
        <f t="shared" si="69"/>
        <v>362.27100000000002</v>
      </c>
      <c r="AH76" s="2">
        <f t="shared" si="69"/>
        <v>381.92700000000002</v>
      </c>
      <c r="AI76" s="2">
        <f t="shared" si="69"/>
        <v>377.01299999999998</v>
      </c>
      <c r="AJ76" s="2">
        <f t="shared" si="69"/>
        <v>525.021060147806</v>
      </c>
      <c r="AK76" s="2">
        <f t="shared" si="69"/>
        <v>522.75874575851799</v>
      </c>
      <c r="AL76" s="2">
        <f t="shared" si="69"/>
        <v>539.54506416913091</v>
      </c>
      <c r="AM76" s="2">
        <f t="shared" si="69"/>
        <v>557.69272451593497</v>
      </c>
      <c r="AN76" s="2">
        <f t="shared" si="69"/>
        <v>577.3020393071821</v>
      </c>
      <c r="AO76" s="2">
        <f t="shared" si="69"/>
        <v>598.18205364887206</v>
      </c>
      <c r="AP76" s="2">
        <f t="shared" si="69"/>
        <v>620.58838187791093</v>
      </c>
      <c r="AQ76" s="2">
        <f t="shared" si="69"/>
        <v>639.88586065486095</v>
      </c>
      <c r="AR76" s="2">
        <f t="shared" si="69"/>
        <v>657.55154318291693</v>
      </c>
      <c r="AS76" s="2">
        <f t="shared" si="69"/>
        <v>671.600900499913</v>
      </c>
      <c r="AT76" s="2">
        <f t="shared" si="69"/>
        <v>678.64204362628095</v>
      </c>
      <c r="AU76" s="2">
        <f t="shared" si="69"/>
        <v>673.45304841011796</v>
      </c>
      <c r="AV76" s="2">
        <f t="shared" si="69"/>
        <v>654.93854590843102</v>
      </c>
      <c r="AW76" s="2">
        <f t="shared" si="69"/>
        <v>620.15592947026198</v>
      </c>
      <c r="AX76" s="2">
        <f t="shared" si="69"/>
        <v>567.92452248037796</v>
      </c>
      <c r="AY76" s="2">
        <f t="shared" si="69"/>
        <v>500.19020502198401</v>
      </c>
      <c r="AZ76" s="2">
        <f t="shared" si="69"/>
        <v>422.44786185933202</v>
      </c>
      <c r="BA76" s="2">
        <f t="shared" si="69"/>
        <v>342.47402771041101</v>
      </c>
      <c r="BB76" s="2">
        <f t="shared" si="69"/>
        <v>267.83631469505701</v>
      </c>
      <c r="BC76" s="2">
        <f t="shared" si="69"/>
        <v>203.72040440212899</v>
      </c>
      <c r="BD76" s="2">
        <f t="shared" si="69"/>
        <v>152.06032333356899</v>
      </c>
      <c r="BE76" s="2">
        <f t="shared" si="69"/>
        <v>112.589505481047</v>
      </c>
      <c r="BF76" s="2">
        <f t="shared" si="69"/>
        <v>83.483429349975296</v>
      </c>
      <c r="BG76" s="2">
        <f t="shared" si="69"/>
        <v>62.764029142803203</v>
      </c>
      <c r="BH76" s="2">
        <f t="shared" si="69"/>
        <v>48.3346538698068</v>
      </c>
      <c r="BI76" s="2">
        <f t="shared" si="69"/>
        <v>38.457435160838301</v>
      </c>
      <c r="BJ76" s="2">
        <f t="shared" si="69"/>
        <v>39.387551242247604</v>
      </c>
      <c r="BK76" s="2">
        <f t="shared" si="69"/>
        <v>40.317714461590697</v>
      </c>
      <c r="BL76" s="2">
        <f t="shared" si="69"/>
        <v>41.245996180080503</v>
      </c>
      <c r="BM76" s="2">
        <f t="shared" si="69"/>
        <v>42.1681415305315</v>
      </c>
      <c r="BN76" s="2">
        <f t="shared" si="69"/>
        <v>43.082975642790487</v>
      </c>
      <c r="BO76" s="2">
        <f t="shared" si="69"/>
        <v>43.991010368456799</v>
      </c>
      <c r="BP76" s="2">
        <f t="shared" si="69"/>
        <v>44.8922598132893</v>
      </c>
      <c r="BQ76" s="2">
        <f t="shared" si="69"/>
        <v>45.786276214891799</v>
      </c>
      <c r="BR76" s="2">
        <f t="shared" si="69"/>
        <v>46.669540558322502</v>
      </c>
      <c r="BS76" s="2">
        <f t="shared" si="69"/>
        <v>47.539236995082703</v>
      </c>
      <c r="BT76" s="2">
        <f t="shared" si="68"/>
        <v>48.394861809587198</v>
      </c>
      <c r="BU76" s="2">
        <f t="shared" si="68"/>
        <v>49.255212593273413</v>
      </c>
      <c r="BV76" s="2">
        <f t="shared" si="68"/>
        <v>50.120243565033803</v>
      </c>
      <c r="BW76" s="2">
        <f t="shared" si="68"/>
        <v>50.988019778733197</v>
      </c>
      <c r="BX76" s="2">
        <f t="shared" si="68"/>
        <v>51.856189685062297</v>
      </c>
      <c r="BY76" s="2">
        <f t="shared" si="68"/>
        <v>52.728598315840699</v>
      </c>
      <c r="BZ76" s="2">
        <f t="shared" si="68"/>
        <v>53.606139522085101</v>
      </c>
      <c r="CA76" s="2">
        <f t="shared" si="68"/>
        <v>54.484112528980603</v>
      </c>
      <c r="CB76" s="2">
        <f t="shared" si="68"/>
        <v>55.363845595350703</v>
      </c>
      <c r="CC76" s="2">
        <f t="shared" si="68"/>
        <v>56.244230999022697</v>
      </c>
      <c r="CD76" s="2">
        <f t="shared" si="68"/>
        <v>57.125371810236487</v>
      </c>
    </row>
    <row r="77" spans="3:82" s="2" customFormat="1" x14ac:dyDescent="0.2">
      <c r="D77" s="2" t="s">
        <v>39</v>
      </c>
      <c r="F77" s="2" t="s">
        <v>6</v>
      </c>
      <c r="G77" s="2">
        <f t="shared" si="65"/>
        <v>1</v>
      </c>
      <c r="H77" s="2">
        <f t="shared" si="70"/>
        <v>0</v>
      </c>
      <c r="I77" s="2" t="str">
        <f t="shared" si="70"/>
        <v>emission_co2e_ch4_inen_agriculture_and_livestock</v>
      </c>
      <c r="J77" s="2">
        <f t="shared" si="70"/>
        <v>0</v>
      </c>
      <c r="K77" s="2">
        <f t="shared" si="70"/>
        <v>0.1116</v>
      </c>
      <c r="L77" s="2">
        <f t="shared" si="70"/>
        <v>0.1116</v>
      </c>
      <c r="M77" s="2">
        <f t="shared" si="70"/>
        <v>0.13950000000000001</v>
      </c>
      <c r="N77" s="2">
        <f t="shared" si="70"/>
        <v>0.13950000000000001</v>
      </c>
      <c r="O77" s="2">
        <f t="shared" si="70"/>
        <v>0.16739999999999999</v>
      </c>
      <c r="P77" s="2">
        <f t="shared" si="70"/>
        <v>0.1953</v>
      </c>
      <c r="Q77" s="2">
        <f t="shared" si="70"/>
        <v>0.1953</v>
      </c>
      <c r="R77" s="2">
        <f t="shared" si="70"/>
        <v>0.22320000000000001</v>
      </c>
      <c r="S77" s="2">
        <f t="shared" si="70"/>
        <v>0.22320000000000001</v>
      </c>
      <c r="T77" s="2">
        <f t="shared" si="70"/>
        <v>0.25109999999999999</v>
      </c>
      <c r="U77" s="2">
        <f t="shared" si="70"/>
        <v>0.30690000000000001</v>
      </c>
      <c r="V77" s="2">
        <f t="shared" si="70"/>
        <v>0.41849999999999998</v>
      </c>
      <c r="W77" s="2">
        <f t="shared" ref="W77:AF79" si="71">AE320</f>
        <v>0.44640000000000002</v>
      </c>
      <c r="X77" s="2">
        <f t="shared" si="71"/>
        <v>0.50219999999999998</v>
      </c>
      <c r="Y77" s="2">
        <f t="shared" si="71"/>
        <v>0.55799999999999994</v>
      </c>
      <c r="Z77" s="2">
        <f t="shared" si="71"/>
        <v>0.6137999999999999</v>
      </c>
      <c r="AA77" s="2">
        <f t="shared" si="71"/>
        <v>0.64169999999999994</v>
      </c>
      <c r="AB77" s="2">
        <f t="shared" si="71"/>
        <v>0.6137999999999999</v>
      </c>
      <c r="AC77" s="2">
        <f t="shared" si="71"/>
        <v>0.58589999999999998</v>
      </c>
      <c r="AD77" s="2">
        <f t="shared" si="71"/>
        <v>0.97650000000000003</v>
      </c>
      <c r="AE77" s="2">
        <f t="shared" si="71"/>
        <v>0.69750000000000001</v>
      </c>
      <c r="AF77" s="2">
        <f t="shared" si="71"/>
        <v>1.0881000000000001</v>
      </c>
      <c r="AG77" s="2">
        <f t="shared" ref="AG77:AP79" si="72">AO320</f>
        <v>1.1438999999999999</v>
      </c>
      <c r="AH77" s="2">
        <f t="shared" si="72"/>
        <v>0.69750000000000001</v>
      </c>
      <c r="AI77" s="2">
        <f t="shared" si="72"/>
        <v>1.9809000000000001</v>
      </c>
      <c r="AJ77" s="2">
        <f t="shared" si="72"/>
        <v>0.7885407973577</v>
      </c>
      <c r="AK77" s="2">
        <f t="shared" si="72"/>
        <v>0.81044281515619998</v>
      </c>
      <c r="AL77" s="2">
        <f t="shared" si="72"/>
        <v>0.81770257646190003</v>
      </c>
      <c r="AM77" s="2">
        <f t="shared" si="72"/>
        <v>0.82083435461050003</v>
      </c>
      <c r="AN77" s="2">
        <f t="shared" si="72"/>
        <v>0.85048626247010006</v>
      </c>
      <c r="AO77" s="2">
        <f t="shared" si="72"/>
        <v>0.88394736841620003</v>
      </c>
      <c r="AP77" s="2">
        <f t="shared" si="72"/>
        <v>0.92380329002750006</v>
      </c>
      <c r="AQ77" s="2">
        <f t="shared" ref="AQ77:AZ79" si="73">AY320</f>
        <v>1.0583739764967</v>
      </c>
      <c r="AR77" s="2">
        <f t="shared" si="73"/>
        <v>1.2540170311747001</v>
      </c>
      <c r="AS77" s="2">
        <f t="shared" si="73"/>
        <v>1.5414541919471001</v>
      </c>
      <c r="AT77" s="2">
        <f t="shared" si="73"/>
        <v>1.9623817841930999</v>
      </c>
      <c r="AU77" s="2">
        <f t="shared" si="73"/>
        <v>2.5700373998008001</v>
      </c>
      <c r="AV77" s="2">
        <f t="shared" si="73"/>
        <v>3.4262757264447998</v>
      </c>
      <c r="AW77" s="2">
        <f t="shared" si="73"/>
        <v>4.5847126534325007</v>
      </c>
      <c r="AX77" s="2">
        <f t="shared" si="73"/>
        <v>6.0663087541146998</v>
      </c>
      <c r="AY77" s="2">
        <f t="shared" si="73"/>
        <v>7.8328466354968</v>
      </c>
      <c r="AZ77" s="2">
        <f t="shared" si="73"/>
        <v>9.7780246862878997</v>
      </c>
      <c r="BA77" s="2">
        <f t="shared" ref="BA77:BJ79" si="74">BI320</f>
        <v>11.7514510743272</v>
      </c>
      <c r="BB77" s="2">
        <f t="shared" si="74"/>
        <v>13.606877024735001</v>
      </c>
      <c r="BC77" s="2">
        <f t="shared" si="74"/>
        <v>15.244892327238</v>
      </c>
      <c r="BD77" s="2">
        <f t="shared" si="74"/>
        <v>16.623160914159801</v>
      </c>
      <c r="BE77" s="2">
        <f t="shared" si="74"/>
        <v>17.749839372125599</v>
      </c>
      <c r="BF77" s="2">
        <f t="shared" si="74"/>
        <v>18.6578552792834</v>
      </c>
      <c r="BG77" s="2">
        <f t="shared" si="74"/>
        <v>19.392459764463901</v>
      </c>
      <c r="BH77" s="2">
        <f t="shared" si="74"/>
        <v>19.976613553928999</v>
      </c>
      <c r="BI77" s="2">
        <f t="shared" si="74"/>
        <v>20.399498510679599</v>
      </c>
      <c r="BJ77" s="2">
        <f t="shared" si="74"/>
        <v>20.6619594621828</v>
      </c>
      <c r="BK77" s="2">
        <f t="shared" ref="BK77:BT79" si="75">BS320</f>
        <v>20.94567614316</v>
      </c>
      <c r="BL77" s="2">
        <f t="shared" si="75"/>
        <v>21.246536830895799</v>
      </c>
      <c r="BM77" s="2">
        <f t="shared" si="75"/>
        <v>21.560277500182</v>
      </c>
      <c r="BN77" s="2">
        <f t="shared" si="75"/>
        <v>21.883342696662101</v>
      </c>
      <c r="BO77" s="2">
        <f t="shared" si="75"/>
        <v>22.212804252987699</v>
      </c>
      <c r="BP77" s="2">
        <f t="shared" si="75"/>
        <v>22.546569169169501</v>
      </c>
      <c r="BQ77" s="2">
        <f t="shared" si="75"/>
        <v>22.883112381416801</v>
      </c>
      <c r="BR77" s="2">
        <f t="shared" si="75"/>
        <v>23.2210180817492</v>
      </c>
      <c r="BS77" s="2">
        <f t="shared" si="75"/>
        <v>23.559011688007899</v>
      </c>
      <c r="BT77" s="2">
        <f t="shared" si="68"/>
        <v>23.896115418228</v>
      </c>
      <c r="BU77" s="2">
        <f t="shared" si="68"/>
        <v>24.236269119265</v>
      </c>
      <c r="BV77" s="2">
        <f t="shared" si="68"/>
        <v>24.5811780686841</v>
      </c>
      <c r="BW77" s="2">
        <f t="shared" si="68"/>
        <v>24.931752383844799</v>
      </c>
      <c r="BX77" s="2">
        <f t="shared" si="68"/>
        <v>25.288362348559499</v>
      </c>
      <c r="BY77" s="2">
        <f t="shared" si="68"/>
        <v>25.6516980758967</v>
      </c>
      <c r="BZ77" s="2">
        <f t="shared" si="68"/>
        <v>26.022085688439901</v>
      </c>
      <c r="CA77" s="2">
        <f t="shared" si="68"/>
        <v>26.398799642405699</v>
      </c>
      <c r="CB77" s="2">
        <f t="shared" si="68"/>
        <v>26.782208306724801</v>
      </c>
      <c r="CC77" s="2">
        <f t="shared" si="68"/>
        <v>27.1723701967856</v>
      </c>
      <c r="CD77" s="2">
        <f t="shared" si="68"/>
        <v>27.569322578000602</v>
      </c>
    </row>
    <row r="78" spans="3:82" s="2" customFormat="1" x14ac:dyDescent="0.2">
      <c r="D78" s="2" t="s">
        <v>39</v>
      </c>
      <c r="F78" s="2" t="s">
        <v>7</v>
      </c>
      <c r="G78" s="2">
        <f t="shared" si="65"/>
        <v>1</v>
      </c>
      <c r="H78" s="2">
        <f t="shared" si="70"/>
        <v>0</v>
      </c>
      <c r="I78" s="2" t="str">
        <f t="shared" si="70"/>
        <v>emission_co2e_co2_inen_nbmass_agriculture_and_livestock</v>
      </c>
      <c r="J78" s="2">
        <f t="shared" si="70"/>
        <v>0</v>
      </c>
      <c r="K78" s="2">
        <f t="shared" si="70"/>
        <v>32.606999999999999</v>
      </c>
      <c r="L78" s="2">
        <f t="shared" si="70"/>
        <v>32.606999999999999</v>
      </c>
      <c r="M78" s="2">
        <f t="shared" si="70"/>
        <v>34.021999999999998</v>
      </c>
      <c r="N78" s="2">
        <f t="shared" si="70"/>
        <v>40.497999999999998</v>
      </c>
      <c r="O78" s="2">
        <f t="shared" si="70"/>
        <v>47.002000000000002</v>
      </c>
      <c r="P78" s="2">
        <f t="shared" si="70"/>
        <v>48.636000000000003</v>
      </c>
      <c r="Q78" s="2">
        <f t="shared" si="70"/>
        <v>49.866</v>
      </c>
      <c r="R78" s="2">
        <f t="shared" si="70"/>
        <v>59.673999999999999</v>
      </c>
      <c r="S78" s="2">
        <f t="shared" si="70"/>
        <v>59.725000000000001</v>
      </c>
      <c r="T78" s="2">
        <f t="shared" si="70"/>
        <v>68.245999999999995</v>
      </c>
      <c r="U78" s="2">
        <f t="shared" si="70"/>
        <v>83.578999999999994</v>
      </c>
      <c r="V78" s="2">
        <f t="shared" si="70"/>
        <v>109.17700000000001</v>
      </c>
      <c r="W78" s="2">
        <f t="shared" si="71"/>
        <v>121.38200000000001</v>
      </c>
      <c r="X78" s="2">
        <f t="shared" si="71"/>
        <v>136.624</v>
      </c>
      <c r="Y78" s="2">
        <f t="shared" si="71"/>
        <v>148.702</v>
      </c>
      <c r="Z78" s="2">
        <f t="shared" si="71"/>
        <v>164.102</v>
      </c>
      <c r="AA78" s="2">
        <f t="shared" si="71"/>
        <v>172.131</v>
      </c>
      <c r="AB78" s="2">
        <f t="shared" si="71"/>
        <v>165.309</v>
      </c>
      <c r="AC78" s="2">
        <f t="shared" si="71"/>
        <v>153.239</v>
      </c>
      <c r="AD78" s="2">
        <f t="shared" si="71"/>
        <v>255.10300000000001</v>
      </c>
      <c r="AE78" s="2">
        <f t="shared" si="71"/>
        <v>173.804</v>
      </c>
      <c r="AF78" s="2">
        <f t="shared" si="71"/>
        <v>273.45800000000003</v>
      </c>
      <c r="AG78" s="2">
        <f t="shared" si="72"/>
        <v>284.38400000000001</v>
      </c>
      <c r="AH78" s="2">
        <f t="shared" si="72"/>
        <v>179.82400000000001</v>
      </c>
      <c r="AI78" s="2">
        <f t="shared" si="72"/>
        <v>508.23099999999999</v>
      </c>
      <c r="AJ78" s="2">
        <f t="shared" si="72"/>
        <v>586.75438355211998</v>
      </c>
      <c r="AK78" s="2">
        <f t="shared" si="72"/>
        <v>603.05170766649996</v>
      </c>
      <c r="AL78" s="2">
        <f t="shared" si="72"/>
        <v>608.45370688319201</v>
      </c>
      <c r="AM78" s="2">
        <f t="shared" si="72"/>
        <v>610.78406767513707</v>
      </c>
      <c r="AN78" s="2">
        <f t="shared" si="72"/>
        <v>632.84809654406206</v>
      </c>
      <c r="AO78" s="2">
        <f t="shared" si="72"/>
        <v>657.746555391372</v>
      </c>
      <c r="AP78" s="2">
        <f t="shared" si="72"/>
        <v>687.40340611394799</v>
      </c>
      <c r="AQ78" s="2">
        <f t="shared" si="73"/>
        <v>719.98947484037797</v>
      </c>
      <c r="AR78" s="2">
        <f t="shared" si="73"/>
        <v>755.94299985020791</v>
      </c>
      <c r="AS78" s="2">
        <f t="shared" si="73"/>
        <v>794.78205289724201</v>
      </c>
      <c r="AT78" s="2">
        <f t="shared" si="73"/>
        <v>834.68774399686492</v>
      </c>
      <c r="AU78" s="2">
        <f t="shared" si="73"/>
        <v>873.07136016212291</v>
      </c>
      <c r="AV78" s="2">
        <f t="shared" si="73"/>
        <v>907.68981700532697</v>
      </c>
      <c r="AW78" s="2">
        <f t="shared" si="73"/>
        <v>936.07692563218302</v>
      </c>
      <c r="AX78" s="2">
        <f t="shared" si="73"/>
        <v>956.526958687302</v>
      </c>
      <c r="AY78" s="2">
        <f t="shared" si="73"/>
        <v>968.79531542390293</v>
      </c>
      <c r="AZ78" s="2">
        <f t="shared" si="73"/>
        <v>974.390289740453</v>
      </c>
      <c r="BA78" s="2">
        <f t="shared" si="74"/>
        <v>976.10720017360097</v>
      </c>
      <c r="BB78" s="2">
        <f t="shared" si="74"/>
        <v>976.98566499585309</v>
      </c>
      <c r="BC78" s="2">
        <f t="shared" si="74"/>
        <v>979.34669419715499</v>
      </c>
      <c r="BD78" s="2">
        <f t="shared" si="74"/>
        <v>984.16529911799398</v>
      </c>
      <c r="BE78" s="2">
        <f t="shared" si="74"/>
        <v>991.61261986352201</v>
      </c>
      <c r="BF78" s="2">
        <f t="shared" si="74"/>
        <v>1001.19022340472</v>
      </c>
      <c r="BG78" s="2">
        <f t="shared" si="74"/>
        <v>1012.41710333803</v>
      </c>
      <c r="BH78" s="2">
        <f t="shared" si="74"/>
        <v>1023.79861633234</v>
      </c>
      <c r="BI78" s="2">
        <f t="shared" si="74"/>
        <v>1032.6357372917</v>
      </c>
      <c r="BJ78" s="2">
        <f t="shared" si="74"/>
        <v>1045.92167949386</v>
      </c>
      <c r="BK78" s="2">
        <f t="shared" si="75"/>
        <v>1060.2836003954701</v>
      </c>
      <c r="BL78" s="2">
        <f t="shared" si="75"/>
        <v>1075.5133619476601</v>
      </c>
      <c r="BM78" s="2">
        <f t="shared" si="75"/>
        <v>1091.3951164514399</v>
      </c>
      <c r="BN78" s="2">
        <f t="shared" si="75"/>
        <v>1107.7488845200901</v>
      </c>
      <c r="BO78" s="2">
        <f t="shared" si="75"/>
        <v>1124.4264404388</v>
      </c>
      <c r="BP78" s="2">
        <f t="shared" si="75"/>
        <v>1141.32183520172</v>
      </c>
      <c r="BQ78" s="2">
        <f t="shared" si="75"/>
        <v>1158.3578690987099</v>
      </c>
      <c r="BR78" s="2">
        <f t="shared" si="75"/>
        <v>1175.46287301904</v>
      </c>
      <c r="BS78" s="2">
        <f t="shared" si="75"/>
        <v>1192.5723267938999</v>
      </c>
      <c r="BT78" s="2">
        <f t="shared" si="68"/>
        <v>1209.6367344712501</v>
      </c>
      <c r="BU78" s="2">
        <f t="shared" si="68"/>
        <v>1226.85553363334</v>
      </c>
      <c r="BV78" s="2">
        <f t="shared" si="68"/>
        <v>1244.31504652751</v>
      </c>
      <c r="BW78" s="2">
        <f t="shared" si="68"/>
        <v>1262.0613438799701</v>
      </c>
      <c r="BX78" s="2">
        <f t="shared" si="68"/>
        <v>1280.1131696954999</v>
      </c>
      <c r="BY78" s="2">
        <f t="shared" si="68"/>
        <v>1298.50545794154</v>
      </c>
      <c r="BZ78" s="2">
        <f t="shared" si="68"/>
        <v>1317.25471715309</v>
      </c>
      <c r="CA78" s="2">
        <f t="shared" si="68"/>
        <v>1336.3242198370799</v>
      </c>
      <c r="CB78" s="2">
        <f t="shared" si="68"/>
        <v>1355.73261306576</v>
      </c>
      <c r="CC78" s="2">
        <f t="shared" si="68"/>
        <v>1375.4828589257199</v>
      </c>
      <c r="CD78" s="2">
        <f t="shared" si="68"/>
        <v>1395.5768438161499</v>
      </c>
    </row>
    <row r="79" spans="3:82" s="2" customFormat="1" x14ac:dyDescent="0.2">
      <c r="D79" s="2" t="s">
        <v>39</v>
      </c>
      <c r="F79" s="2" t="s">
        <v>8</v>
      </c>
      <c r="G79" s="2">
        <f t="shared" si="65"/>
        <v>1</v>
      </c>
      <c r="H79" s="2">
        <f t="shared" si="70"/>
        <v>0</v>
      </c>
      <c r="I79" s="2" t="str">
        <f t="shared" si="70"/>
        <v>emission_co2e_n2o_inen_agriculture_and_livestock</v>
      </c>
      <c r="J79" s="2">
        <f t="shared" si="70"/>
        <v>0</v>
      </c>
      <c r="K79" s="2">
        <f t="shared" si="70"/>
        <v>0</v>
      </c>
      <c r="L79" s="2">
        <f t="shared" si="70"/>
        <v>0</v>
      </c>
      <c r="M79" s="2">
        <f t="shared" si="70"/>
        <v>0</v>
      </c>
      <c r="N79" s="2">
        <f t="shared" si="70"/>
        <v>0</v>
      </c>
      <c r="O79" s="2">
        <f t="shared" si="70"/>
        <v>0</v>
      </c>
      <c r="P79" s="2">
        <f t="shared" si="70"/>
        <v>0</v>
      </c>
      <c r="Q79" s="2">
        <f t="shared" si="70"/>
        <v>0</v>
      </c>
      <c r="R79" s="2">
        <f t="shared" si="70"/>
        <v>0</v>
      </c>
      <c r="S79" s="2">
        <f t="shared" si="70"/>
        <v>0</v>
      </c>
      <c r="T79" s="2">
        <f t="shared" si="70"/>
        <v>0.27300000000000002</v>
      </c>
      <c r="U79" s="2">
        <f t="shared" si="70"/>
        <v>0.27300000000000002</v>
      </c>
      <c r="V79" s="2">
        <f t="shared" si="70"/>
        <v>0.27300000000000002</v>
      </c>
      <c r="W79" s="2">
        <f t="shared" si="71"/>
        <v>0.27300000000000002</v>
      </c>
      <c r="X79" s="2">
        <f t="shared" si="71"/>
        <v>0.27300000000000002</v>
      </c>
      <c r="Y79" s="2">
        <f t="shared" si="71"/>
        <v>0.27300000000000002</v>
      </c>
      <c r="Z79" s="2">
        <f t="shared" si="71"/>
        <v>0.27300000000000002</v>
      </c>
      <c r="AA79" s="2">
        <f t="shared" si="71"/>
        <v>0.27300000000000002</v>
      </c>
      <c r="AB79" s="2">
        <f t="shared" si="71"/>
        <v>0.27300000000000002</v>
      </c>
      <c r="AC79" s="2">
        <f t="shared" si="71"/>
        <v>0.27300000000000002</v>
      </c>
      <c r="AD79" s="2">
        <f t="shared" si="71"/>
        <v>0.54600000000000004</v>
      </c>
      <c r="AE79" s="2">
        <f t="shared" si="71"/>
        <v>0.54600000000000004</v>
      </c>
      <c r="AF79" s="2">
        <f t="shared" si="71"/>
        <v>0.54600000000000004</v>
      </c>
      <c r="AG79" s="2">
        <f t="shared" si="72"/>
        <v>0.54600000000000004</v>
      </c>
      <c r="AH79" s="2">
        <f t="shared" si="72"/>
        <v>0.54600000000000004</v>
      </c>
      <c r="AI79" s="2">
        <f t="shared" si="72"/>
        <v>1.0920000000000001</v>
      </c>
      <c r="AJ79" s="2">
        <f t="shared" si="72"/>
        <v>1.9100565072325</v>
      </c>
      <c r="AK79" s="2">
        <f t="shared" si="72"/>
        <v>1.9631090465023999</v>
      </c>
      <c r="AL79" s="2">
        <f t="shared" si="72"/>
        <v>1.980694128174</v>
      </c>
      <c r="AM79" s="2">
        <f t="shared" si="72"/>
        <v>1.9882801316528</v>
      </c>
      <c r="AN79" s="2">
        <f t="shared" si="72"/>
        <v>2.0601049754003999</v>
      </c>
      <c r="AO79" s="2">
        <f t="shared" si="72"/>
        <v>2.1411567147218</v>
      </c>
      <c r="AP79" s="2">
        <f t="shared" si="72"/>
        <v>2.237698406262</v>
      </c>
      <c r="AQ79" s="2">
        <f t="shared" si="73"/>
        <v>2.3895307161105999</v>
      </c>
      <c r="AR79" s="2">
        <f t="shared" si="73"/>
        <v>2.5808265240454</v>
      </c>
      <c r="AS79" s="2">
        <f t="shared" si="73"/>
        <v>2.8258282138687001</v>
      </c>
      <c r="AT79" s="2">
        <f t="shared" si="73"/>
        <v>3.1408631376392</v>
      </c>
      <c r="AU79" s="2">
        <f t="shared" si="73"/>
        <v>3.5460912790317001</v>
      </c>
      <c r="AV79" s="2">
        <f t="shared" si="73"/>
        <v>4.0669069217971003</v>
      </c>
      <c r="AW79" s="2">
        <f t="shared" si="73"/>
        <v>4.7239765812238002</v>
      </c>
      <c r="AX79" s="2">
        <f t="shared" si="73"/>
        <v>5.5234678392044998</v>
      </c>
      <c r="AY79" s="2">
        <f t="shared" si="73"/>
        <v>6.4454873234893997</v>
      </c>
      <c r="AZ79" s="2">
        <f t="shared" si="73"/>
        <v>7.4403438214552002</v>
      </c>
      <c r="BA79" s="2">
        <f t="shared" si="74"/>
        <v>8.4394410604399983</v>
      </c>
      <c r="BB79" s="2">
        <f t="shared" si="74"/>
        <v>9.3769007889450009</v>
      </c>
      <c r="BC79" s="2">
        <f t="shared" si="74"/>
        <v>10.208600402554101</v>
      </c>
      <c r="BD79" s="2">
        <f t="shared" si="74"/>
        <v>10.915714646042799</v>
      </c>
      <c r="BE79" s="2">
        <f t="shared" si="74"/>
        <v>11.502795890371599</v>
      </c>
      <c r="BF79" s="2">
        <f t="shared" si="74"/>
        <v>11.985155786665</v>
      </c>
      <c r="BG79" s="2">
        <f t="shared" si="74"/>
        <v>12.3843623814646</v>
      </c>
      <c r="BH79" s="2">
        <f t="shared" si="74"/>
        <v>12.7081355567529</v>
      </c>
      <c r="BI79" s="2">
        <f t="shared" si="74"/>
        <v>12.9440647464885</v>
      </c>
      <c r="BJ79" s="2">
        <f t="shared" si="74"/>
        <v>13.1106037203709</v>
      </c>
      <c r="BK79" s="2">
        <f t="shared" si="75"/>
        <v>13.2906300620139</v>
      </c>
      <c r="BL79" s="2">
        <f t="shared" si="75"/>
        <v>13.481534765856599</v>
      </c>
      <c r="BM79" s="2">
        <f t="shared" si="75"/>
        <v>13.6806121860551</v>
      </c>
      <c r="BN79" s="2">
        <f t="shared" si="75"/>
        <v>13.8856062852183</v>
      </c>
      <c r="BO79" s="2">
        <f t="shared" si="75"/>
        <v>14.0946590574874</v>
      </c>
      <c r="BP79" s="2">
        <f t="shared" si="75"/>
        <v>14.3064424345592</v>
      </c>
      <c r="BQ79" s="2">
        <f t="shared" si="75"/>
        <v>14.519988719877899</v>
      </c>
      <c r="BR79" s="2">
        <f t="shared" si="75"/>
        <v>14.7343995428214</v>
      </c>
      <c r="BS79" s="2">
        <f t="shared" si="75"/>
        <v>14.948866144587299</v>
      </c>
      <c r="BT79" s="2">
        <f t="shared" si="68"/>
        <v>15.162768094577199</v>
      </c>
      <c r="BU79" s="2">
        <f t="shared" si="68"/>
        <v>15.378605338207301</v>
      </c>
      <c r="BV79" s="2">
        <f t="shared" si="68"/>
        <v>15.597459922823001</v>
      </c>
      <c r="BW79" s="2">
        <f t="shared" si="68"/>
        <v>15.819909343896899</v>
      </c>
      <c r="BX79" s="2">
        <f t="shared" si="68"/>
        <v>16.046188557089</v>
      </c>
      <c r="BY79" s="2">
        <f t="shared" si="68"/>
        <v>16.276735458862099</v>
      </c>
      <c r="BZ79" s="2">
        <f t="shared" si="68"/>
        <v>16.511756983315198</v>
      </c>
      <c r="CA79" s="2">
        <f t="shared" si="68"/>
        <v>16.750792752184001</v>
      </c>
      <c r="CB79" s="2">
        <f t="shared" si="68"/>
        <v>16.9940765060819</v>
      </c>
      <c r="CC79" s="2">
        <f t="shared" si="68"/>
        <v>17.241645374694698</v>
      </c>
      <c r="CD79" s="2">
        <f t="shared" si="68"/>
        <v>17.4935230039918</v>
      </c>
    </row>
    <row r="80" spans="3:82" s="3" customFormat="1" x14ac:dyDescent="0.2">
      <c r="C80" s="3" t="s">
        <v>40</v>
      </c>
      <c r="G80" s="3">
        <f>SUM(G81:G83)</f>
        <v>3</v>
      </c>
      <c r="H80" s="3">
        <f t="shared" ref="H80:BS80" si="76">SUM(H81:H83)</f>
        <v>0</v>
      </c>
      <c r="I80" s="3">
        <f t="shared" si="76"/>
        <v>0</v>
      </c>
      <c r="J80" s="3">
        <f t="shared" si="76"/>
        <v>0</v>
      </c>
      <c r="K80" s="3">
        <f t="shared" si="76"/>
        <v>0</v>
      </c>
      <c r="L80" s="3">
        <f t="shared" si="76"/>
        <v>0</v>
      </c>
      <c r="M80" s="3">
        <f t="shared" si="76"/>
        <v>0</v>
      </c>
      <c r="N80" s="3">
        <f t="shared" si="76"/>
        <v>0</v>
      </c>
      <c r="O80" s="3">
        <f t="shared" si="76"/>
        <v>0</v>
      </c>
      <c r="P80" s="3">
        <f t="shared" si="76"/>
        <v>0</v>
      </c>
      <c r="Q80" s="3">
        <f t="shared" si="76"/>
        <v>0</v>
      </c>
      <c r="R80" s="3">
        <f t="shared" si="76"/>
        <v>0</v>
      </c>
      <c r="S80" s="3">
        <f t="shared" si="76"/>
        <v>0</v>
      </c>
      <c r="T80" s="3">
        <f t="shared" si="76"/>
        <v>0</v>
      </c>
      <c r="U80" s="3">
        <f t="shared" si="76"/>
        <v>0</v>
      </c>
      <c r="V80" s="3">
        <f t="shared" si="76"/>
        <v>0</v>
      </c>
      <c r="W80" s="3">
        <f t="shared" si="76"/>
        <v>0</v>
      </c>
      <c r="X80" s="3">
        <f t="shared" si="76"/>
        <v>0</v>
      </c>
      <c r="Y80" s="3">
        <f t="shared" si="76"/>
        <v>0</v>
      </c>
      <c r="Z80" s="3">
        <f t="shared" si="76"/>
        <v>0</v>
      </c>
      <c r="AA80" s="3">
        <f t="shared" si="76"/>
        <v>0</v>
      </c>
      <c r="AB80" s="3">
        <f t="shared" si="76"/>
        <v>0</v>
      </c>
      <c r="AC80" s="3">
        <f t="shared" si="76"/>
        <v>0</v>
      </c>
      <c r="AD80" s="3">
        <f t="shared" si="76"/>
        <v>0</v>
      </c>
      <c r="AE80" s="3">
        <f t="shared" si="76"/>
        <v>0</v>
      </c>
      <c r="AF80" s="3">
        <f t="shared" si="76"/>
        <v>0</v>
      </c>
      <c r="AG80" s="3">
        <f t="shared" si="76"/>
        <v>0</v>
      </c>
      <c r="AH80" s="3">
        <f t="shared" si="76"/>
        <v>0</v>
      </c>
      <c r="AI80" s="3">
        <f t="shared" si="76"/>
        <v>3.1850000000000001</v>
      </c>
      <c r="AJ80" s="3">
        <f t="shared" si="76"/>
        <v>0</v>
      </c>
      <c r="AK80" s="3">
        <f t="shared" si="76"/>
        <v>0</v>
      </c>
      <c r="AL80" s="3">
        <f t="shared" si="76"/>
        <v>0</v>
      </c>
      <c r="AM80" s="3">
        <f t="shared" si="76"/>
        <v>0</v>
      </c>
      <c r="AN80" s="3">
        <f t="shared" si="76"/>
        <v>0</v>
      </c>
      <c r="AO80" s="3">
        <f t="shared" si="76"/>
        <v>0</v>
      </c>
      <c r="AP80" s="3">
        <f t="shared" si="76"/>
        <v>0</v>
      </c>
      <c r="AQ80" s="3">
        <f t="shared" si="76"/>
        <v>0</v>
      </c>
      <c r="AR80" s="3">
        <f t="shared" si="76"/>
        <v>0</v>
      </c>
      <c r="AS80" s="3">
        <f t="shared" si="76"/>
        <v>0</v>
      </c>
      <c r="AT80" s="3">
        <f t="shared" si="76"/>
        <v>0</v>
      </c>
      <c r="AU80" s="3">
        <f t="shared" si="76"/>
        <v>0</v>
      </c>
      <c r="AV80" s="3">
        <f t="shared" si="76"/>
        <v>0</v>
      </c>
      <c r="AW80" s="3">
        <f t="shared" si="76"/>
        <v>0</v>
      </c>
      <c r="AX80" s="3">
        <f t="shared" si="76"/>
        <v>0</v>
      </c>
      <c r="AY80" s="3">
        <f t="shared" si="76"/>
        <v>0</v>
      </c>
      <c r="AZ80" s="3">
        <f t="shared" si="76"/>
        <v>0</v>
      </c>
      <c r="BA80" s="3">
        <f t="shared" si="76"/>
        <v>0</v>
      </c>
      <c r="BB80" s="3">
        <f t="shared" si="76"/>
        <v>0</v>
      </c>
      <c r="BC80" s="3">
        <f t="shared" si="76"/>
        <v>0</v>
      </c>
      <c r="BD80" s="3">
        <f t="shared" si="76"/>
        <v>0</v>
      </c>
      <c r="BE80" s="3">
        <f t="shared" si="76"/>
        <v>0</v>
      </c>
      <c r="BF80" s="3">
        <f t="shared" si="76"/>
        <v>0</v>
      </c>
      <c r="BG80" s="3">
        <f t="shared" si="76"/>
        <v>0</v>
      </c>
      <c r="BH80" s="3">
        <f t="shared" si="76"/>
        <v>0</v>
      </c>
      <c r="BI80" s="3">
        <f t="shared" si="76"/>
        <v>0</v>
      </c>
      <c r="BJ80" s="3">
        <f t="shared" si="76"/>
        <v>0</v>
      </c>
      <c r="BK80" s="3">
        <f t="shared" si="76"/>
        <v>0</v>
      </c>
      <c r="BL80" s="3">
        <f t="shared" si="76"/>
        <v>0</v>
      </c>
      <c r="BM80" s="3">
        <f t="shared" si="76"/>
        <v>0</v>
      </c>
      <c r="BN80" s="3">
        <f t="shared" si="76"/>
        <v>0</v>
      </c>
      <c r="BO80" s="3">
        <f t="shared" si="76"/>
        <v>0</v>
      </c>
      <c r="BP80" s="3">
        <f t="shared" si="76"/>
        <v>0</v>
      </c>
      <c r="BQ80" s="3">
        <f t="shared" si="76"/>
        <v>0</v>
      </c>
      <c r="BR80" s="3">
        <f t="shared" si="76"/>
        <v>0</v>
      </c>
      <c r="BS80" s="3">
        <f t="shared" si="76"/>
        <v>0</v>
      </c>
      <c r="BT80" s="3">
        <f t="shared" ref="BT80:CD80" si="77">SUM(BT81:BT83)</f>
        <v>0</v>
      </c>
      <c r="BU80" s="3">
        <f t="shared" si="77"/>
        <v>0</v>
      </c>
      <c r="BV80" s="3">
        <f t="shared" si="77"/>
        <v>0</v>
      </c>
      <c r="BW80" s="3">
        <f t="shared" si="77"/>
        <v>0</v>
      </c>
      <c r="BX80" s="3">
        <f t="shared" si="77"/>
        <v>0</v>
      </c>
      <c r="BY80" s="3">
        <f t="shared" si="77"/>
        <v>0</v>
      </c>
      <c r="BZ80" s="3">
        <f t="shared" si="77"/>
        <v>0</v>
      </c>
      <c r="CA80" s="3">
        <f t="shared" si="77"/>
        <v>0</v>
      </c>
      <c r="CB80" s="3">
        <f t="shared" si="77"/>
        <v>0</v>
      </c>
      <c r="CC80" s="3">
        <f t="shared" si="77"/>
        <v>0</v>
      </c>
      <c r="CD80" s="3">
        <f t="shared" si="77"/>
        <v>0</v>
      </c>
    </row>
    <row r="81" spans="2:82" s="2" customFormat="1" x14ac:dyDescent="0.2">
      <c r="F81" s="2" t="s">
        <v>6</v>
      </c>
      <c r="G81" s="2">
        <f>O323</f>
        <v>1</v>
      </c>
      <c r="H81" s="2">
        <f t="shared" ref="H81:BR81" si="78">P323</f>
        <v>0</v>
      </c>
      <c r="I81" s="2" t="str">
        <f t="shared" si="78"/>
        <v>emission_co2e_ch4_scoe_other_se</v>
      </c>
      <c r="J81" s="2">
        <f t="shared" si="78"/>
        <v>0</v>
      </c>
      <c r="K81" s="2">
        <f t="shared" si="78"/>
        <v>0</v>
      </c>
      <c r="L81" s="2">
        <f t="shared" si="78"/>
        <v>0</v>
      </c>
      <c r="M81" s="2">
        <f t="shared" si="78"/>
        <v>0</v>
      </c>
      <c r="N81" s="2">
        <f t="shared" si="78"/>
        <v>0</v>
      </c>
      <c r="O81" s="2">
        <f t="shared" si="78"/>
        <v>0</v>
      </c>
      <c r="P81" s="2">
        <f t="shared" si="78"/>
        <v>0</v>
      </c>
      <c r="Q81" s="2">
        <f t="shared" si="78"/>
        <v>0</v>
      </c>
      <c r="R81" s="2">
        <f t="shared" si="78"/>
        <v>0</v>
      </c>
      <c r="S81" s="2">
        <f t="shared" si="78"/>
        <v>0</v>
      </c>
      <c r="T81" s="2">
        <f t="shared" si="78"/>
        <v>0</v>
      </c>
      <c r="U81" s="2">
        <f t="shared" si="78"/>
        <v>0</v>
      </c>
      <c r="V81" s="2">
        <f t="shared" si="78"/>
        <v>0</v>
      </c>
      <c r="W81" s="2">
        <f t="shared" si="78"/>
        <v>0</v>
      </c>
      <c r="X81" s="2">
        <f t="shared" si="78"/>
        <v>0</v>
      </c>
      <c r="Y81" s="2">
        <f t="shared" si="78"/>
        <v>0</v>
      </c>
      <c r="Z81" s="2">
        <f t="shared" si="78"/>
        <v>0</v>
      </c>
      <c r="AA81" s="2">
        <f t="shared" si="78"/>
        <v>0</v>
      </c>
      <c r="AB81" s="2">
        <f t="shared" si="78"/>
        <v>0</v>
      </c>
      <c r="AC81" s="2">
        <f t="shared" si="78"/>
        <v>0</v>
      </c>
      <c r="AD81" s="2">
        <f t="shared" si="78"/>
        <v>0</v>
      </c>
      <c r="AE81" s="2">
        <f t="shared" si="78"/>
        <v>0</v>
      </c>
      <c r="AF81" s="2">
        <f t="shared" si="78"/>
        <v>0</v>
      </c>
      <c r="AG81" s="2">
        <f t="shared" si="78"/>
        <v>0</v>
      </c>
      <c r="AH81" s="2">
        <f t="shared" si="78"/>
        <v>0</v>
      </c>
      <c r="AI81" s="2">
        <f t="shared" si="78"/>
        <v>0</v>
      </c>
      <c r="AJ81" s="2">
        <f t="shared" si="78"/>
        <v>0</v>
      </c>
      <c r="AK81" s="2">
        <f t="shared" si="78"/>
        <v>0</v>
      </c>
      <c r="AL81" s="2">
        <f t="shared" si="78"/>
        <v>0</v>
      </c>
      <c r="AM81" s="2">
        <f t="shared" si="78"/>
        <v>0</v>
      </c>
      <c r="AN81" s="2">
        <f t="shared" si="78"/>
        <v>0</v>
      </c>
      <c r="AO81" s="2">
        <f t="shared" si="78"/>
        <v>0</v>
      </c>
      <c r="AP81" s="2">
        <f t="shared" si="78"/>
        <v>0</v>
      </c>
      <c r="AQ81" s="2">
        <f t="shared" si="78"/>
        <v>0</v>
      </c>
      <c r="AR81" s="2">
        <f t="shared" si="78"/>
        <v>0</v>
      </c>
      <c r="AS81" s="2">
        <f t="shared" si="78"/>
        <v>0</v>
      </c>
      <c r="AT81" s="2">
        <f t="shared" si="78"/>
        <v>0</v>
      </c>
      <c r="AU81" s="2">
        <f t="shared" si="78"/>
        <v>0</v>
      </c>
      <c r="AV81" s="2">
        <f t="shared" si="78"/>
        <v>0</v>
      </c>
      <c r="AW81" s="2">
        <f t="shared" si="78"/>
        <v>0</v>
      </c>
      <c r="AX81" s="2">
        <f t="shared" si="78"/>
        <v>0</v>
      </c>
      <c r="AY81" s="2">
        <f t="shared" si="78"/>
        <v>0</v>
      </c>
      <c r="AZ81" s="2">
        <f t="shared" si="78"/>
        <v>0</v>
      </c>
      <c r="BA81" s="2">
        <f t="shared" si="78"/>
        <v>0</v>
      </c>
      <c r="BB81" s="2">
        <f t="shared" si="78"/>
        <v>0</v>
      </c>
      <c r="BC81" s="2">
        <f t="shared" si="78"/>
        <v>0</v>
      </c>
      <c r="BD81" s="2">
        <f t="shared" si="78"/>
        <v>0</v>
      </c>
      <c r="BE81" s="2">
        <f t="shared" si="78"/>
        <v>0</v>
      </c>
      <c r="BF81" s="2">
        <f t="shared" si="78"/>
        <v>0</v>
      </c>
      <c r="BG81" s="2">
        <f t="shared" si="78"/>
        <v>0</v>
      </c>
      <c r="BH81" s="2">
        <f t="shared" si="78"/>
        <v>0</v>
      </c>
      <c r="BI81" s="2">
        <f t="shared" si="78"/>
        <v>0</v>
      </c>
      <c r="BJ81" s="2">
        <f t="shared" si="78"/>
        <v>0</v>
      </c>
      <c r="BK81" s="2">
        <f t="shared" si="78"/>
        <v>0</v>
      </c>
      <c r="BL81" s="2">
        <f t="shared" si="78"/>
        <v>0</v>
      </c>
      <c r="BM81" s="2">
        <f t="shared" si="78"/>
        <v>0</v>
      </c>
      <c r="BN81" s="2">
        <f t="shared" si="78"/>
        <v>0</v>
      </c>
      <c r="BO81" s="2">
        <f t="shared" si="78"/>
        <v>0</v>
      </c>
      <c r="BP81" s="2">
        <f t="shared" si="78"/>
        <v>0</v>
      </c>
      <c r="BQ81" s="2">
        <f t="shared" si="78"/>
        <v>0</v>
      </c>
      <c r="BR81" s="2">
        <f t="shared" si="78"/>
        <v>0</v>
      </c>
      <c r="BS81" s="2">
        <f t="shared" ref="BS81:CD83" si="79">CA323</f>
        <v>0</v>
      </c>
      <c r="BT81" s="2">
        <f t="shared" si="79"/>
        <v>0</v>
      </c>
      <c r="BU81" s="2">
        <f t="shared" si="79"/>
        <v>0</v>
      </c>
      <c r="BV81" s="2">
        <f t="shared" si="79"/>
        <v>0</v>
      </c>
      <c r="BW81" s="2">
        <f t="shared" si="79"/>
        <v>0</v>
      </c>
      <c r="BX81" s="2">
        <f t="shared" si="79"/>
        <v>0</v>
      </c>
      <c r="BY81" s="2">
        <f t="shared" si="79"/>
        <v>0</v>
      </c>
      <c r="BZ81" s="2">
        <f t="shared" si="79"/>
        <v>0</v>
      </c>
      <c r="CA81" s="2">
        <f t="shared" si="79"/>
        <v>0</v>
      </c>
      <c r="CB81" s="2">
        <f t="shared" si="79"/>
        <v>0</v>
      </c>
      <c r="CC81" s="2">
        <f t="shared" si="79"/>
        <v>0</v>
      </c>
      <c r="CD81" s="2">
        <f t="shared" si="79"/>
        <v>0</v>
      </c>
    </row>
    <row r="82" spans="2:82" s="2" customFormat="1" x14ac:dyDescent="0.2">
      <c r="F82" s="2" t="s">
        <v>7</v>
      </c>
      <c r="G82" s="2">
        <f>O324</f>
        <v>1</v>
      </c>
      <c r="H82" s="2">
        <f t="shared" ref="H82:Q83" si="80">P324</f>
        <v>0</v>
      </c>
      <c r="I82" s="2" t="str">
        <f t="shared" si="80"/>
        <v>emission_co2e_co2_scoe_nbmass_other_se</v>
      </c>
      <c r="J82" s="2">
        <f t="shared" si="80"/>
        <v>0</v>
      </c>
      <c r="K82" s="2">
        <f t="shared" si="80"/>
        <v>0</v>
      </c>
      <c r="L82" s="2">
        <f t="shared" si="80"/>
        <v>0</v>
      </c>
      <c r="M82" s="2">
        <f t="shared" si="80"/>
        <v>0</v>
      </c>
      <c r="N82" s="2">
        <f t="shared" si="80"/>
        <v>0</v>
      </c>
      <c r="O82" s="2">
        <f t="shared" si="80"/>
        <v>0</v>
      </c>
      <c r="P82" s="2">
        <f t="shared" si="80"/>
        <v>0</v>
      </c>
      <c r="Q82" s="2">
        <f t="shared" si="80"/>
        <v>0</v>
      </c>
      <c r="R82" s="2">
        <f t="shared" ref="R82:AA83" si="81">Z324</f>
        <v>0</v>
      </c>
      <c r="S82" s="2">
        <f t="shared" si="81"/>
        <v>0</v>
      </c>
      <c r="T82" s="2">
        <f t="shared" si="81"/>
        <v>0</v>
      </c>
      <c r="U82" s="2">
        <f t="shared" si="81"/>
        <v>0</v>
      </c>
      <c r="V82" s="2">
        <f t="shared" si="81"/>
        <v>0</v>
      </c>
      <c r="W82" s="2">
        <f t="shared" si="81"/>
        <v>0</v>
      </c>
      <c r="X82" s="2">
        <f t="shared" si="81"/>
        <v>0</v>
      </c>
      <c r="Y82" s="2">
        <f t="shared" si="81"/>
        <v>0</v>
      </c>
      <c r="Z82" s="2">
        <f t="shared" si="81"/>
        <v>0</v>
      </c>
      <c r="AA82" s="2">
        <f t="shared" si="81"/>
        <v>0</v>
      </c>
      <c r="AB82" s="2">
        <f t="shared" ref="AB82:AK83" si="82">AJ324</f>
        <v>0</v>
      </c>
      <c r="AC82" s="2">
        <f t="shared" si="82"/>
        <v>0</v>
      </c>
      <c r="AD82" s="2">
        <f t="shared" si="82"/>
        <v>0</v>
      </c>
      <c r="AE82" s="2">
        <f t="shared" si="82"/>
        <v>0</v>
      </c>
      <c r="AF82" s="2">
        <f t="shared" si="82"/>
        <v>0</v>
      </c>
      <c r="AG82" s="2">
        <f t="shared" si="82"/>
        <v>0</v>
      </c>
      <c r="AH82" s="2">
        <f t="shared" si="82"/>
        <v>0</v>
      </c>
      <c r="AI82" s="2">
        <f t="shared" si="82"/>
        <v>3.1850000000000001</v>
      </c>
      <c r="AJ82" s="2">
        <f t="shared" si="82"/>
        <v>0</v>
      </c>
      <c r="AK82" s="2">
        <f t="shared" si="82"/>
        <v>0</v>
      </c>
      <c r="AL82" s="2">
        <f t="shared" ref="AL82:AU83" si="83">AT324</f>
        <v>0</v>
      </c>
      <c r="AM82" s="2">
        <f t="shared" si="83"/>
        <v>0</v>
      </c>
      <c r="AN82" s="2">
        <f t="shared" si="83"/>
        <v>0</v>
      </c>
      <c r="AO82" s="2">
        <f t="shared" si="83"/>
        <v>0</v>
      </c>
      <c r="AP82" s="2">
        <f t="shared" si="83"/>
        <v>0</v>
      </c>
      <c r="AQ82" s="2">
        <f t="shared" si="83"/>
        <v>0</v>
      </c>
      <c r="AR82" s="2">
        <f t="shared" si="83"/>
        <v>0</v>
      </c>
      <c r="AS82" s="2">
        <f t="shared" si="83"/>
        <v>0</v>
      </c>
      <c r="AT82" s="2">
        <f t="shared" si="83"/>
        <v>0</v>
      </c>
      <c r="AU82" s="2">
        <f t="shared" si="83"/>
        <v>0</v>
      </c>
      <c r="AV82" s="2">
        <f t="shared" ref="AV82:BE83" si="84">BD324</f>
        <v>0</v>
      </c>
      <c r="AW82" s="2">
        <f t="shared" si="84"/>
        <v>0</v>
      </c>
      <c r="AX82" s="2">
        <f t="shared" si="84"/>
        <v>0</v>
      </c>
      <c r="AY82" s="2">
        <f t="shared" si="84"/>
        <v>0</v>
      </c>
      <c r="AZ82" s="2">
        <f t="shared" si="84"/>
        <v>0</v>
      </c>
      <c r="BA82" s="2">
        <f t="shared" si="84"/>
        <v>0</v>
      </c>
      <c r="BB82" s="2">
        <f t="shared" si="84"/>
        <v>0</v>
      </c>
      <c r="BC82" s="2">
        <f t="shared" si="84"/>
        <v>0</v>
      </c>
      <c r="BD82" s="2">
        <f t="shared" si="84"/>
        <v>0</v>
      </c>
      <c r="BE82" s="2">
        <f t="shared" si="84"/>
        <v>0</v>
      </c>
      <c r="BF82" s="2">
        <f t="shared" ref="BF82:BO83" si="85">BN324</f>
        <v>0</v>
      </c>
      <c r="BG82" s="2">
        <f t="shared" si="85"/>
        <v>0</v>
      </c>
      <c r="BH82" s="2">
        <f t="shared" si="85"/>
        <v>0</v>
      </c>
      <c r="BI82" s="2">
        <f t="shared" si="85"/>
        <v>0</v>
      </c>
      <c r="BJ82" s="2">
        <f t="shared" si="85"/>
        <v>0</v>
      </c>
      <c r="BK82" s="2">
        <f t="shared" si="85"/>
        <v>0</v>
      </c>
      <c r="BL82" s="2">
        <f t="shared" si="85"/>
        <v>0</v>
      </c>
      <c r="BM82" s="2">
        <f t="shared" si="85"/>
        <v>0</v>
      </c>
      <c r="BN82" s="2">
        <f t="shared" si="85"/>
        <v>0</v>
      </c>
      <c r="BO82" s="2">
        <f t="shared" si="85"/>
        <v>0</v>
      </c>
      <c r="BP82" s="2">
        <f t="shared" ref="BP82:BY83" si="86">BX324</f>
        <v>0</v>
      </c>
      <c r="BQ82" s="2">
        <f t="shared" si="86"/>
        <v>0</v>
      </c>
      <c r="BR82" s="2">
        <f t="shared" si="86"/>
        <v>0</v>
      </c>
      <c r="BS82" s="2">
        <f t="shared" si="79"/>
        <v>0</v>
      </c>
      <c r="BT82" s="2">
        <f t="shared" si="79"/>
        <v>0</v>
      </c>
      <c r="BU82" s="2">
        <f t="shared" si="79"/>
        <v>0</v>
      </c>
      <c r="BV82" s="2">
        <f t="shared" si="79"/>
        <v>0</v>
      </c>
      <c r="BW82" s="2">
        <f t="shared" si="79"/>
        <v>0</v>
      </c>
      <c r="BX82" s="2">
        <f t="shared" si="79"/>
        <v>0</v>
      </c>
      <c r="BY82" s="2">
        <f t="shared" si="79"/>
        <v>0</v>
      </c>
      <c r="BZ82" s="2">
        <f t="shared" si="79"/>
        <v>0</v>
      </c>
      <c r="CA82" s="2">
        <f t="shared" si="79"/>
        <v>0</v>
      </c>
      <c r="CB82" s="2">
        <f t="shared" si="79"/>
        <v>0</v>
      </c>
      <c r="CC82" s="2">
        <f t="shared" si="79"/>
        <v>0</v>
      </c>
      <c r="CD82" s="2">
        <f t="shared" si="79"/>
        <v>0</v>
      </c>
    </row>
    <row r="83" spans="2:82" s="2" customFormat="1" x14ac:dyDescent="0.2">
      <c r="F83" s="2" t="s">
        <v>8</v>
      </c>
      <c r="G83" s="2">
        <f>O325</f>
        <v>1</v>
      </c>
      <c r="H83" s="2">
        <f t="shared" si="80"/>
        <v>0</v>
      </c>
      <c r="I83" s="2" t="str">
        <f t="shared" si="80"/>
        <v>emission_co2e_n2o_scoe_other_se</v>
      </c>
      <c r="J83" s="2">
        <f t="shared" si="80"/>
        <v>0</v>
      </c>
      <c r="K83" s="2">
        <f t="shared" si="80"/>
        <v>0</v>
      </c>
      <c r="L83" s="2">
        <f t="shared" si="80"/>
        <v>0</v>
      </c>
      <c r="M83" s="2">
        <f t="shared" si="80"/>
        <v>0</v>
      </c>
      <c r="N83" s="2">
        <f t="shared" si="80"/>
        <v>0</v>
      </c>
      <c r="O83" s="2">
        <f t="shared" si="80"/>
        <v>0</v>
      </c>
      <c r="P83" s="2">
        <f t="shared" si="80"/>
        <v>0</v>
      </c>
      <c r="Q83" s="2">
        <f t="shared" si="80"/>
        <v>0</v>
      </c>
      <c r="R83" s="2">
        <f t="shared" si="81"/>
        <v>0</v>
      </c>
      <c r="S83" s="2">
        <f t="shared" si="81"/>
        <v>0</v>
      </c>
      <c r="T83" s="2">
        <f t="shared" si="81"/>
        <v>0</v>
      </c>
      <c r="U83" s="2">
        <f t="shared" si="81"/>
        <v>0</v>
      </c>
      <c r="V83" s="2">
        <f t="shared" si="81"/>
        <v>0</v>
      </c>
      <c r="W83" s="2">
        <f t="shared" si="81"/>
        <v>0</v>
      </c>
      <c r="X83" s="2">
        <f t="shared" si="81"/>
        <v>0</v>
      </c>
      <c r="Y83" s="2">
        <f t="shared" si="81"/>
        <v>0</v>
      </c>
      <c r="Z83" s="2">
        <f t="shared" si="81"/>
        <v>0</v>
      </c>
      <c r="AA83" s="2">
        <f t="shared" si="81"/>
        <v>0</v>
      </c>
      <c r="AB83" s="2">
        <f t="shared" si="82"/>
        <v>0</v>
      </c>
      <c r="AC83" s="2">
        <f t="shared" si="82"/>
        <v>0</v>
      </c>
      <c r="AD83" s="2">
        <f t="shared" si="82"/>
        <v>0</v>
      </c>
      <c r="AE83" s="2">
        <f t="shared" si="82"/>
        <v>0</v>
      </c>
      <c r="AF83" s="2">
        <f t="shared" si="82"/>
        <v>0</v>
      </c>
      <c r="AG83" s="2">
        <f t="shared" si="82"/>
        <v>0</v>
      </c>
      <c r="AH83" s="2">
        <f t="shared" si="82"/>
        <v>0</v>
      </c>
      <c r="AI83" s="2">
        <f t="shared" si="82"/>
        <v>0</v>
      </c>
      <c r="AJ83" s="2">
        <f t="shared" si="82"/>
        <v>0</v>
      </c>
      <c r="AK83" s="2">
        <f t="shared" si="82"/>
        <v>0</v>
      </c>
      <c r="AL83" s="2">
        <f t="shared" si="83"/>
        <v>0</v>
      </c>
      <c r="AM83" s="2">
        <f t="shared" si="83"/>
        <v>0</v>
      </c>
      <c r="AN83" s="2">
        <f t="shared" si="83"/>
        <v>0</v>
      </c>
      <c r="AO83" s="2">
        <f t="shared" si="83"/>
        <v>0</v>
      </c>
      <c r="AP83" s="2">
        <f t="shared" si="83"/>
        <v>0</v>
      </c>
      <c r="AQ83" s="2">
        <f t="shared" si="83"/>
        <v>0</v>
      </c>
      <c r="AR83" s="2">
        <f t="shared" si="83"/>
        <v>0</v>
      </c>
      <c r="AS83" s="2">
        <f t="shared" si="83"/>
        <v>0</v>
      </c>
      <c r="AT83" s="2">
        <f t="shared" si="83"/>
        <v>0</v>
      </c>
      <c r="AU83" s="2">
        <f t="shared" si="83"/>
        <v>0</v>
      </c>
      <c r="AV83" s="2">
        <f t="shared" si="84"/>
        <v>0</v>
      </c>
      <c r="AW83" s="2">
        <f t="shared" si="84"/>
        <v>0</v>
      </c>
      <c r="AX83" s="2">
        <f t="shared" si="84"/>
        <v>0</v>
      </c>
      <c r="AY83" s="2">
        <f t="shared" si="84"/>
        <v>0</v>
      </c>
      <c r="AZ83" s="2">
        <f t="shared" si="84"/>
        <v>0</v>
      </c>
      <c r="BA83" s="2">
        <f t="shared" si="84"/>
        <v>0</v>
      </c>
      <c r="BB83" s="2">
        <f t="shared" si="84"/>
        <v>0</v>
      </c>
      <c r="BC83" s="2">
        <f t="shared" si="84"/>
        <v>0</v>
      </c>
      <c r="BD83" s="2">
        <f t="shared" si="84"/>
        <v>0</v>
      </c>
      <c r="BE83" s="2">
        <f t="shared" si="84"/>
        <v>0</v>
      </c>
      <c r="BF83" s="2">
        <f t="shared" si="85"/>
        <v>0</v>
      </c>
      <c r="BG83" s="2">
        <f t="shared" si="85"/>
        <v>0</v>
      </c>
      <c r="BH83" s="2">
        <f t="shared" si="85"/>
        <v>0</v>
      </c>
      <c r="BI83" s="2">
        <f t="shared" si="85"/>
        <v>0</v>
      </c>
      <c r="BJ83" s="2">
        <f t="shared" si="85"/>
        <v>0</v>
      </c>
      <c r="BK83" s="2">
        <f t="shared" si="85"/>
        <v>0</v>
      </c>
      <c r="BL83" s="2">
        <f t="shared" si="85"/>
        <v>0</v>
      </c>
      <c r="BM83" s="2">
        <f t="shared" si="85"/>
        <v>0</v>
      </c>
      <c r="BN83" s="2">
        <f t="shared" si="85"/>
        <v>0</v>
      </c>
      <c r="BO83" s="2">
        <f t="shared" si="85"/>
        <v>0</v>
      </c>
      <c r="BP83" s="2">
        <f t="shared" si="86"/>
        <v>0</v>
      </c>
      <c r="BQ83" s="2">
        <f t="shared" si="86"/>
        <v>0</v>
      </c>
      <c r="BR83" s="2">
        <f t="shared" si="86"/>
        <v>0</v>
      </c>
      <c r="BS83" s="2">
        <f t="shared" si="79"/>
        <v>0</v>
      </c>
      <c r="BT83" s="2">
        <f t="shared" si="79"/>
        <v>0</v>
      </c>
      <c r="BU83" s="2">
        <f t="shared" si="79"/>
        <v>0</v>
      </c>
      <c r="BV83" s="2">
        <f t="shared" si="79"/>
        <v>0</v>
      </c>
      <c r="BW83" s="2">
        <f t="shared" si="79"/>
        <v>0</v>
      </c>
      <c r="BX83" s="2">
        <f t="shared" si="79"/>
        <v>0</v>
      </c>
      <c r="BY83" s="2">
        <f t="shared" si="79"/>
        <v>0</v>
      </c>
      <c r="BZ83" s="2">
        <f t="shared" si="79"/>
        <v>0</v>
      </c>
      <c r="CA83" s="2">
        <f t="shared" si="79"/>
        <v>0</v>
      </c>
      <c r="CB83" s="2">
        <f t="shared" si="79"/>
        <v>0</v>
      </c>
      <c r="CC83" s="2">
        <f t="shared" si="79"/>
        <v>0</v>
      </c>
      <c r="CD83" s="2">
        <f t="shared" si="79"/>
        <v>0</v>
      </c>
    </row>
    <row r="84" spans="2:82" s="7" customFormat="1" x14ac:dyDescent="0.2">
      <c r="B84" s="7" t="s">
        <v>42</v>
      </c>
      <c r="G84" s="7">
        <f>SUM(G85,G89)</f>
        <v>9</v>
      </c>
      <c r="H84" s="7">
        <f t="shared" ref="H84:BS84" si="87">SUM(H85,H89)</f>
        <v>0</v>
      </c>
      <c r="I84" s="7">
        <f t="shared" si="87"/>
        <v>0</v>
      </c>
      <c r="J84" s="7">
        <f t="shared" si="87"/>
        <v>0</v>
      </c>
      <c r="K84" s="7">
        <f t="shared" si="87"/>
        <v>0</v>
      </c>
      <c r="L84" s="7">
        <f t="shared" si="87"/>
        <v>0</v>
      </c>
      <c r="M84" s="7">
        <f t="shared" si="87"/>
        <v>0</v>
      </c>
      <c r="N84" s="7">
        <f t="shared" si="87"/>
        <v>0</v>
      </c>
      <c r="O84" s="7">
        <f t="shared" si="87"/>
        <v>0</v>
      </c>
      <c r="P84" s="7">
        <f t="shared" si="87"/>
        <v>0</v>
      </c>
      <c r="Q84" s="7">
        <f t="shared" si="87"/>
        <v>0</v>
      </c>
      <c r="R84" s="7">
        <f t="shared" si="87"/>
        <v>0</v>
      </c>
      <c r="S84" s="7">
        <f t="shared" si="87"/>
        <v>0</v>
      </c>
      <c r="T84" s="7">
        <f t="shared" si="87"/>
        <v>0</v>
      </c>
      <c r="U84" s="7">
        <f t="shared" si="87"/>
        <v>0</v>
      </c>
      <c r="V84" s="7">
        <f t="shared" si="87"/>
        <v>0</v>
      </c>
      <c r="W84" s="7">
        <f t="shared" si="87"/>
        <v>0</v>
      </c>
      <c r="X84" s="7">
        <f t="shared" si="87"/>
        <v>0</v>
      </c>
      <c r="Y84" s="7">
        <f t="shared" si="87"/>
        <v>0</v>
      </c>
      <c r="Z84" s="7">
        <f t="shared" si="87"/>
        <v>0</v>
      </c>
      <c r="AA84" s="7">
        <f t="shared" si="87"/>
        <v>0</v>
      </c>
      <c r="AB84" s="7">
        <f t="shared" si="87"/>
        <v>0</v>
      </c>
      <c r="AC84" s="7">
        <f t="shared" si="87"/>
        <v>0</v>
      </c>
      <c r="AD84" s="7">
        <f t="shared" si="87"/>
        <v>0</v>
      </c>
      <c r="AE84" s="7">
        <f t="shared" si="87"/>
        <v>0</v>
      </c>
      <c r="AF84" s="7">
        <f t="shared" si="87"/>
        <v>0</v>
      </c>
      <c r="AG84" s="7">
        <f t="shared" si="87"/>
        <v>0</v>
      </c>
      <c r="AH84" s="7">
        <f t="shared" si="87"/>
        <v>0</v>
      </c>
      <c r="AI84" s="7">
        <f t="shared" si="87"/>
        <v>0</v>
      </c>
      <c r="AJ84" s="7">
        <f t="shared" si="87"/>
        <v>0.18909408667339314</v>
      </c>
      <c r="AK84" s="7">
        <f t="shared" si="87"/>
        <v>0.19067441766615237</v>
      </c>
      <c r="AL84" s="7">
        <f t="shared" si="87"/>
        <v>0.19209910174561187</v>
      </c>
      <c r="AM84" s="7">
        <f t="shared" si="87"/>
        <v>0.19387607114923991</v>
      </c>
      <c r="AN84" s="7">
        <f t="shared" si="87"/>
        <v>0.19526013466387956</v>
      </c>
      <c r="AO84" s="7">
        <f t="shared" si="87"/>
        <v>0.19662903605249105</v>
      </c>
      <c r="AP84" s="7">
        <f t="shared" si="87"/>
        <v>0.19793454511415601</v>
      </c>
      <c r="AQ84" s="7">
        <f t="shared" si="87"/>
        <v>0.27187240611086372</v>
      </c>
      <c r="AR84" s="7">
        <f t="shared" si="87"/>
        <v>0.37121308409027043</v>
      </c>
      <c r="AS84" s="7">
        <f t="shared" si="87"/>
        <v>0.50580480152639995</v>
      </c>
      <c r="AT84" s="7">
        <f t="shared" si="87"/>
        <v>0.68811524150309999</v>
      </c>
      <c r="AU84" s="7">
        <f t="shared" si="87"/>
        <v>4.7158600146013985</v>
      </c>
      <c r="AV84" s="7">
        <f t="shared" si="87"/>
        <v>8.9000888478154003</v>
      </c>
      <c r="AW84" s="7">
        <f t="shared" si="87"/>
        <v>13.296831174126401</v>
      </c>
      <c r="AX84" s="7">
        <f t="shared" si="87"/>
        <v>17.955113704986601</v>
      </c>
      <c r="AY84" s="7">
        <f t="shared" si="87"/>
        <v>22.896944224437298</v>
      </c>
      <c r="AZ84" s="7">
        <f t="shared" si="87"/>
        <v>28.1011650980215</v>
      </c>
      <c r="BA84" s="7">
        <f t="shared" si="87"/>
        <v>33.504523120140185</v>
      </c>
      <c r="BB84" s="7">
        <f t="shared" si="87"/>
        <v>39.023221643937404</v>
      </c>
      <c r="BC84" s="7">
        <f t="shared" si="87"/>
        <v>44.581640453554606</v>
      </c>
      <c r="BD84" s="7">
        <f t="shared" si="87"/>
        <v>50.111310128341202</v>
      </c>
      <c r="BE84" s="7">
        <f t="shared" si="87"/>
        <v>55.586285657143016</v>
      </c>
      <c r="BF84" s="7">
        <f t="shared" si="87"/>
        <v>60.998478409356004</v>
      </c>
      <c r="BG84" s="7">
        <f t="shared" si="87"/>
        <v>66.350368470122504</v>
      </c>
      <c r="BH84" s="7">
        <f t="shared" si="87"/>
        <v>71.652775477662402</v>
      </c>
      <c r="BI84" s="7">
        <f t="shared" si="87"/>
        <v>76.911096921214309</v>
      </c>
      <c r="BJ84" s="7">
        <f t="shared" si="87"/>
        <v>77.268620929428593</v>
      </c>
      <c r="BK84" s="7">
        <f t="shared" si="87"/>
        <v>77.624896107707116</v>
      </c>
      <c r="BL84" s="7">
        <f t="shared" si="87"/>
        <v>77.978095365514903</v>
      </c>
      <c r="BM84" s="7">
        <f t="shared" si="87"/>
        <v>78.326400483011412</v>
      </c>
      <c r="BN84" s="7">
        <f t="shared" si="87"/>
        <v>78.667918826998104</v>
      </c>
      <c r="BO84" s="7">
        <f t="shared" si="87"/>
        <v>79.001700249651918</v>
      </c>
      <c r="BP84" s="7">
        <f t="shared" si="87"/>
        <v>79.324878914803492</v>
      </c>
      <c r="BQ84" s="7">
        <f t="shared" si="87"/>
        <v>79.635558515996607</v>
      </c>
      <c r="BR84" s="7">
        <f t="shared" si="87"/>
        <v>79.931927816710399</v>
      </c>
      <c r="BS84" s="7">
        <f t="shared" si="87"/>
        <v>80.212195482354517</v>
      </c>
      <c r="BT84" s="7">
        <f t="shared" ref="BT84:CD84" si="88">SUM(BT85,BT89)</f>
        <v>80.474571360035</v>
      </c>
      <c r="BU84" s="7">
        <f t="shared" si="88"/>
        <v>80.744273502103908</v>
      </c>
      <c r="BV84" s="7">
        <f t="shared" si="88"/>
        <v>81.021446428306803</v>
      </c>
      <c r="BW84" s="7">
        <f t="shared" si="88"/>
        <v>81.306269225419712</v>
      </c>
      <c r="BX84" s="7">
        <f t="shared" si="88"/>
        <v>81.598927163867501</v>
      </c>
      <c r="BY84" s="7">
        <f t="shared" si="88"/>
        <v>81.899508744800897</v>
      </c>
      <c r="BZ84" s="7">
        <f t="shared" si="88"/>
        <v>82.208146389489499</v>
      </c>
      <c r="CA84" s="7">
        <f t="shared" si="88"/>
        <v>82.525089799377298</v>
      </c>
      <c r="CB84" s="7">
        <f t="shared" si="88"/>
        <v>82.850491477755796</v>
      </c>
      <c r="CC84" s="7">
        <f t="shared" si="88"/>
        <v>83.184558685008597</v>
      </c>
      <c r="CD84" s="7">
        <f t="shared" si="88"/>
        <v>83.527487222134397</v>
      </c>
    </row>
    <row r="85" spans="2:82" s="3" customFormat="1" x14ac:dyDescent="0.2">
      <c r="C85" s="3" t="s">
        <v>43</v>
      </c>
      <c r="G85" s="3">
        <f>SUM(G86:G88)</f>
        <v>3</v>
      </c>
      <c r="H85" s="3">
        <f t="shared" ref="H85:BS85" si="89">SUM(H86:H88)</f>
        <v>0</v>
      </c>
      <c r="I85" s="3">
        <f t="shared" si="89"/>
        <v>0</v>
      </c>
      <c r="J85" s="3">
        <f t="shared" si="89"/>
        <v>0</v>
      </c>
      <c r="K85" s="3">
        <f t="shared" si="89"/>
        <v>0</v>
      </c>
      <c r="L85" s="3">
        <f t="shared" si="89"/>
        <v>0</v>
      </c>
      <c r="M85" s="3">
        <f t="shared" si="89"/>
        <v>0</v>
      </c>
      <c r="N85" s="3">
        <f t="shared" si="89"/>
        <v>0</v>
      </c>
      <c r="O85" s="3">
        <f t="shared" si="89"/>
        <v>0</v>
      </c>
      <c r="P85" s="3">
        <f t="shared" si="89"/>
        <v>0</v>
      </c>
      <c r="Q85" s="3">
        <f t="shared" si="89"/>
        <v>0</v>
      </c>
      <c r="R85" s="3">
        <f t="shared" si="89"/>
        <v>0</v>
      </c>
      <c r="S85" s="3">
        <f t="shared" si="89"/>
        <v>0</v>
      </c>
      <c r="T85" s="3">
        <f t="shared" si="89"/>
        <v>0</v>
      </c>
      <c r="U85" s="3">
        <f t="shared" si="89"/>
        <v>0</v>
      </c>
      <c r="V85" s="3">
        <f t="shared" si="89"/>
        <v>0</v>
      </c>
      <c r="W85" s="3">
        <f t="shared" si="89"/>
        <v>0</v>
      </c>
      <c r="X85" s="3">
        <f t="shared" si="89"/>
        <v>0</v>
      </c>
      <c r="Y85" s="3">
        <f t="shared" si="89"/>
        <v>0</v>
      </c>
      <c r="Z85" s="3">
        <f t="shared" si="89"/>
        <v>0</v>
      </c>
      <c r="AA85" s="3">
        <f t="shared" si="89"/>
        <v>0</v>
      </c>
      <c r="AB85" s="3">
        <f t="shared" si="89"/>
        <v>0</v>
      </c>
      <c r="AC85" s="3">
        <f t="shared" si="89"/>
        <v>0</v>
      </c>
      <c r="AD85" s="3">
        <f t="shared" si="89"/>
        <v>0</v>
      </c>
      <c r="AE85" s="3">
        <f t="shared" si="89"/>
        <v>0</v>
      </c>
      <c r="AF85" s="3">
        <f t="shared" si="89"/>
        <v>0</v>
      </c>
      <c r="AG85" s="3">
        <f t="shared" si="89"/>
        <v>0</v>
      </c>
      <c r="AH85" s="3">
        <f t="shared" si="89"/>
        <v>0</v>
      </c>
      <c r="AI85" s="3">
        <f t="shared" si="89"/>
        <v>0</v>
      </c>
      <c r="AJ85" s="3">
        <f t="shared" si="89"/>
        <v>0</v>
      </c>
      <c r="AK85" s="3">
        <f t="shared" si="89"/>
        <v>0</v>
      </c>
      <c r="AL85" s="3">
        <f t="shared" si="89"/>
        <v>0</v>
      </c>
      <c r="AM85" s="3">
        <f t="shared" si="89"/>
        <v>0</v>
      </c>
      <c r="AN85" s="3">
        <f t="shared" si="89"/>
        <v>0</v>
      </c>
      <c r="AO85" s="3">
        <f t="shared" si="89"/>
        <v>0</v>
      </c>
      <c r="AP85" s="3">
        <f t="shared" si="89"/>
        <v>0</v>
      </c>
      <c r="AQ85" s="3">
        <f t="shared" si="89"/>
        <v>0</v>
      </c>
      <c r="AR85" s="3">
        <f t="shared" si="89"/>
        <v>0</v>
      </c>
      <c r="AS85" s="3">
        <f t="shared" si="89"/>
        <v>0</v>
      </c>
      <c r="AT85" s="3">
        <f t="shared" si="89"/>
        <v>0</v>
      </c>
      <c r="AU85" s="3">
        <f t="shared" si="89"/>
        <v>0</v>
      </c>
      <c r="AV85" s="3">
        <f t="shared" si="89"/>
        <v>0</v>
      </c>
      <c r="AW85" s="3">
        <f t="shared" si="89"/>
        <v>0</v>
      </c>
      <c r="AX85" s="3">
        <f t="shared" si="89"/>
        <v>0</v>
      </c>
      <c r="AY85" s="3">
        <f t="shared" si="89"/>
        <v>0</v>
      </c>
      <c r="AZ85" s="3">
        <f t="shared" si="89"/>
        <v>0</v>
      </c>
      <c r="BA85" s="3">
        <f t="shared" si="89"/>
        <v>0</v>
      </c>
      <c r="BB85" s="3">
        <f t="shared" si="89"/>
        <v>0</v>
      </c>
      <c r="BC85" s="3">
        <f t="shared" si="89"/>
        <v>0</v>
      </c>
      <c r="BD85" s="3">
        <f t="shared" si="89"/>
        <v>0</v>
      </c>
      <c r="BE85" s="3">
        <f t="shared" si="89"/>
        <v>0</v>
      </c>
      <c r="BF85" s="3">
        <f t="shared" si="89"/>
        <v>0</v>
      </c>
      <c r="BG85" s="3">
        <f t="shared" si="89"/>
        <v>0</v>
      </c>
      <c r="BH85" s="3">
        <f t="shared" si="89"/>
        <v>0</v>
      </c>
      <c r="BI85" s="3">
        <f t="shared" si="89"/>
        <v>0</v>
      </c>
      <c r="BJ85" s="3">
        <f t="shared" si="89"/>
        <v>0</v>
      </c>
      <c r="BK85" s="3">
        <f t="shared" si="89"/>
        <v>0</v>
      </c>
      <c r="BL85" s="3">
        <f t="shared" si="89"/>
        <v>0</v>
      </c>
      <c r="BM85" s="3">
        <f t="shared" si="89"/>
        <v>0</v>
      </c>
      <c r="BN85" s="3">
        <f t="shared" si="89"/>
        <v>0</v>
      </c>
      <c r="BO85" s="3">
        <f t="shared" si="89"/>
        <v>0</v>
      </c>
      <c r="BP85" s="3">
        <f t="shared" si="89"/>
        <v>0</v>
      </c>
      <c r="BQ85" s="3">
        <f t="shared" si="89"/>
        <v>0</v>
      </c>
      <c r="BR85" s="3">
        <f t="shared" si="89"/>
        <v>0</v>
      </c>
      <c r="BS85" s="3">
        <f t="shared" si="89"/>
        <v>0</v>
      </c>
      <c r="BT85" s="3">
        <f t="shared" ref="BT85:CD85" si="90">SUM(BT86:BT88)</f>
        <v>0</v>
      </c>
      <c r="BU85" s="3">
        <f t="shared" si="90"/>
        <v>0</v>
      </c>
      <c r="BV85" s="3">
        <f t="shared" si="90"/>
        <v>0</v>
      </c>
      <c r="BW85" s="3">
        <f t="shared" si="90"/>
        <v>0</v>
      </c>
      <c r="BX85" s="3">
        <f t="shared" si="90"/>
        <v>0</v>
      </c>
      <c r="BY85" s="3">
        <f t="shared" si="90"/>
        <v>0</v>
      </c>
      <c r="BZ85" s="3">
        <f t="shared" si="90"/>
        <v>0</v>
      </c>
      <c r="CA85" s="3">
        <f t="shared" si="90"/>
        <v>0</v>
      </c>
      <c r="CB85" s="3">
        <f t="shared" si="90"/>
        <v>0</v>
      </c>
      <c r="CC85" s="3">
        <f t="shared" si="90"/>
        <v>0</v>
      </c>
      <c r="CD85" s="3">
        <f t="shared" si="90"/>
        <v>0</v>
      </c>
    </row>
    <row r="86" spans="2:82" s="2" customFormat="1" x14ac:dyDescent="0.2">
      <c r="F86" s="2" t="s">
        <v>6</v>
      </c>
      <c r="G86" s="2">
        <f>O326</f>
        <v>1</v>
      </c>
      <c r="H86" s="2">
        <f t="shared" ref="H86:BS87" si="91">P326</f>
        <v>0</v>
      </c>
      <c r="I86" s="2" t="str">
        <f t="shared" si="91"/>
        <v>emission_co2e_ch4_fgtv_dtp_fuel_coal|emission_co2e_ch4_fgtv_flaring_fuel_coal|emission_co2e_ch4_fgtv_venting_fuel_coal</v>
      </c>
      <c r="J86" s="2">
        <f t="shared" si="91"/>
        <v>0</v>
      </c>
      <c r="K86" s="2">
        <f t="shared" si="91"/>
        <v>0</v>
      </c>
      <c r="L86" s="2">
        <f t="shared" si="91"/>
        <v>0</v>
      </c>
      <c r="M86" s="2">
        <f t="shared" si="91"/>
        <v>0</v>
      </c>
      <c r="N86" s="2">
        <f t="shared" si="91"/>
        <v>0</v>
      </c>
      <c r="O86" s="2">
        <f t="shared" si="91"/>
        <v>0</v>
      </c>
      <c r="P86" s="2">
        <f t="shared" si="91"/>
        <v>0</v>
      </c>
      <c r="Q86" s="2">
        <f t="shared" si="91"/>
        <v>0</v>
      </c>
      <c r="R86" s="2">
        <f t="shared" si="91"/>
        <v>0</v>
      </c>
      <c r="S86" s="2">
        <f t="shared" si="91"/>
        <v>0</v>
      </c>
      <c r="T86" s="2">
        <f t="shared" si="91"/>
        <v>0</v>
      </c>
      <c r="U86" s="2">
        <f t="shared" si="91"/>
        <v>0</v>
      </c>
      <c r="V86" s="2">
        <f t="shared" si="91"/>
        <v>0</v>
      </c>
      <c r="W86" s="2">
        <f t="shared" si="91"/>
        <v>0</v>
      </c>
      <c r="X86" s="2">
        <f t="shared" si="91"/>
        <v>0</v>
      </c>
      <c r="Y86" s="2">
        <f t="shared" si="91"/>
        <v>0</v>
      </c>
      <c r="Z86" s="2">
        <f t="shared" si="91"/>
        <v>0</v>
      </c>
      <c r="AA86" s="2">
        <f t="shared" si="91"/>
        <v>0</v>
      </c>
      <c r="AB86" s="2">
        <f t="shared" si="91"/>
        <v>0</v>
      </c>
      <c r="AC86" s="2">
        <f t="shared" si="91"/>
        <v>0</v>
      </c>
      <c r="AD86" s="2">
        <f t="shared" si="91"/>
        <v>0</v>
      </c>
      <c r="AE86" s="2">
        <f t="shared" si="91"/>
        <v>0</v>
      </c>
      <c r="AF86" s="2">
        <f t="shared" si="91"/>
        <v>0</v>
      </c>
      <c r="AG86" s="2">
        <f t="shared" si="91"/>
        <v>0</v>
      </c>
      <c r="AH86" s="2">
        <f t="shared" si="91"/>
        <v>0</v>
      </c>
      <c r="AI86" s="2">
        <f t="shared" si="91"/>
        <v>0</v>
      </c>
      <c r="AJ86" s="2">
        <f t="shared" si="91"/>
        <v>0</v>
      </c>
      <c r="AK86" s="2">
        <f t="shared" si="91"/>
        <v>0</v>
      </c>
      <c r="AL86" s="2">
        <f t="shared" si="91"/>
        <v>0</v>
      </c>
      <c r="AM86" s="2">
        <f t="shared" si="91"/>
        <v>0</v>
      </c>
      <c r="AN86" s="2">
        <f t="shared" si="91"/>
        <v>0</v>
      </c>
      <c r="AO86" s="2">
        <f t="shared" si="91"/>
        <v>0</v>
      </c>
      <c r="AP86" s="2">
        <f t="shared" si="91"/>
        <v>0</v>
      </c>
      <c r="AQ86" s="2">
        <f t="shared" si="91"/>
        <v>0</v>
      </c>
      <c r="AR86" s="2">
        <f t="shared" si="91"/>
        <v>0</v>
      </c>
      <c r="AS86" s="2">
        <f t="shared" si="91"/>
        <v>0</v>
      </c>
      <c r="AT86" s="2">
        <f t="shared" si="91"/>
        <v>0</v>
      </c>
      <c r="AU86" s="2">
        <f t="shared" si="91"/>
        <v>0</v>
      </c>
      <c r="AV86" s="2">
        <f t="shared" si="91"/>
        <v>0</v>
      </c>
      <c r="AW86" s="2">
        <f t="shared" si="91"/>
        <v>0</v>
      </c>
      <c r="AX86" s="2">
        <f t="shared" si="91"/>
        <v>0</v>
      </c>
      <c r="AY86" s="2">
        <f t="shared" si="91"/>
        <v>0</v>
      </c>
      <c r="AZ86" s="2">
        <f t="shared" si="91"/>
        <v>0</v>
      </c>
      <c r="BA86" s="2">
        <f t="shared" si="91"/>
        <v>0</v>
      </c>
      <c r="BB86" s="2">
        <f t="shared" si="91"/>
        <v>0</v>
      </c>
      <c r="BC86" s="2">
        <f t="shared" si="91"/>
        <v>0</v>
      </c>
      <c r="BD86" s="2">
        <f t="shared" si="91"/>
        <v>0</v>
      </c>
      <c r="BE86" s="2">
        <f t="shared" si="91"/>
        <v>0</v>
      </c>
      <c r="BF86" s="2">
        <f t="shared" si="91"/>
        <v>0</v>
      </c>
      <c r="BG86" s="2">
        <f t="shared" si="91"/>
        <v>0</v>
      </c>
      <c r="BH86" s="2">
        <f t="shared" si="91"/>
        <v>0</v>
      </c>
      <c r="BI86" s="2">
        <f t="shared" si="91"/>
        <v>0</v>
      </c>
      <c r="BJ86" s="2">
        <f t="shared" si="91"/>
        <v>0</v>
      </c>
      <c r="BK86" s="2">
        <f t="shared" si="91"/>
        <v>0</v>
      </c>
      <c r="BL86" s="2">
        <f t="shared" si="91"/>
        <v>0</v>
      </c>
      <c r="BM86" s="2">
        <f t="shared" si="91"/>
        <v>0</v>
      </c>
      <c r="BN86" s="2">
        <f t="shared" si="91"/>
        <v>0</v>
      </c>
      <c r="BO86" s="2">
        <f t="shared" si="91"/>
        <v>0</v>
      </c>
      <c r="BP86" s="2">
        <f t="shared" si="91"/>
        <v>0</v>
      </c>
      <c r="BQ86" s="2">
        <f t="shared" si="91"/>
        <v>0</v>
      </c>
      <c r="BR86" s="2">
        <f t="shared" si="91"/>
        <v>0</v>
      </c>
      <c r="BS86" s="2">
        <f t="shared" si="91"/>
        <v>0</v>
      </c>
      <c r="BT86" s="2">
        <f t="shared" ref="BT86:CD86" si="92">CB326</f>
        <v>0</v>
      </c>
      <c r="BU86" s="2">
        <f t="shared" si="92"/>
        <v>0</v>
      </c>
      <c r="BV86" s="2">
        <f t="shared" si="92"/>
        <v>0</v>
      </c>
      <c r="BW86" s="2">
        <f t="shared" si="92"/>
        <v>0</v>
      </c>
      <c r="BX86" s="2">
        <f t="shared" si="92"/>
        <v>0</v>
      </c>
      <c r="BY86" s="2">
        <f t="shared" si="92"/>
        <v>0</v>
      </c>
      <c r="BZ86" s="2">
        <f t="shared" si="92"/>
        <v>0</v>
      </c>
      <c r="CA86" s="2">
        <f t="shared" si="92"/>
        <v>0</v>
      </c>
      <c r="CB86" s="2">
        <f t="shared" si="92"/>
        <v>0</v>
      </c>
      <c r="CC86" s="2">
        <f t="shared" si="92"/>
        <v>0</v>
      </c>
      <c r="CD86" s="2">
        <f t="shared" si="92"/>
        <v>0</v>
      </c>
    </row>
    <row r="87" spans="2:82" s="2" customFormat="1" x14ac:dyDescent="0.2">
      <c r="F87" s="2" t="s">
        <v>7</v>
      </c>
      <c r="G87" s="2">
        <f>O327</f>
        <v>1</v>
      </c>
      <c r="H87" s="2">
        <f t="shared" si="91"/>
        <v>0</v>
      </c>
      <c r="I87" s="2" t="str">
        <f t="shared" si="91"/>
        <v>emission_co2e_co2_fgtv_dtp_fuel_coal|emission_co2e_co2_fgtv_flaring_fuel_coal|emission_co2e_co2_fgtv_venting_fuel_coal</v>
      </c>
      <c r="J87" s="2">
        <f t="shared" si="91"/>
        <v>0</v>
      </c>
      <c r="K87" s="2">
        <f t="shared" si="91"/>
        <v>0</v>
      </c>
      <c r="L87" s="2">
        <f t="shared" si="91"/>
        <v>0</v>
      </c>
      <c r="M87" s="2">
        <f t="shared" si="91"/>
        <v>0</v>
      </c>
      <c r="N87" s="2">
        <f t="shared" si="91"/>
        <v>0</v>
      </c>
      <c r="O87" s="2">
        <f t="shared" si="91"/>
        <v>0</v>
      </c>
      <c r="P87" s="2">
        <f t="shared" si="91"/>
        <v>0</v>
      </c>
      <c r="Q87" s="2">
        <f t="shared" si="91"/>
        <v>0</v>
      </c>
      <c r="R87" s="2">
        <f t="shared" si="91"/>
        <v>0</v>
      </c>
      <c r="S87" s="2">
        <f t="shared" si="91"/>
        <v>0</v>
      </c>
      <c r="T87" s="2">
        <f t="shared" si="91"/>
        <v>0</v>
      </c>
      <c r="U87" s="2">
        <f t="shared" si="91"/>
        <v>0</v>
      </c>
      <c r="V87" s="2">
        <f t="shared" si="91"/>
        <v>0</v>
      </c>
      <c r="W87" s="2">
        <f t="shared" si="91"/>
        <v>0</v>
      </c>
      <c r="X87" s="2">
        <f t="shared" si="91"/>
        <v>0</v>
      </c>
      <c r="Y87" s="2">
        <f t="shared" si="91"/>
        <v>0</v>
      </c>
      <c r="Z87" s="2">
        <f t="shared" si="91"/>
        <v>0</v>
      </c>
      <c r="AA87" s="2">
        <f t="shared" si="91"/>
        <v>0</v>
      </c>
      <c r="AB87" s="2">
        <f t="shared" si="91"/>
        <v>0</v>
      </c>
      <c r="AC87" s="2">
        <f t="shared" si="91"/>
        <v>0</v>
      </c>
      <c r="AD87" s="2">
        <f t="shared" si="91"/>
        <v>0</v>
      </c>
      <c r="AE87" s="2">
        <f t="shared" si="91"/>
        <v>0</v>
      </c>
      <c r="AF87" s="2">
        <f t="shared" si="91"/>
        <v>0</v>
      </c>
      <c r="AG87" s="2">
        <f t="shared" si="91"/>
        <v>0</v>
      </c>
      <c r="AH87" s="2">
        <f t="shared" si="91"/>
        <v>0</v>
      </c>
      <c r="AI87" s="2">
        <f t="shared" si="91"/>
        <v>0</v>
      </c>
      <c r="AJ87" s="2">
        <f t="shared" si="91"/>
        <v>0</v>
      </c>
      <c r="AK87" s="2">
        <f t="shared" si="91"/>
        <v>0</v>
      </c>
      <c r="AL87" s="2">
        <f t="shared" si="91"/>
        <v>0</v>
      </c>
      <c r="AM87" s="2">
        <f t="shared" si="91"/>
        <v>0</v>
      </c>
      <c r="AN87" s="2">
        <f t="shared" si="91"/>
        <v>0</v>
      </c>
      <c r="AO87" s="2">
        <f t="shared" si="91"/>
        <v>0</v>
      </c>
      <c r="AP87" s="2">
        <f t="shared" si="91"/>
        <v>0</v>
      </c>
      <c r="AQ87" s="2">
        <f t="shared" si="91"/>
        <v>0</v>
      </c>
      <c r="AR87" s="2">
        <f t="shared" si="91"/>
        <v>0</v>
      </c>
      <c r="AS87" s="2">
        <f t="shared" si="91"/>
        <v>0</v>
      </c>
      <c r="AT87" s="2">
        <f t="shared" si="91"/>
        <v>0</v>
      </c>
      <c r="AU87" s="2">
        <f t="shared" si="91"/>
        <v>0</v>
      </c>
      <c r="AV87" s="2">
        <f t="shared" si="91"/>
        <v>0</v>
      </c>
      <c r="AW87" s="2">
        <f t="shared" si="91"/>
        <v>0</v>
      </c>
      <c r="AX87" s="2">
        <f t="shared" si="91"/>
        <v>0</v>
      </c>
      <c r="AY87" s="2">
        <f t="shared" si="91"/>
        <v>0</v>
      </c>
      <c r="AZ87" s="2">
        <f t="shared" si="91"/>
        <v>0</v>
      </c>
      <c r="BA87" s="2">
        <f t="shared" si="91"/>
        <v>0</v>
      </c>
      <c r="BB87" s="2">
        <f t="shared" si="91"/>
        <v>0</v>
      </c>
      <c r="BC87" s="2">
        <f t="shared" si="91"/>
        <v>0</v>
      </c>
      <c r="BD87" s="2">
        <f t="shared" si="91"/>
        <v>0</v>
      </c>
      <c r="BE87" s="2">
        <f t="shared" si="91"/>
        <v>0</v>
      </c>
      <c r="BF87" s="2">
        <f t="shared" si="91"/>
        <v>0</v>
      </c>
      <c r="BG87" s="2">
        <f t="shared" si="91"/>
        <v>0</v>
      </c>
      <c r="BH87" s="2">
        <f t="shared" si="91"/>
        <v>0</v>
      </c>
      <c r="BI87" s="2">
        <f t="shared" si="91"/>
        <v>0</v>
      </c>
      <c r="BJ87" s="2">
        <f t="shared" si="91"/>
        <v>0</v>
      </c>
      <c r="BK87" s="2">
        <f t="shared" si="91"/>
        <v>0</v>
      </c>
      <c r="BL87" s="2">
        <f t="shared" si="91"/>
        <v>0</v>
      </c>
      <c r="BM87" s="2">
        <f t="shared" si="91"/>
        <v>0</v>
      </c>
      <c r="BN87" s="2">
        <f t="shared" si="91"/>
        <v>0</v>
      </c>
      <c r="BO87" s="2">
        <f t="shared" si="91"/>
        <v>0</v>
      </c>
      <c r="BP87" s="2">
        <f t="shared" si="91"/>
        <v>0</v>
      </c>
      <c r="BQ87" s="2">
        <f t="shared" si="91"/>
        <v>0</v>
      </c>
      <c r="BR87" s="2">
        <f t="shared" si="91"/>
        <v>0</v>
      </c>
      <c r="BS87" s="2">
        <f t="shared" ref="BS87:CD88" si="93">CA327</f>
        <v>0</v>
      </c>
      <c r="BT87" s="2">
        <f t="shared" si="93"/>
        <v>0</v>
      </c>
      <c r="BU87" s="2">
        <f t="shared" si="93"/>
        <v>0</v>
      </c>
      <c r="BV87" s="2">
        <f t="shared" si="93"/>
        <v>0</v>
      </c>
      <c r="BW87" s="2">
        <f t="shared" si="93"/>
        <v>0</v>
      </c>
      <c r="BX87" s="2">
        <f t="shared" si="93"/>
        <v>0</v>
      </c>
      <c r="BY87" s="2">
        <f t="shared" si="93"/>
        <v>0</v>
      </c>
      <c r="BZ87" s="2">
        <f t="shared" si="93"/>
        <v>0</v>
      </c>
      <c r="CA87" s="2">
        <f t="shared" si="93"/>
        <v>0</v>
      </c>
      <c r="CB87" s="2">
        <f t="shared" si="93"/>
        <v>0</v>
      </c>
      <c r="CC87" s="2">
        <f t="shared" si="93"/>
        <v>0</v>
      </c>
      <c r="CD87" s="2">
        <f t="shared" si="93"/>
        <v>0</v>
      </c>
    </row>
    <row r="88" spans="2:82" s="2" customFormat="1" x14ac:dyDescent="0.2">
      <c r="F88" s="2" t="s">
        <v>8</v>
      </c>
      <c r="G88" s="2">
        <f>O328</f>
        <v>1</v>
      </c>
      <c r="H88" s="2">
        <f t="shared" ref="H88:AM88" si="94">P328</f>
        <v>0</v>
      </c>
      <c r="I88" s="2" t="str">
        <f t="shared" si="94"/>
        <v>emission_co2e_n2o_fgtv_dtp_fuel_coal|emission_co2e_n2o_fgtv_flaring_fuel_coal|emission_co2e_n2o_fgtv_venting_fuel_coal</v>
      </c>
      <c r="J88" s="2">
        <f t="shared" si="94"/>
        <v>0</v>
      </c>
      <c r="K88" s="2">
        <f t="shared" si="94"/>
        <v>0</v>
      </c>
      <c r="L88" s="2">
        <f t="shared" si="94"/>
        <v>0</v>
      </c>
      <c r="M88" s="2">
        <f t="shared" si="94"/>
        <v>0</v>
      </c>
      <c r="N88" s="2">
        <f t="shared" si="94"/>
        <v>0</v>
      </c>
      <c r="O88" s="2">
        <f t="shared" si="94"/>
        <v>0</v>
      </c>
      <c r="P88" s="2">
        <f t="shared" si="94"/>
        <v>0</v>
      </c>
      <c r="Q88" s="2">
        <f t="shared" si="94"/>
        <v>0</v>
      </c>
      <c r="R88" s="2">
        <f t="shared" si="94"/>
        <v>0</v>
      </c>
      <c r="S88" s="2">
        <f t="shared" si="94"/>
        <v>0</v>
      </c>
      <c r="T88" s="2">
        <f t="shared" si="94"/>
        <v>0</v>
      </c>
      <c r="U88" s="2">
        <f t="shared" si="94"/>
        <v>0</v>
      </c>
      <c r="V88" s="2">
        <f t="shared" si="94"/>
        <v>0</v>
      </c>
      <c r="W88" s="2">
        <f t="shared" si="94"/>
        <v>0</v>
      </c>
      <c r="X88" s="2">
        <f t="shared" si="94"/>
        <v>0</v>
      </c>
      <c r="Y88" s="2">
        <f t="shared" si="94"/>
        <v>0</v>
      </c>
      <c r="Z88" s="2">
        <f t="shared" si="94"/>
        <v>0</v>
      </c>
      <c r="AA88" s="2">
        <f t="shared" si="94"/>
        <v>0</v>
      </c>
      <c r="AB88" s="2">
        <f t="shared" si="94"/>
        <v>0</v>
      </c>
      <c r="AC88" s="2">
        <f t="shared" si="94"/>
        <v>0</v>
      </c>
      <c r="AD88" s="2">
        <f t="shared" si="94"/>
        <v>0</v>
      </c>
      <c r="AE88" s="2">
        <f t="shared" si="94"/>
        <v>0</v>
      </c>
      <c r="AF88" s="2">
        <f t="shared" si="94"/>
        <v>0</v>
      </c>
      <c r="AG88" s="2">
        <f t="shared" si="94"/>
        <v>0</v>
      </c>
      <c r="AH88" s="2">
        <f t="shared" si="94"/>
        <v>0</v>
      </c>
      <c r="AI88" s="2">
        <f t="shared" si="94"/>
        <v>0</v>
      </c>
      <c r="AJ88" s="2">
        <f t="shared" si="94"/>
        <v>0</v>
      </c>
      <c r="AK88" s="2">
        <f t="shared" si="94"/>
        <v>0</v>
      </c>
      <c r="AL88" s="2">
        <f t="shared" si="94"/>
        <v>0</v>
      </c>
      <c r="AM88" s="2">
        <f t="shared" si="94"/>
        <v>0</v>
      </c>
      <c r="AN88" s="2">
        <f t="shared" ref="AN88:BS88" si="95">AV328</f>
        <v>0</v>
      </c>
      <c r="AO88" s="2">
        <f t="shared" si="95"/>
        <v>0</v>
      </c>
      <c r="AP88" s="2">
        <f t="shared" si="95"/>
        <v>0</v>
      </c>
      <c r="AQ88" s="2">
        <f t="shared" si="95"/>
        <v>0</v>
      </c>
      <c r="AR88" s="2">
        <f t="shared" si="95"/>
        <v>0</v>
      </c>
      <c r="AS88" s="2">
        <f t="shared" si="95"/>
        <v>0</v>
      </c>
      <c r="AT88" s="2">
        <f t="shared" si="95"/>
        <v>0</v>
      </c>
      <c r="AU88" s="2">
        <f t="shared" si="95"/>
        <v>0</v>
      </c>
      <c r="AV88" s="2">
        <f t="shared" si="95"/>
        <v>0</v>
      </c>
      <c r="AW88" s="2">
        <f t="shared" si="95"/>
        <v>0</v>
      </c>
      <c r="AX88" s="2">
        <f t="shared" si="95"/>
        <v>0</v>
      </c>
      <c r="AY88" s="2">
        <f t="shared" si="95"/>
        <v>0</v>
      </c>
      <c r="AZ88" s="2">
        <f t="shared" si="95"/>
        <v>0</v>
      </c>
      <c r="BA88" s="2">
        <f t="shared" si="95"/>
        <v>0</v>
      </c>
      <c r="BB88" s="2">
        <f t="shared" si="95"/>
        <v>0</v>
      </c>
      <c r="BC88" s="2">
        <f t="shared" si="95"/>
        <v>0</v>
      </c>
      <c r="BD88" s="2">
        <f t="shared" si="95"/>
        <v>0</v>
      </c>
      <c r="BE88" s="2">
        <f t="shared" si="95"/>
        <v>0</v>
      </c>
      <c r="BF88" s="2">
        <f t="shared" si="95"/>
        <v>0</v>
      </c>
      <c r="BG88" s="2">
        <f t="shared" si="95"/>
        <v>0</v>
      </c>
      <c r="BH88" s="2">
        <f t="shared" si="95"/>
        <v>0</v>
      </c>
      <c r="BI88" s="2">
        <f t="shared" si="95"/>
        <v>0</v>
      </c>
      <c r="BJ88" s="2">
        <f t="shared" si="95"/>
        <v>0</v>
      </c>
      <c r="BK88" s="2">
        <f t="shared" si="95"/>
        <v>0</v>
      </c>
      <c r="BL88" s="2">
        <f t="shared" si="95"/>
        <v>0</v>
      </c>
      <c r="BM88" s="2">
        <f t="shared" si="95"/>
        <v>0</v>
      </c>
      <c r="BN88" s="2">
        <f t="shared" si="95"/>
        <v>0</v>
      </c>
      <c r="BO88" s="2">
        <f t="shared" si="95"/>
        <v>0</v>
      </c>
      <c r="BP88" s="2">
        <f t="shared" si="95"/>
        <v>0</v>
      </c>
      <c r="BQ88" s="2">
        <f t="shared" si="95"/>
        <v>0</v>
      </c>
      <c r="BR88" s="2">
        <f t="shared" si="95"/>
        <v>0</v>
      </c>
      <c r="BS88" s="2">
        <f t="shared" si="93"/>
        <v>0</v>
      </c>
      <c r="BT88" s="2">
        <f t="shared" si="93"/>
        <v>0</v>
      </c>
      <c r="BU88" s="2">
        <f t="shared" si="93"/>
        <v>0</v>
      </c>
      <c r="BV88" s="2">
        <f t="shared" si="93"/>
        <v>0</v>
      </c>
      <c r="BW88" s="2">
        <f t="shared" si="93"/>
        <v>0</v>
      </c>
      <c r="BX88" s="2">
        <f t="shared" si="93"/>
        <v>0</v>
      </c>
      <c r="BY88" s="2">
        <f t="shared" si="93"/>
        <v>0</v>
      </c>
      <c r="BZ88" s="2">
        <f t="shared" si="93"/>
        <v>0</v>
      </c>
      <c r="CA88" s="2">
        <f t="shared" si="93"/>
        <v>0</v>
      </c>
      <c r="CB88" s="2">
        <f t="shared" si="93"/>
        <v>0</v>
      </c>
      <c r="CC88" s="2">
        <f t="shared" si="93"/>
        <v>0</v>
      </c>
      <c r="CD88" s="2">
        <f t="shared" si="93"/>
        <v>0</v>
      </c>
    </row>
    <row r="89" spans="2:82" s="3" customFormat="1" x14ac:dyDescent="0.2">
      <c r="C89" s="3" t="s">
        <v>45</v>
      </c>
      <c r="G89" s="3">
        <f>SUM(G90:G95)</f>
        <v>6</v>
      </c>
      <c r="H89" s="3">
        <f t="shared" ref="H89:BS89" si="96">SUM(H90:H95)</f>
        <v>0</v>
      </c>
      <c r="I89" s="3">
        <f t="shared" si="96"/>
        <v>0</v>
      </c>
      <c r="J89" s="3">
        <f t="shared" si="96"/>
        <v>0</v>
      </c>
      <c r="K89" s="3">
        <f t="shared" si="96"/>
        <v>0</v>
      </c>
      <c r="L89" s="3">
        <f t="shared" si="96"/>
        <v>0</v>
      </c>
      <c r="M89" s="3">
        <f t="shared" si="96"/>
        <v>0</v>
      </c>
      <c r="N89" s="3">
        <f t="shared" si="96"/>
        <v>0</v>
      </c>
      <c r="O89" s="3">
        <f t="shared" si="96"/>
        <v>0</v>
      </c>
      <c r="P89" s="3">
        <f t="shared" si="96"/>
        <v>0</v>
      </c>
      <c r="Q89" s="3">
        <f t="shared" si="96"/>
        <v>0</v>
      </c>
      <c r="R89" s="3">
        <f t="shared" si="96"/>
        <v>0</v>
      </c>
      <c r="S89" s="3">
        <f t="shared" si="96"/>
        <v>0</v>
      </c>
      <c r="T89" s="3">
        <f t="shared" si="96"/>
        <v>0</v>
      </c>
      <c r="U89" s="3">
        <f t="shared" si="96"/>
        <v>0</v>
      </c>
      <c r="V89" s="3">
        <f t="shared" si="96"/>
        <v>0</v>
      </c>
      <c r="W89" s="3">
        <f t="shared" si="96"/>
        <v>0</v>
      </c>
      <c r="X89" s="3">
        <f t="shared" si="96"/>
        <v>0</v>
      </c>
      <c r="Y89" s="3">
        <f t="shared" si="96"/>
        <v>0</v>
      </c>
      <c r="Z89" s="3">
        <f t="shared" si="96"/>
        <v>0</v>
      </c>
      <c r="AA89" s="3">
        <f t="shared" si="96"/>
        <v>0</v>
      </c>
      <c r="AB89" s="3">
        <f t="shared" si="96"/>
        <v>0</v>
      </c>
      <c r="AC89" s="3">
        <f t="shared" si="96"/>
        <v>0</v>
      </c>
      <c r="AD89" s="3">
        <f t="shared" si="96"/>
        <v>0</v>
      </c>
      <c r="AE89" s="3">
        <f t="shared" si="96"/>
        <v>0</v>
      </c>
      <c r="AF89" s="3">
        <f t="shared" si="96"/>
        <v>0</v>
      </c>
      <c r="AG89" s="3">
        <f t="shared" si="96"/>
        <v>0</v>
      </c>
      <c r="AH89" s="3">
        <f t="shared" si="96"/>
        <v>0</v>
      </c>
      <c r="AI89" s="3">
        <f t="shared" si="96"/>
        <v>0</v>
      </c>
      <c r="AJ89" s="3">
        <f t="shared" si="96"/>
        <v>0.18909408667339314</v>
      </c>
      <c r="AK89" s="3">
        <f t="shared" si="96"/>
        <v>0.19067441766615237</v>
      </c>
      <c r="AL89" s="3">
        <f t="shared" si="96"/>
        <v>0.19209910174561187</v>
      </c>
      <c r="AM89" s="3">
        <f t="shared" si="96"/>
        <v>0.19387607114923991</v>
      </c>
      <c r="AN89" s="3">
        <f t="shared" si="96"/>
        <v>0.19526013466387956</v>
      </c>
      <c r="AO89" s="3">
        <f t="shared" si="96"/>
        <v>0.19662903605249105</v>
      </c>
      <c r="AP89" s="3">
        <f t="shared" si="96"/>
        <v>0.19793454511415601</v>
      </c>
      <c r="AQ89" s="3">
        <f t="shared" si="96"/>
        <v>0.27187240611086372</v>
      </c>
      <c r="AR89" s="3">
        <f t="shared" si="96"/>
        <v>0.37121308409027043</v>
      </c>
      <c r="AS89" s="3">
        <f t="shared" si="96"/>
        <v>0.50580480152639995</v>
      </c>
      <c r="AT89" s="3">
        <f t="shared" si="96"/>
        <v>0.68811524150309999</v>
      </c>
      <c r="AU89" s="3">
        <f t="shared" si="96"/>
        <v>4.7158600146013985</v>
      </c>
      <c r="AV89" s="3">
        <f t="shared" si="96"/>
        <v>8.9000888478154003</v>
      </c>
      <c r="AW89" s="3">
        <f t="shared" si="96"/>
        <v>13.296831174126401</v>
      </c>
      <c r="AX89" s="3">
        <f t="shared" si="96"/>
        <v>17.955113704986601</v>
      </c>
      <c r="AY89" s="3">
        <f t="shared" si="96"/>
        <v>22.896944224437298</v>
      </c>
      <c r="AZ89" s="3">
        <f t="shared" si="96"/>
        <v>28.1011650980215</v>
      </c>
      <c r="BA89" s="3">
        <f t="shared" si="96"/>
        <v>33.504523120140185</v>
      </c>
      <c r="BB89" s="3">
        <f t="shared" si="96"/>
        <v>39.023221643937404</v>
      </c>
      <c r="BC89" s="3">
        <f t="shared" si="96"/>
        <v>44.581640453554606</v>
      </c>
      <c r="BD89" s="3">
        <f t="shared" si="96"/>
        <v>50.111310128341202</v>
      </c>
      <c r="BE89" s="3">
        <f t="shared" si="96"/>
        <v>55.586285657143016</v>
      </c>
      <c r="BF89" s="3">
        <f t="shared" si="96"/>
        <v>60.998478409356004</v>
      </c>
      <c r="BG89" s="3">
        <f t="shared" si="96"/>
        <v>66.350368470122504</v>
      </c>
      <c r="BH89" s="3">
        <f t="shared" si="96"/>
        <v>71.652775477662402</v>
      </c>
      <c r="BI89" s="3">
        <f t="shared" si="96"/>
        <v>76.911096921214309</v>
      </c>
      <c r="BJ89" s="3">
        <f t="shared" si="96"/>
        <v>77.268620929428593</v>
      </c>
      <c r="BK89" s="3">
        <f t="shared" si="96"/>
        <v>77.624896107707116</v>
      </c>
      <c r="BL89" s="3">
        <f t="shared" si="96"/>
        <v>77.978095365514903</v>
      </c>
      <c r="BM89" s="3">
        <f t="shared" si="96"/>
        <v>78.326400483011412</v>
      </c>
      <c r="BN89" s="3">
        <f t="shared" si="96"/>
        <v>78.667918826998104</v>
      </c>
      <c r="BO89" s="3">
        <f t="shared" si="96"/>
        <v>79.001700249651918</v>
      </c>
      <c r="BP89" s="3">
        <f t="shared" si="96"/>
        <v>79.324878914803492</v>
      </c>
      <c r="BQ89" s="3">
        <f t="shared" si="96"/>
        <v>79.635558515996607</v>
      </c>
      <c r="BR89" s="3">
        <f t="shared" si="96"/>
        <v>79.931927816710399</v>
      </c>
      <c r="BS89" s="3">
        <f t="shared" si="96"/>
        <v>80.212195482354517</v>
      </c>
      <c r="BT89" s="3">
        <f t="shared" ref="BT89:CD89" si="97">SUM(BT90:BT95)</f>
        <v>80.474571360035</v>
      </c>
      <c r="BU89" s="3">
        <f t="shared" si="97"/>
        <v>80.744273502103908</v>
      </c>
      <c r="BV89" s="3">
        <f t="shared" si="97"/>
        <v>81.021446428306803</v>
      </c>
      <c r="BW89" s="3">
        <f t="shared" si="97"/>
        <v>81.306269225419712</v>
      </c>
      <c r="BX89" s="3">
        <f t="shared" si="97"/>
        <v>81.598927163867501</v>
      </c>
      <c r="BY89" s="3">
        <f t="shared" si="97"/>
        <v>81.899508744800897</v>
      </c>
      <c r="BZ89" s="3">
        <f t="shared" si="97"/>
        <v>82.208146389489499</v>
      </c>
      <c r="CA89" s="3">
        <f t="shared" si="97"/>
        <v>82.525089799377298</v>
      </c>
      <c r="CB89" s="3">
        <f t="shared" si="97"/>
        <v>82.850491477755796</v>
      </c>
      <c r="CC89" s="3">
        <f t="shared" si="97"/>
        <v>83.184558685008597</v>
      </c>
      <c r="CD89" s="3">
        <f t="shared" si="97"/>
        <v>83.527487222134397</v>
      </c>
    </row>
    <row r="90" spans="2:82" s="2" customFormat="1" x14ac:dyDescent="0.2">
      <c r="D90" s="2" t="s">
        <v>46</v>
      </c>
      <c r="F90" s="2" t="s">
        <v>6</v>
      </c>
      <c r="G90" s="2">
        <f t="shared" ref="G90:G95" si="98">O329</f>
        <v>1</v>
      </c>
      <c r="H90" s="2">
        <f t="shared" ref="H90:BS92" si="99">P329</f>
        <v>0</v>
      </c>
      <c r="I90" s="2" t="str">
        <f t="shared" si="99"/>
        <v>emission_co2e_ch4_fgtv_dtp_fuel_crude|emission_co2e_ch4_fgtv_dtp_fuel_oil|emission_co2e_ch4_fgtv_flaring_fuel_crude|emission_co2e_ch4_fgtv_flaring_fuel_oil|emission_co2e_ch4_fgtv_venting_fuel_crude|emission_co2e_ch4_fgtv_venting_fuel_oil</v>
      </c>
      <c r="J90" s="2">
        <f t="shared" si="99"/>
        <v>0</v>
      </c>
      <c r="K90" s="2">
        <f t="shared" si="99"/>
        <v>0</v>
      </c>
      <c r="L90" s="2">
        <f t="shared" si="99"/>
        <v>0</v>
      </c>
      <c r="M90" s="2">
        <f t="shared" si="99"/>
        <v>0</v>
      </c>
      <c r="N90" s="2">
        <f t="shared" si="99"/>
        <v>0</v>
      </c>
      <c r="O90" s="2">
        <f t="shared" si="99"/>
        <v>0</v>
      </c>
      <c r="P90" s="2">
        <f t="shared" si="99"/>
        <v>0</v>
      </c>
      <c r="Q90" s="2">
        <f t="shared" si="99"/>
        <v>0</v>
      </c>
      <c r="R90" s="2">
        <f t="shared" si="99"/>
        <v>0</v>
      </c>
      <c r="S90" s="2">
        <f t="shared" si="99"/>
        <v>0</v>
      </c>
      <c r="T90" s="2">
        <f t="shared" si="99"/>
        <v>0</v>
      </c>
      <c r="U90" s="2">
        <f t="shared" si="99"/>
        <v>0</v>
      </c>
      <c r="V90" s="2">
        <f t="shared" si="99"/>
        <v>0</v>
      </c>
      <c r="W90" s="2">
        <f t="shared" si="99"/>
        <v>0</v>
      </c>
      <c r="X90" s="2">
        <f t="shared" si="99"/>
        <v>0</v>
      </c>
      <c r="Y90" s="2">
        <f t="shared" si="99"/>
        <v>0</v>
      </c>
      <c r="Z90" s="2">
        <f t="shared" si="99"/>
        <v>0</v>
      </c>
      <c r="AA90" s="2">
        <f t="shared" si="99"/>
        <v>0</v>
      </c>
      <c r="AB90" s="2">
        <f t="shared" si="99"/>
        <v>0</v>
      </c>
      <c r="AC90" s="2">
        <f t="shared" si="99"/>
        <v>0</v>
      </c>
      <c r="AD90" s="2">
        <f t="shared" si="99"/>
        <v>0</v>
      </c>
      <c r="AE90" s="2">
        <f t="shared" si="99"/>
        <v>0</v>
      </c>
      <c r="AF90" s="2">
        <f t="shared" si="99"/>
        <v>0</v>
      </c>
      <c r="AG90" s="2">
        <f t="shared" si="99"/>
        <v>0</v>
      </c>
      <c r="AH90" s="2">
        <f t="shared" si="99"/>
        <v>0</v>
      </c>
      <c r="AI90" s="2">
        <f t="shared" si="99"/>
        <v>0</v>
      </c>
      <c r="AJ90" s="2">
        <f t="shared" si="99"/>
        <v>2.42970859489315E-3</v>
      </c>
      <c r="AK90" s="2">
        <f t="shared" si="99"/>
        <v>2.79879351175236E-3</v>
      </c>
      <c r="AL90" s="2">
        <f t="shared" si="99"/>
        <v>3.1689479358118899E-3</v>
      </c>
      <c r="AM90" s="2">
        <f t="shared" si="99"/>
        <v>3.4955092969399101E-3</v>
      </c>
      <c r="AN90" s="2">
        <f t="shared" si="99"/>
        <v>3.4964948153795501E-3</v>
      </c>
      <c r="AO90" s="2">
        <f t="shared" si="99"/>
        <v>3.5363326406910702E-3</v>
      </c>
      <c r="AP90" s="2">
        <f t="shared" si="99"/>
        <v>3.5784437111560001E-3</v>
      </c>
      <c r="AQ90" s="2">
        <f t="shared" si="99"/>
        <v>3.8650754934963699E-2</v>
      </c>
      <c r="AR90" s="2">
        <f t="shared" si="99"/>
        <v>8.0183235722770405E-2</v>
      </c>
      <c r="AS90" s="2">
        <f t="shared" si="99"/>
        <v>0.1289633497622</v>
      </c>
      <c r="AT90" s="2">
        <f t="shared" si="99"/>
        <v>0.1849788044131</v>
      </c>
      <c r="AU90" s="2">
        <f t="shared" si="99"/>
        <v>0.19522445725920001</v>
      </c>
      <c r="AV90" s="2">
        <f t="shared" si="99"/>
        <v>0.2056121932202</v>
      </c>
      <c r="AW90" s="2">
        <f t="shared" si="99"/>
        <v>0.21618758846469999</v>
      </c>
      <c r="AX90" s="2">
        <f t="shared" si="99"/>
        <v>0.22707663391630001</v>
      </c>
      <c r="AY90" s="2">
        <f t="shared" si="99"/>
        <v>0.23836894555749999</v>
      </c>
      <c r="AZ90" s="2">
        <f t="shared" si="99"/>
        <v>0.25014839037660003</v>
      </c>
      <c r="BA90" s="2">
        <f t="shared" si="99"/>
        <v>0.26246534688849998</v>
      </c>
      <c r="BB90" s="2">
        <f t="shared" si="99"/>
        <v>0.27537133645919998</v>
      </c>
      <c r="BC90" s="2">
        <f t="shared" si="99"/>
        <v>0.28897225041719998</v>
      </c>
      <c r="BD90" s="2">
        <f t="shared" si="99"/>
        <v>0.30196096229710001</v>
      </c>
      <c r="BE90" s="2">
        <f t="shared" si="99"/>
        <v>0.3184723775078</v>
      </c>
      <c r="BF90" s="2">
        <f t="shared" si="99"/>
        <v>0.33422543245190001</v>
      </c>
      <c r="BG90" s="2">
        <f t="shared" si="99"/>
        <v>0.34894154342209999</v>
      </c>
      <c r="BH90" s="2">
        <f t="shared" si="99"/>
        <v>0.36239924657689998</v>
      </c>
      <c r="BI90" s="2">
        <f t="shared" si="99"/>
        <v>0.37434784582140002</v>
      </c>
      <c r="BJ90" s="2">
        <f t="shared" si="99"/>
        <v>0.38435591043169998</v>
      </c>
      <c r="BK90" s="2">
        <f t="shared" si="99"/>
        <v>0.39402983767560001</v>
      </c>
      <c r="BL90" s="2">
        <f t="shared" si="99"/>
        <v>0.40329264459129999</v>
      </c>
      <c r="BM90" s="2">
        <f t="shared" si="99"/>
        <v>0.41206843111719998</v>
      </c>
      <c r="BN90" s="2">
        <f t="shared" si="99"/>
        <v>0.42027920451380002</v>
      </c>
      <c r="BO90" s="2">
        <f t="shared" si="99"/>
        <v>0.42882893334420003</v>
      </c>
      <c r="BP90" s="2">
        <f t="shared" si="99"/>
        <v>0.4366961959074</v>
      </c>
      <c r="BQ90" s="2">
        <f t="shared" si="99"/>
        <v>0.44381261467639999</v>
      </c>
      <c r="BR90" s="2">
        <f t="shared" si="99"/>
        <v>0.45012644353030001</v>
      </c>
      <c r="BS90" s="2">
        <f t="shared" si="99"/>
        <v>0.45559299554990002</v>
      </c>
      <c r="BT90" s="2">
        <f t="shared" ref="BT90:CD91" si="100">CB329</f>
        <v>0.46017199422619998</v>
      </c>
      <c r="BU90" s="2">
        <f t="shared" si="100"/>
        <v>0.46473640711160003</v>
      </c>
      <c r="BV90" s="2">
        <f t="shared" si="100"/>
        <v>0.46928856690030002</v>
      </c>
      <c r="BW90" s="2">
        <f t="shared" si="100"/>
        <v>0.473834942318</v>
      </c>
      <c r="BX90" s="2">
        <f t="shared" si="100"/>
        <v>0.47838149917579997</v>
      </c>
      <c r="BY90" s="2">
        <f t="shared" si="100"/>
        <v>0.4829388541545</v>
      </c>
      <c r="BZ90" s="2">
        <f t="shared" si="100"/>
        <v>0.48750871794790002</v>
      </c>
      <c r="CA90" s="2">
        <f t="shared" si="100"/>
        <v>0.49211672402869999</v>
      </c>
      <c r="CB90" s="2">
        <f t="shared" si="100"/>
        <v>0.49678313979839989</v>
      </c>
      <c r="CC90" s="2">
        <f t="shared" si="100"/>
        <v>0.50153837534680001</v>
      </c>
      <c r="CD90" s="2">
        <f t="shared" si="100"/>
        <v>0.50641808969640001</v>
      </c>
    </row>
    <row r="91" spans="2:82" s="2" customFormat="1" x14ac:dyDescent="0.2">
      <c r="D91" s="2" t="s">
        <v>46</v>
      </c>
      <c r="F91" s="2" t="s">
        <v>7</v>
      </c>
      <c r="G91" s="2">
        <f t="shared" si="98"/>
        <v>1</v>
      </c>
      <c r="H91" s="2">
        <f t="shared" si="99"/>
        <v>0</v>
      </c>
      <c r="I91" s="2" t="str">
        <f t="shared" si="99"/>
        <v>emission_co2e_co2_fgtv_dtp_fuel_crude|emission_co2e_co2_fgtv_dtp_fuel_oil|emission_co2e_co2_fgtv_flaring_fuel_crude|emission_co2e_co2_fgtv_flaring_fuel_oil|emission_co2e_co2_fgtv_venting_fuel_crude|emission_co2e_co2_fgtv_venting_fuel_oil</v>
      </c>
      <c r="J91" s="2">
        <f t="shared" si="99"/>
        <v>0</v>
      </c>
      <c r="K91" s="2">
        <f t="shared" si="99"/>
        <v>0</v>
      </c>
      <c r="L91" s="2">
        <f t="shared" si="99"/>
        <v>0</v>
      </c>
      <c r="M91" s="2">
        <f t="shared" si="99"/>
        <v>0</v>
      </c>
      <c r="N91" s="2">
        <f t="shared" si="99"/>
        <v>0</v>
      </c>
      <c r="O91" s="2">
        <f t="shared" si="99"/>
        <v>0</v>
      </c>
      <c r="P91" s="2">
        <f t="shared" si="99"/>
        <v>0</v>
      </c>
      <c r="Q91" s="2">
        <f t="shared" si="99"/>
        <v>0</v>
      </c>
      <c r="R91" s="2">
        <f t="shared" si="99"/>
        <v>0</v>
      </c>
      <c r="S91" s="2">
        <f t="shared" si="99"/>
        <v>0</v>
      </c>
      <c r="T91" s="2">
        <f t="shared" si="99"/>
        <v>0</v>
      </c>
      <c r="U91" s="2">
        <f t="shared" si="99"/>
        <v>0</v>
      </c>
      <c r="V91" s="2">
        <f t="shared" si="99"/>
        <v>0</v>
      </c>
      <c r="W91" s="2">
        <f t="shared" si="99"/>
        <v>0</v>
      </c>
      <c r="X91" s="2">
        <f t="shared" si="99"/>
        <v>0</v>
      </c>
      <c r="Y91" s="2">
        <f t="shared" si="99"/>
        <v>0</v>
      </c>
      <c r="Z91" s="2">
        <f t="shared" si="99"/>
        <v>0</v>
      </c>
      <c r="AA91" s="2">
        <f t="shared" si="99"/>
        <v>0</v>
      </c>
      <c r="AB91" s="2">
        <f t="shared" si="99"/>
        <v>0</v>
      </c>
      <c r="AC91" s="2">
        <f t="shared" si="99"/>
        <v>0</v>
      </c>
      <c r="AD91" s="2">
        <f t="shared" si="99"/>
        <v>0</v>
      </c>
      <c r="AE91" s="2">
        <f t="shared" si="99"/>
        <v>0</v>
      </c>
      <c r="AF91" s="2">
        <f t="shared" si="99"/>
        <v>0</v>
      </c>
      <c r="AG91" s="2">
        <f t="shared" si="99"/>
        <v>0</v>
      </c>
      <c r="AH91" s="2">
        <f t="shared" si="99"/>
        <v>0</v>
      </c>
      <c r="AI91" s="2">
        <f t="shared" si="99"/>
        <v>0</v>
      </c>
      <c r="AJ91" s="2">
        <f t="shared" si="99"/>
        <v>0</v>
      </c>
      <c r="AK91" s="2">
        <f t="shared" si="99"/>
        <v>0</v>
      </c>
      <c r="AL91" s="2">
        <f t="shared" si="99"/>
        <v>0</v>
      </c>
      <c r="AM91" s="2">
        <f t="shared" si="99"/>
        <v>0</v>
      </c>
      <c r="AN91" s="2">
        <f t="shared" si="99"/>
        <v>0</v>
      </c>
      <c r="AO91" s="2">
        <f t="shared" si="99"/>
        <v>0</v>
      </c>
      <c r="AP91" s="2">
        <f t="shared" si="99"/>
        <v>0</v>
      </c>
      <c r="AQ91" s="2">
        <f t="shared" si="99"/>
        <v>0</v>
      </c>
      <c r="AR91" s="2">
        <f t="shared" si="99"/>
        <v>0</v>
      </c>
      <c r="AS91" s="2">
        <f t="shared" si="99"/>
        <v>0</v>
      </c>
      <c r="AT91" s="2">
        <f t="shared" si="99"/>
        <v>0</v>
      </c>
      <c r="AU91" s="2">
        <f t="shared" si="99"/>
        <v>0</v>
      </c>
      <c r="AV91" s="2">
        <f t="shared" si="99"/>
        <v>0</v>
      </c>
      <c r="AW91" s="2">
        <f t="shared" si="99"/>
        <v>0</v>
      </c>
      <c r="AX91" s="2">
        <f t="shared" si="99"/>
        <v>0</v>
      </c>
      <c r="AY91" s="2">
        <f t="shared" si="99"/>
        <v>0</v>
      </c>
      <c r="AZ91" s="2">
        <f t="shared" si="99"/>
        <v>0</v>
      </c>
      <c r="BA91" s="2">
        <f t="shared" si="99"/>
        <v>0</v>
      </c>
      <c r="BB91" s="2">
        <f t="shared" si="99"/>
        <v>0</v>
      </c>
      <c r="BC91" s="2">
        <f t="shared" si="99"/>
        <v>0</v>
      </c>
      <c r="BD91" s="2">
        <f t="shared" si="99"/>
        <v>0</v>
      </c>
      <c r="BE91" s="2">
        <f t="shared" si="99"/>
        <v>0</v>
      </c>
      <c r="BF91" s="2">
        <f t="shared" si="99"/>
        <v>0</v>
      </c>
      <c r="BG91" s="2">
        <f t="shared" si="99"/>
        <v>0</v>
      </c>
      <c r="BH91" s="2">
        <f t="shared" si="99"/>
        <v>0</v>
      </c>
      <c r="BI91" s="2">
        <f t="shared" si="99"/>
        <v>0</v>
      </c>
      <c r="BJ91" s="2">
        <f t="shared" si="99"/>
        <v>0</v>
      </c>
      <c r="BK91" s="2">
        <f t="shared" si="99"/>
        <v>0</v>
      </c>
      <c r="BL91" s="2">
        <f t="shared" si="99"/>
        <v>0</v>
      </c>
      <c r="BM91" s="2">
        <f t="shared" si="99"/>
        <v>0</v>
      </c>
      <c r="BN91" s="2">
        <f t="shared" si="99"/>
        <v>0</v>
      </c>
      <c r="BO91" s="2">
        <f t="shared" si="99"/>
        <v>0</v>
      </c>
      <c r="BP91" s="2">
        <f t="shared" si="99"/>
        <v>0</v>
      </c>
      <c r="BQ91" s="2">
        <f t="shared" si="99"/>
        <v>0</v>
      </c>
      <c r="BR91" s="2">
        <f t="shared" si="99"/>
        <v>0</v>
      </c>
      <c r="BS91" s="2">
        <f t="shared" si="99"/>
        <v>0</v>
      </c>
      <c r="BT91" s="2">
        <f t="shared" si="100"/>
        <v>0</v>
      </c>
      <c r="BU91" s="2">
        <f t="shared" si="100"/>
        <v>0</v>
      </c>
      <c r="BV91" s="2">
        <f t="shared" si="100"/>
        <v>0</v>
      </c>
      <c r="BW91" s="2">
        <f t="shared" si="100"/>
        <v>0</v>
      </c>
      <c r="BX91" s="2">
        <f t="shared" si="100"/>
        <v>0</v>
      </c>
      <c r="BY91" s="2">
        <f t="shared" si="100"/>
        <v>0</v>
      </c>
      <c r="BZ91" s="2">
        <f t="shared" si="100"/>
        <v>0</v>
      </c>
      <c r="CA91" s="2">
        <f t="shared" si="100"/>
        <v>0</v>
      </c>
      <c r="CB91" s="2">
        <f t="shared" si="100"/>
        <v>0</v>
      </c>
      <c r="CC91" s="2">
        <f t="shared" si="100"/>
        <v>0</v>
      </c>
      <c r="CD91" s="2">
        <f t="shared" si="100"/>
        <v>0</v>
      </c>
    </row>
    <row r="92" spans="2:82" s="2" customFormat="1" x14ac:dyDescent="0.2">
      <c r="D92" s="2" t="s">
        <v>46</v>
      </c>
      <c r="F92" s="2" t="s">
        <v>8</v>
      </c>
      <c r="G92" s="2">
        <f t="shared" si="98"/>
        <v>1</v>
      </c>
      <c r="H92" s="2">
        <f t="shared" si="99"/>
        <v>0</v>
      </c>
      <c r="I92" s="2" t="str">
        <f t="shared" si="99"/>
        <v>emission_co2e_n2o_fgtv_dtp_fuel_crude|emission_co2e_n2o_fgtv_dtp_fuel_oil|emission_co2e_n2o_fgtv_flaring_fuel_crude|emission_co2e_n2o_fgtv_flaring_fuel_oil|emission_co2e_n2o_fgtv_venting_fuel_crude|emission_co2e_n2o_fgtv_venting_fuel_oil</v>
      </c>
      <c r="J92" s="2">
        <f t="shared" si="99"/>
        <v>0</v>
      </c>
      <c r="K92" s="2">
        <f t="shared" si="99"/>
        <v>0</v>
      </c>
      <c r="L92" s="2">
        <f t="shared" si="99"/>
        <v>0</v>
      </c>
      <c r="M92" s="2">
        <f t="shared" si="99"/>
        <v>0</v>
      </c>
      <c r="N92" s="2">
        <f t="shared" si="99"/>
        <v>0</v>
      </c>
      <c r="O92" s="2">
        <f t="shared" si="99"/>
        <v>0</v>
      </c>
      <c r="P92" s="2">
        <f t="shared" si="99"/>
        <v>0</v>
      </c>
      <c r="Q92" s="2">
        <f t="shared" si="99"/>
        <v>0</v>
      </c>
      <c r="R92" s="2">
        <f t="shared" si="99"/>
        <v>0</v>
      </c>
      <c r="S92" s="2">
        <f t="shared" si="99"/>
        <v>0</v>
      </c>
      <c r="T92" s="2">
        <f t="shared" si="99"/>
        <v>0</v>
      </c>
      <c r="U92" s="2">
        <f t="shared" si="99"/>
        <v>0</v>
      </c>
      <c r="V92" s="2">
        <f t="shared" si="99"/>
        <v>0</v>
      </c>
      <c r="W92" s="2">
        <f t="shared" si="99"/>
        <v>0</v>
      </c>
      <c r="X92" s="2">
        <f t="shared" si="99"/>
        <v>0</v>
      </c>
      <c r="Y92" s="2">
        <f t="shared" si="99"/>
        <v>0</v>
      </c>
      <c r="Z92" s="2">
        <f t="shared" si="99"/>
        <v>0</v>
      </c>
      <c r="AA92" s="2">
        <f t="shared" si="99"/>
        <v>0</v>
      </c>
      <c r="AB92" s="2">
        <f t="shared" si="99"/>
        <v>0</v>
      </c>
      <c r="AC92" s="2">
        <f t="shared" si="99"/>
        <v>0</v>
      </c>
      <c r="AD92" s="2">
        <f t="shared" si="99"/>
        <v>0</v>
      </c>
      <c r="AE92" s="2">
        <f t="shared" si="99"/>
        <v>0</v>
      </c>
      <c r="AF92" s="2">
        <f t="shared" si="99"/>
        <v>0</v>
      </c>
      <c r="AG92" s="2">
        <f t="shared" si="99"/>
        <v>0</v>
      </c>
      <c r="AH92" s="2">
        <f t="shared" si="99"/>
        <v>0</v>
      </c>
      <c r="AI92" s="2">
        <f t="shared" si="99"/>
        <v>0</v>
      </c>
      <c r="AJ92" s="2">
        <f t="shared" si="99"/>
        <v>0</v>
      </c>
      <c r="AK92" s="2">
        <f t="shared" si="99"/>
        <v>0</v>
      </c>
      <c r="AL92" s="2">
        <f t="shared" si="99"/>
        <v>0</v>
      </c>
      <c r="AM92" s="2">
        <f t="shared" si="99"/>
        <v>0</v>
      </c>
      <c r="AN92" s="2">
        <f t="shared" si="99"/>
        <v>0</v>
      </c>
      <c r="AO92" s="2">
        <f t="shared" si="99"/>
        <v>0</v>
      </c>
      <c r="AP92" s="2">
        <f t="shared" si="99"/>
        <v>0</v>
      </c>
      <c r="AQ92" s="2">
        <f t="shared" si="99"/>
        <v>0</v>
      </c>
      <c r="AR92" s="2">
        <f t="shared" si="99"/>
        <v>0</v>
      </c>
      <c r="AS92" s="2">
        <f t="shared" si="99"/>
        <v>0</v>
      </c>
      <c r="AT92" s="2">
        <f t="shared" si="99"/>
        <v>0</v>
      </c>
      <c r="AU92" s="2">
        <f t="shared" si="99"/>
        <v>0</v>
      </c>
      <c r="AV92" s="2">
        <f t="shared" si="99"/>
        <v>0</v>
      </c>
      <c r="AW92" s="2">
        <f t="shared" si="99"/>
        <v>0</v>
      </c>
      <c r="AX92" s="2">
        <f t="shared" si="99"/>
        <v>0</v>
      </c>
      <c r="AY92" s="2">
        <f t="shared" si="99"/>
        <v>0</v>
      </c>
      <c r="AZ92" s="2">
        <f t="shared" si="99"/>
        <v>0</v>
      </c>
      <c r="BA92" s="2">
        <f t="shared" si="99"/>
        <v>0</v>
      </c>
      <c r="BB92" s="2">
        <f t="shared" si="99"/>
        <v>0</v>
      </c>
      <c r="BC92" s="2">
        <f t="shared" si="99"/>
        <v>0</v>
      </c>
      <c r="BD92" s="2">
        <f t="shared" si="99"/>
        <v>0</v>
      </c>
      <c r="BE92" s="2">
        <f t="shared" si="99"/>
        <v>0</v>
      </c>
      <c r="BF92" s="2">
        <f t="shared" si="99"/>
        <v>0</v>
      </c>
      <c r="BG92" s="2">
        <f t="shared" si="99"/>
        <v>0</v>
      </c>
      <c r="BH92" s="2">
        <f t="shared" si="99"/>
        <v>0</v>
      </c>
      <c r="BI92" s="2">
        <f t="shared" si="99"/>
        <v>0</v>
      </c>
      <c r="BJ92" s="2">
        <f t="shared" si="99"/>
        <v>0</v>
      </c>
      <c r="BK92" s="2">
        <f t="shared" si="99"/>
        <v>0</v>
      </c>
      <c r="BL92" s="2">
        <f t="shared" si="99"/>
        <v>0</v>
      </c>
      <c r="BM92" s="2">
        <f t="shared" si="99"/>
        <v>0</v>
      </c>
      <c r="BN92" s="2">
        <f t="shared" si="99"/>
        <v>0</v>
      </c>
      <c r="BO92" s="2">
        <f t="shared" si="99"/>
        <v>0</v>
      </c>
      <c r="BP92" s="2">
        <f t="shared" si="99"/>
        <v>0</v>
      </c>
      <c r="BQ92" s="2">
        <f t="shared" si="99"/>
        <v>0</v>
      </c>
      <c r="BR92" s="2">
        <f t="shared" si="99"/>
        <v>0</v>
      </c>
      <c r="BS92" s="2">
        <f t="shared" ref="BS92:CD95" si="101">CA331</f>
        <v>0</v>
      </c>
      <c r="BT92" s="2">
        <f t="shared" si="101"/>
        <v>0</v>
      </c>
      <c r="BU92" s="2">
        <f t="shared" si="101"/>
        <v>0</v>
      </c>
      <c r="BV92" s="2">
        <f t="shared" si="101"/>
        <v>0</v>
      </c>
      <c r="BW92" s="2">
        <f t="shared" si="101"/>
        <v>0</v>
      </c>
      <c r="BX92" s="2">
        <f t="shared" si="101"/>
        <v>0</v>
      </c>
      <c r="BY92" s="2">
        <f t="shared" si="101"/>
        <v>0</v>
      </c>
      <c r="BZ92" s="2">
        <f t="shared" si="101"/>
        <v>0</v>
      </c>
      <c r="CA92" s="2">
        <f t="shared" si="101"/>
        <v>0</v>
      </c>
      <c r="CB92" s="2">
        <f t="shared" si="101"/>
        <v>0</v>
      </c>
      <c r="CC92" s="2">
        <f t="shared" si="101"/>
        <v>0</v>
      </c>
      <c r="CD92" s="2">
        <f t="shared" si="101"/>
        <v>0</v>
      </c>
    </row>
    <row r="93" spans="2:82" s="2" customFormat="1" x14ac:dyDescent="0.2">
      <c r="D93" s="2" t="s">
        <v>47</v>
      </c>
      <c r="F93" s="2" t="s">
        <v>6</v>
      </c>
      <c r="G93" s="2">
        <f t="shared" si="98"/>
        <v>1</v>
      </c>
      <c r="H93" s="2">
        <f t="shared" ref="H93:Q95" si="102">P332</f>
        <v>0</v>
      </c>
      <c r="I93" s="2" t="str">
        <f t="shared" si="102"/>
        <v>emission_co2e_ch4_fgtv_dtp_fuel_natural_gas|emission_co2e_ch4_fgtv_flaring_fuel_natural_gas|emission_co2e_ch4_fgtv_venting_fuel_natural_gas</v>
      </c>
      <c r="J93" s="2">
        <f t="shared" si="102"/>
        <v>0</v>
      </c>
      <c r="K93" s="2">
        <f t="shared" si="102"/>
        <v>0</v>
      </c>
      <c r="L93" s="2">
        <f t="shared" si="102"/>
        <v>0</v>
      </c>
      <c r="M93" s="2">
        <f t="shared" si="102"/>
        <v>0</v>
      </c>
      <c r="N93" s="2">
        <f t="shared" si="102"/>
        <v>0</v>
      </c>
      <c r="O93" s="2">
        <f t="shared" si="102"/>
        <v>0</v>
      </c>
      <c r="P93" s="2">
        <f t="shared" si="102"/>
        <v>0</v>
      </c>
      <c r="Q93" s="2">
        <f t="shared" si="102"/>
        <v>0</v>
      </c>
      <c r="R93" s="2">
        <f t="shared" ref="R93:AA95" si="103">Z332</f>
        <v>0</v>
      </c>
      <c r="S93" s="2">
        <f t="shared" si="103"/>
        <v>0</v>
      </c>
      <c r="T93" s="2">
        <f t="shared" si="103"/>
        <v>0</v>
      </c>
      <c r="U93" s="2">
        <f t="shared" si="103"/>
        <v>0</v>
      </c>
      <c r="V93" s="2">
        <f t="shared" si="103"/>
        <v>0</v>
      </c>
      <c r="W93" s="2">
        <f t="shared" si="103"/>
        <v>0</v>
      </c>
      <c r="X93" s="2">
        <f t="shared" si="103"/>
        <v>0</v>
      </c>
      <c r="Y93" s="2">
        <f t="shared" si="103"/>
        <v>0</v>
      </c>
      <c r="Z93" s="2">
        <f t="shared" si="103"/>
        <v>0</v>
      </c>
      <c r="AA93" s="2">
        <f t="shared" si="103"/>
        <v>0</v>
      </c>
      <c r="AB93" s="2">
        <f t="shared" ref="AB93:AK95" si="104">AJ332</f>
        <v>0</v>
      </c>
      <c r="AC93" s="2">
        <f t="shared" si="104"/>
        <v>0</v>
      </c>
      <c r="AD93" s="2">
        <f t="shared" si="104"/>
        <v>0</v>
      </c>
      <c r="AE93" s="2">
        <f t="shared" si="104"/>
        <v>0</v>
      </c>
      <c r="AF93" s="2">
        <f t="shared" si="104"/>
        <v>0</v>
      </c>
      <c r="AG93" s="2">
        <f t="shared" si="104"/>
        <v>0</v>
      </c>
      <c r="AH93" s="2">
        <f t="shared" si="104"/>
        <v>0</v>
      </c>
      <c r="AI93" s="2">
        <f t="shared" si="104"/>
        <v>0</v>
      </c>
      <c r="AJ93" s="2">
        <f t="shared" si="104"/>
        <v>0.1866643780785</v>
      </c>
      <c r="AK93" s="2">
        <f t="shared" si="104"/>
        <v>0.18787562415440001</v>
      </c>
      <c r="AL93" s="2">
        <f t="shared" ref="AL93:AU95" si="105">AT332</f>
        <v>0.18893015380979999</v>
      </c>
      <c r="AM93" s="2">
        <f t="shared" si="105"/>
        <v>0.19038056185230001</v>
      </c>
      <c r="AN93" s="2">
        <f t="shared" si="105"/>
        <v>0.19176363984850001</v>
      </c>
      <c r="AO93" s="2">
        <f t="shared" si="105"/>
        <v>0.19309270341179999</v>
      </c>
      <c r="AP93" s="2">
        <f t="shared" si="105"/>
        <v>0.194356101403</v>
      </c>
      <c r="AQ93" s="2">
        <f t="shared" si="105"/>
        <v>0.23322165117589999</v>
      </c>
      <c r="AR93" s="2">
        <f t="shared" si="105"/>
        <v>0.29102984836750001</v>
      </c>
      <c r="AS93" s="2">
        <f t="shared" si="105"/>
        <v>0.37684145176419998</v>
      </c>
      <c r="AT93" s="2">
        <f t="shared" si="105"/>
        <v>0.50313643709</v>
      </c>
      <c r="AU93" s="2">
        <f t="shared" si="105"/>
        <v>4.5206355573421986</v>
      </c>
      <c r="AV93" s="2">
        <f t="shared" ref="AV93:BE95" si="106">BD332</f>
        <v>8.694476654595201</v>
      </c>
      <c r="AW93" s="2">
        <f t="shared" si="106"/>
        <v>13.080643585661701</v>
      </c>
      <c r="AX93" s="2">
        <f t="shared" si="106"/>
        <v>17.7280370710703</v>
      </c>
      <c r="AY93" s="2">
        <f t="shared" si="106"/>
        <v>22.658575278879798</v>
      </c>
      <c r="AZ93" s="2">
        <f t="shared" si="106"/>
        <v>27.851016707644899</v>
      </c>
      <c r="BA93" s="2">
        <f t="shared" si="106"/>
        <v>33.242057773251688</v>
      </c>
      <c r="BB93" s="2">
        <f t="shared" si="106"/>
        <v>38.747850307478203</v>
      </c>
      <c r="BC93" s="2">
        <f t="shared" si="106"/>
        <v>44.292668203137403</v>
      </c>
      <c r="BD93" s="2">
        <f t="shared" si="106"/>
        <v>49.8093491660441</v>
      </c>
      <c r="BE93" s="2">
        <f t="shared" si="106"/>
        <v>55.267813279635213</v>
      </c>
      <c r="BF93" s="2">
        <f t="shared" ref="BF93:BO95" si="107">BN332</f>
        <v>60.664252976904102</v>
      </c>
      <c r="BG93" s="2">
        <f t="shared" si="107"/>
        <v>66.001426926700404</v>
      </c>
      <c r="BH93" s="2">
        <f t="shared" si="107"/>
        <v>71.290376231085503</v>
      </c>
      <c r="BI93" s="2">
        <f t="shared" si="107"/>
        <v>76.536749075392905</v>
      </c>
      <c r="BJ93" s="2">
        <f t="shared" si="107"/>
        <v>76.884265018996899</v>
      </c>
      <c r="BK93" s="2">
        <f t="shared" si="107"/>
        <v>77.230866270031512</v>
      </c>
      <c r="BL93" s="2">
        <f t="shared" si="107"/>
        <v>77.5748027209236</v>
      </c>
      <c r="BM93" s="2">
        <f t="shared" si="107"/>
        <v>77.914332051894206</v>
      </c>
      <c r="BN93" s="2">
        <f t="shared" si="107"/>
        <v>78.2476396224843</v>
      </c>
      <c r="BO93" s="2">
        <f t="shared" si="107"/>
        <v>78.572871316307712</v>
      </c>
      <c r="BP93" s="2">
        <f t="shared" ref="BP93:BY95" si="108">BX332</f>
        <v>78.88818271889609</v>
      </c>
      <c r="BQ93" s="2">
        <f t="shared" si="108"/>
        <v>79.191745901320203</v>
      </c>
      <c r="BR93" s="2">
        <f t="shared" si="108"/>
        <v>79.481801373180105</v>
      </c>
      <c r="BS93" s="2">
        <f t="shared" si="108"/>
        <v>79.75660248680461</v>
      </c>
      <c r="BT93" s="2">
        <f t="shared" si="101"/>
        <v>80.014399365808799</v>
      </c>
      <c r="BU93" s="2">
        <f t="shared" si="101"/>
        <v>80.279537094992307</v>
      </c>
      <c r="BV93" s="2">
        <f t="shared" si="101"/>
        <v>80.552157861406499</v>
      </c>
      <c r="BW93" s="2">
        <f t="shared" si="101"/>
        <v>80.832434283101705</v>
      </c>
      <c r="BX93" s="2">
        <f t="shared" si="101"/>
        <v>81.120545664691704</v>
      </c>
      <c r="BY93" s="2">
        <f t="shared" si="101"/>
        <v>81.4165698906464</v>
      </c>
      <c r="BZ93" s="2">
        <f t="shared" si="101"/>
        <v>81.720637671541596</v>
      </c>
      <c r="CA93" s="2">
        <f t="shared" si="101"/>
        <v>82.032973075348593</v>
      </c>
      <c r="CB93" s="2">
        <f t="shared" si="101"/>
        <v>82.3537083379574</v>
      </c>
      <c r="CC93" s="2">
        <f t="shared" si="101"/>
        <v>82.683020309661799</v>
      </c>
      <c r="CD93" s="2">
        <f t="shared" si="101"/>
        <v>83.021069132438001</v>
      </c>
    </row>
    <row r="94" spans="2:82" s="2" customFormat="1" x14ac:dyDescent="0.2">
      <c r="D94" s="2" t="s">
        <v>47</v>
      </c>
      <c r="F94" s="2" t="s">
        <v>7</v>
      </c>
      <c r="G94" s="2">
        <f t="shared" si="98"/>
        <v>1</v>
      </c>
      <c r="H94" s="2">
        <f t="shared" si="102"/>
        <v>0</v>
      </c>
      <c r="I94" s="2" t="str">
        <f t="shared" si="102"/>
        <v>emission_co2e_co2_fgtv_dtp_fuel_natural_gas|emission_co2e_co2_fgtv_flaring_fuel_natural_gas|emission_co2e_co2_fgtv_venting_fuel_natural_gas</v>
      </c>
      <c r="J94" s="2">
        <f t="shared" si="102"/>
        <v>0</v>
      </c>
      <c r="K94" s="2">
        <f t="shared" si="102"/>
        <v>0</v>
      </c>
      <c r="L94" s="2">
        <f t="shared" si="102"/>
        <v>0</v>
      </c>
      <c r="M94" s="2">
        <f t="shared" si="102"/>
        <v>0</v>
      </c>
      <c r="N94" s="2">
        <f t="shared" si="102"/>
        <v>0</v>
      </c>
      <c r="O94" s="2">
        <f t="shared" si="102"/>
        <v>0</v>
      </c>
      <c r="P94" s="2">
        <f t="shared" si="102"/>
        <v>0</v>
      </c>
      <c r="Q94" s="2">
        <f t="shared" si="102"/>
        <v>0</v>
      </c>
      <c r="R94" s="2">
        <f t="shared" si="103"/>
        <v>0</v>
      </c>
      <c r="S94" s="2">
        <f t="shared" si="103"/>
        <v>0</v>
      </c>
      <c r="T94" s="2">
        <f t="shared" si="103"/>
        <v>0</v>
      </c>
      <c r="U94" s="2">
        <f t="shared" si="103"/>
        <v>0</v>
      </c>
      <c r="V94" s="2">
        <f t="shared" si="103"/>
        <v>0</v>
      </c>
      <c r="W94" s="2">
        <f t="shared" si="103"/>
        <v>0</v>
      </c>
      <c r="X94" s="2">
        <f t="shared" si="103"/>
        <v>0</v>
      </c>
      <c r="Y94" s="2">
        <f t="shared" si="103"/>
        <v>0</v>
      </c>
      <c r="Z94" s="2">
        <f t="shared" si="103"/>
        <v>0</v>
      </c>
      <c r="AA94" s="2">
        <f t="shared" si="103"/>
        <v>0</v>
      </c>
      <c r="AB94" s="2">
        <f t="shared" si="104"/>
        <v>0</v>
      </c>
      <c r="AC94" s="2">
        <f t="shared" si="104"/>
        <v>0</v>
      </c>
      <c r="AD94" s="2">
        <f t="shared" si="104"/>
        <v>0</v>
      </c>
      <c r="AE94" s="2">
        <f t="shared" si="104"/>
        <v>0</v>
      </c>
      <c r="AF94" s="2">
        <f t="shared" si="104"/>
        <v>0</v>
      </c>
      <c r="AG94" s="2">
        <f t="shared" si="104"/>
        <v>0</v>
      </c>
      <c r="AH94" s="2">
        <f t="shared" si="104"/>
        <v>0</v>
      </c>
      <c r="AI94" s="2">
        <f t="shared" si="104"/>
        <v>0</v>
      </c>
      <c r="AJ94" s="2">
        <f t="shared" si="104"/>
        <v>0</v>
      </c>
      <c r="AK94" s="2">
        <f t="shared" si="104"/>
        <v>0</v>
      </c>
      <c r="AL94" s="2">
        <f t="shared" si="105"/>
        <v>0</v>
      </c>
      <c r="AM94" s="2">
        <f t="shared" si="105"/>
        <v>0</v>
      </c>
      <c r="AN94" s="2">
        <f t="shared" si="105"/>
        <v>0</v>
      </c>
      <c r="AO94" s="2">
        <f t="shared" si="105"/>
        <v>0</v>
      </c>
      <c r="AP94" s="2">
        <f t="shared" si="105"/>
        <v>0</v>
      </c>
      <c r="AQ94" s="2">
        <f t="shared" si="105"/>
        <v>0</v>
      </c>
      <c r="AR94" s="2">
        <f t="shared" si="105"/>
        <v>0</v>
      </c>
      <c r="AS94" s="2">
        <f t="shared" si="105"/>
        <v>0</v>
      </c>
      <c r="AT94" s="2">
        <f t="shared" si="105"/>
        <v>0</v>
      </c>
      <c r="AU94" s="2">
        <f t="shared" si="105"/>
        <v>0</v>
      </c>
      <c r="AV94" s="2">
        <f t="shared" si="106"/>
        <v>0</v>
      </c>
      <c r="AW94" s="2">
        <f t="shared" si="106"/>
        <v>0</v>
      </c>
      <c r="AX94" s="2">
        <f t="shared" si="106"/>
        <v>0</v>
      </c>
      <c r="AY94" s="2">
        <f t="shared" si="106"/>
        <v>0</v>
      </c>
      <c r="AZ94" s="2">
        <f t="shared" si="106"/>
        <v>0</v>
      </c>
      <c r="BA94" s="2">
        <f t="shared" si="106"/>
        <v>0</v>
      </c>
      <c r="BB94" s="2">
        <f t="shared" si="106"/>
        <v>0</v>
      </c>
      <c r="BC94" s="2">
        <f t="shared" si="106"/>
        <v>0</v>
      </c>
      <c r="BD94" s="2">
        <f t="shared" si="106"/>
        <v>0</v>
      </c>
      <c r="BE94" s="2">
        <f t="shared" si="106"/>
        <v>0</v>
      </c>
      <c r="BF94" s="2">
        <f t="shared" si="107"/>
        <v>0</v>
      </c>
      <c r="BG94" s="2">
        <f t="shared" si="107"/>
        <v>0</v>
      </c>
      <c r="BH94" s="2">
        <f t="shared" si="107"/>
        <v>0</v>
      </c>
      <c r="BI94" s="2">
        <f t="shared" si="107"/>
        <v>0</v>
      </c>
      <c r="BJ94" s="2">
        <f t="shared" si="107"/>
        <v>0</v>
      </c>
      <c r="BK94" s="2">
        <f t="shared" si="107"/>
        <v>0</v>
      </c>
      <c r="BL94" s="2">
        <f t="shared" si="107"/>
        <v>0</v>
      </c>
      <c r="BM94" s="2">
        <f t="shared" si="107"/>
        <v>0</v>
      </c>
      <c r="BN94" s="2">
        <f t="shared" si="107"/>
        <v>0</v>
      </c>
      <c r="BO94" s="2">
        <f t="shared" si="107"/>
        <v>0</v>
      </c>
      <c r="BP94" s="2">
        <f t="shared" si="108"/>
        <v>0</v>
      </c>
      <c r="BQ94" s="2">
        <f t="shared" si="108"/>
        <v>0</v>
      </c>
      <c r="BR94" s="2">
        <f t="shared" si="108"/>
        <v>0</v>
      </c>
      <c r="BS94" s="2">
        <f t="shared" si="108"/>
        <v>0</v>
      </c>
      <c r="BT94" s="2">
        <f t="shared" si="101"/>
        <v>0</v>
      </c>
      <c r="BU94" s="2">
        <f t="shared" si="101"/>
        <v>0</v>
      </c>
      <c r="BV94" s="2">
        <f t="shared" si="101"/>
        <v>0</v>
      </c>
      <c r="BW94" s="2">
        <f t="shared" si="101"/>
        <v>0</v>
      </c>
      <c r="BX94" s="2">
        <f t="shared" si="101"/>
        <v>0</v>
      </c>
      <c r="BY94" s="2">
        <f t="shared" si="101"/>
        <v>0</v>
      </c>
      <c r="BZ94" s="2">
        <f t="shared" si="101"/>
        <v>0</v>
      </c>
      <c r="CA94" s="2">
        <f t="shared" si="101"/>
        <v>0</v>
      </c>
      <c r="CB94" s="2">
        <f t="shared" si="101"/>
        <v>0</v>
      </c>
      <c r="CC94" s="2">
        <f t="shared" si="101"/>
        <v>0</v>
      </c>
      <c r="CD94" s="2">
        <f t="shared" si="101"/>
        <v>0</v>
      </c>
    </row>
    <row r="95" spans="2:82" s="2" customFormat="1" x14ac:dyDescent="0.2">
      <c r="D95" s="2" t="s">
        <v>47</v>
      </c>
      <c r="F95" s="2" t="s">
        <v>8</v>
      </c>
      <c r="G95" s="2">
        <f t="shared" si="98"/>
        <v>1</v>
      </c>
      <c r="H95" s="2">
        <f t="shared" si="102"/>
        <v>0</v>
      </c>
      <c r="I95" s="2" t="str">
        <f t="shared" si="102"/>
        <v>emission_co2e_n2o_fgtv_dtp_fuel_natural_gas|emission_co2e_n2o_fgtv_flaring_fuel_natural_gas|emission_co2e_n2o_fgtv_venting_fuel_natural_gas</v>
      </c>
      <c r="J95" s="2">
        <f t="shared" si="102"/>
        <v>0</v>
      </c>
      <c r="K95" s="2">
        <f t="shared" si="102"/>
        <v>0</v>
      </c>
      <c r="L95" s="2">
        <f t="shared" si="102"/>
        <v>0</v>
      </c>
      <c r="M95" s="2">
        <f t="shared" si="102"/>
        <v>0</v>
      </c>
      <c r="N95" s="2">
        <f t="shared" si="102"/>
        <v>0</v>
      </c>
      <c r="O95" s="2">
        <f t="shared" si="102"/>
        <v>0</v>
      </c>
      <c r="P95" s="2">
        <f t="shared" si="102"/>
        <v>0</v>
      </c>
      <c r="Q95" s="2">
        <f t="shared" si="102"/>
        <v>0</v>
      </c>
      <c r="R95" s="2">
        <f t="shared" si="103"/>
        <v>0</v>
      </c>
      <c r="S95" s="2">
        <f t="shared" si="103"/>
        <v>0</v>
      </c>
      <c r="T95" s="2">
        <f t="shared" si="103"/>
        <v>0</v>
      </c>
      <c r="U95" s="2">
        <f t="shared" si="103"/>
        <v>0</v>
      </c>
      <c r="V95" s="2">
        <f t="shared" si="103"/>
        <v>0</v>
      </c>
      <c r="W95" s="2">
        <f t="shared" si="103"/>
        <v>0</v>
      </c>
      <c r="X95" s="2">
        <f t="shared" si="103"/>
        <v>0</v>
      </c>
      <c r="Y95" s="2">
        <f t="shared" si="103"/>
        <v>0</v>
      </c>
      <c r="Z95" s="2">
        <f t="shared" si="103"/>
        <v>0</v>
      </c>
      <c r="AA95" s="2">
        <f t="shared" si="103"/>
        <v>0</v>
      </c>
      <c r="AB95" s="2">
        <f t="shared" si="104"/>
        <v>0</v>
      </c>
      <c r="AC95" s="2">
        <f t="shared" si="104"/>
        <v>0</v>
      </c>
      <c r="AD95" s="2">
        <f t="shared" si="104"/>
        <v>0</v>
      </c>
      <c r="AE95" s="2">
        <f t="shared" si="104"/>
        <v>0</v>
      </c>
      <c r="AF95" s="2">
        <f t="shared" si="104"/>
        <v>0</v>
      </c>
      <c r="AG95" s="2">
        <f t="shared" si="104"/>
        <v>0</v>
      </c>
      <c r="AH95" s="2">
        <f t="shared" si="104"/>
        <v>0</v>
      </c>
      <c r="AI95" s="2">
        <f t="shared" si="104"/>
        <v>0</v>
      </c>
      <c r="AJ95" s="2">
        <f t="shared" si="104"/>
        <v>0</v>
      </c>
      <c r="AK95" s="2">
        <f t="shared" si="104"/>
        <v>0</v>
      </c>
      <c r="AL95" s="2">
        <f t="shared" si="105"/>
        <v>0</v>
      </c>
      <c r="AM95" s="2">
        <f t="shared" si="105"/>
        <v>0</v>
      </c>
      <c r="AN95" s="2">
        <f t="shared" si="105"/>
        <v>0</v>
      </c>
      <c r="AO95" s="2">
        <f t="shared" si="105"/>
        <v>0</v>
      </c>
      <c r="AP95" s="2">
        <f t="shared" si="105"/>
        <v>0</v>
      </c>
      <c r="AQ95" s="2">
        <f t="shared" si="105"/>
        <v>0</v>
      </c>
      <c r="AR95" s="2">
        <f t="shared" si="105"/>
        <v>0</v>
      </c>
      <c r="AS95" s="2">
        <f t="shared" si="105"/>
        <v>0</v>
      </c>
      <c r="AT95" s="2">
        <f t="shared" si="105"/>
        <v>0</v>
      </c>
      <c r="AU95" s="2">
        <f t="shared" si="105"/>
        <v>0</v>
      </c>
      <c r="AV95" s="2">
        <f t="shared" si="106"/>
        <v>0</v>
      </c>
      <c r="AW95" s="2">
        <f t="shared" si="106"/>
        <v>0</v>
      </c>
      <c r="AX95" s="2">
        <f t="shared" si="106"/>
        <v>0</v>
      </c>
      <c r="AY95" s="2">
        <f t="shared" si="106"/>
        <v>0</v>
      </c>
      <c r="AZ95" s="2">
        <f t="shared" si="106"/>
        <v>0</v>
      </c>
      <c r="BA95" s="2">
        <f t="shared" si="106"/>
        <v>0</v>
      </c>
      <c r="BB95" s="2">
        <f t="shared" si="106"/>
        <v>0</v>
      </c>
      <c r="BC95" s="2">
        <f t="shared" si="106"/>
        <v>0</v>
      </c>
      <c r="BD95" s="2">
        <f t="shared" si="106"/>
        <v>0</v>
      </c>
      <c r="BE95" s="2">
        <f t="shared" si="106"/>
        <v>0</v>
      </c>
      <c r="BF95" s="2">
        <f t="shared" si="107"/>
        <v>0</v>
      </c>
      <c r="BG95" s="2">
        <f t="shared" si="107"/>
        <v>0</v>
      </c>
      <c r="BH95" s="2">
        <f t="shared" si="107"/>
        <v>0</v>
      </c>
      <c r="BI95" s="2">
        <f t="shared" si="107"/>
        <v>0</v>
      </c>
      <c r="BJ95" s="2">
        <f t="shared" si="107"/>
        <v>0</v>
      </c>
      <c r="BK95" s="2">
        <f t="shared" si="107"/>
        <v>0</v>
      </c>
      <c r="BL95" s="2">
        <f t="shared" si="107"/>
        <v>0</v>
      </c>
      <c r="BM95" s="2">
        <f t="shared" si="107"/>
        <v>0</v>
      </c>
      <c r="BN95" s="2">
        <f t="shared" si="107"/>
        <v>0</v>
      </c>
      <c r="BO95" s="2">
        <f t="shared" si="107"/>
        <v>0</v>
      </c>
      <c r="BP95" s="2">
        <f t="shared" si="108"/>
        <v>0</v>
      </c>
      <c r="BQ95" s="2">
        <f t="shared" si="108"/>
        <v>0</v>
      </c>
      <c r="BR95" s="2">
        <f t="shared" si="108"/>
        <v>0</v>
      </c>
      <c r="BS95" s="2">
        <f t="shared" si="108"/>
        <v>0</v>
      </c>
      <c r="BT95" s="2">
        <f t="shared" si="101"/>
        <v>0</v>
      </c>
      <c r="BU95" s="2">
        <f t="shared" si="101"/>
        <v>0</v>
      </c>
      <c r="BV95" s="2">
        <f t="shared" si="101"/>
        <v>0</v>
      </c>
      <c r="BW95" s="2">
        <f t="shared" si="101"/>
        <v>0</v>
      </c>
      <c r="BX95" s="2">
        <f t="shared" si="101"/>
        <v>0</v>
      </c>
      <c r="BY95" s="2">
        <f t="shared" si="101"/>
        <v>0</v>
      </c>
      <c r="BZ95" s="2">
        <f t="shared" si="101"/>
        <v>0</v>
      </c>
      <c r="CA95" s="2">
        <f t="shared" si="101"/>
        <v>0</v>
      </c>
      <c r="CB95" s="2">
        <f t="shared" si="101"/>
        <v>0</v>
      </c>
      <c r="CC95" s="2">
        <f t="shared" si="101"/>
        <v>0</v>
      </c>
      <c r="CD95" s="2">
        <f t="shared" si="101"/>
        <v>0</v>
      </c>
    </row>
    <row r="96" spans="2:82" s="7" customFormat="1" x14ac:dyDescent="0.2">
      <c r="B96" s="7" t="s">
        <v>196</v>
      </c>
      <c r="G96" s="7">
        <f>SUM(G97:G99)</f>
        <v>0</v>
      </c>
      <c r="H96" s="7">
        <f t="shared" ref="H96:BS96" si="109">SUM(H97:H99)</f>
        <v>0</v>
      </c>
      <c r="I96" s="7">
        <f t="shared" si="109"/>
        <v>0</v>
      </c>
      <c r="J96" s="7">
        <f t="shared" si="109"/>
        <v>0</v>
      </c>
      <c r="K96" s="7">
        <f t="shared" si="109"/>
        <v>0</v>
      </c>
      <c r="L96" s="7">
        <f t="shared" si="109"/>
        <v>0</v>
      </c>
      <c r="M96" s="7">
        <f t="shared" si="109"/>
        <v>0</v>
      </c>
      <c r="N96" s="7">
        <f t="shared" si="109"/>
        <v>0</v>
      </c>
      <c r="O96" s="7">
        <f t="shared" si="109"/>
        <v>0</v>
      </c>
      <c r="P96" s="7">
        <f t="shared" si="109"/>
        <v>0</v>
      </c>
      <c r="Q96" s="7">
        <f t="shared" si="109"/>
        <v>0</v>
      </c>
      <c r="R96" s="7">
        <f t="shared" si="109"/>
        <v>0</v>
      </c>
      <c r="S96" s="7">
        <f t="shared" si="109"/>
        <v>0</v>
      </c>
      <c r="T96" s="7">
        <f t="shared" si="109"/>
        <v>0</v>
      </c>
      <c r="U96" s="7">
        <f t="shared" si="109"/>
        <v>0</v>
      </c>
      <c r="V96" s="7">
        <f t="shared" si="109"/>
        <v>0</v>
      </c>
      <c r="W96" s="7">
        <f t="shared" si="109"/>
        <v>0</v>
      </c>
      <c r="X96" s="7">
        <f t="shared" si="109"/>
        <v>0</v>
      </c>
      <c r="Y96" s="7">
        <f t="shared" si="109"/>
        <v>0</v>
      </c>
      <c r="Z96" s="7">
        <f t="shared" si="109"/>
        <v>0</v>
      </c>
      <c r="AA96" s="7">
        <f t="shared" si="109"/>
        <v>0</v>
      </c>
      <c r="AB96" s="7">
        <f t="shared" si="109"/>
        <v>0</v>
      </c>
      <c r="AC96" s="7">
        <f t="shared" si="109"/>
        <v>0</v>
      </c>
      <c r="AD96" s="7">
        <f t="shared" si="109"/>
        <v>0</v>
      </c>
      <c r="AE96" s="7">
        <f t="shared" si="109"/>
        <v>0</v>
      </c>
      <c r="AF96" s="7">
        <f t="shared" si="109"/>
        <v>-299997</v>
      </c>
      <c r="AG96" s="7">
        <f t="shared" si="109"/>
        <v>-299997</v>
      </c>
      <c r="AH96" s="7">
        <f t="shared" si="109"/>
        <v>-299997</v>
      </c>
      <c r="AI96" s="7">
        <f t="shared" si="109"/>
        <v>-299997</v>
      </c>
      <c r="AJ96" s="7">
        <f t="shared" si="109"/>
        <v>0</v>
      </c>
      <c r="AK96" s="7">
        <f t="shared" si="109"/>
        <v>0</v>
      </c>
      <c r="AL96" s="7">
        <f t="shared" si="109"/>
        <v>0</v>
      </c>
      <c r="AM96" s="7">
        <f t="shared" si="109"/>
        <v>0</v>
      </c>
      <c r="AN96" s="7">
        <f t="shared" si="109"/>
        <v>0</v>
      </c>
      <c r="AO96" s="7">
        <f t="shared" si="109"/>
        <v>0</v>
      </c>
      <c r="AP96" s="7">
        <f t="shared" si="109"/>
        <v>0</v>
      </c>
      <c r="AQ96" s="7">
        <f t="shared" si="109"/>
        <v>0</v>
      </c>
      <c r="AR96" s="7">
        <f t="shared" si="109"/>
        <v>0</v>
      </c>
      <c r="AS96" s="7">
        <f t="shared" si="109"/>
        <v>0</v>
      </c>
      <c r="AT96" s="7">
        <f t="shared" si="109"/>
        <v>0</v>
      </c>
      <c r="AU96" s="7">
        <f t="shared" si="109"/>
        <v>0</v>
      </c>
      <c r="AV96" s="7">
        <f t="shared" si="109"/>
        <v>0</v>
      </c>
      <c r="AW96" s="7">
        <f t="shared" si="109"/>
        <v>0</v>
      </c>
      <c r="AX96" s="7">
        <f t="shared" si="109"/>
        <v>0</v>
      </c>
      <c r="AY96" s="7">
        <f t="shared" si="109"/>
        <v>0</v>
      </c>
      <c r="AZ96" s="7">
        <f t="shared" si="109"/>
        <v>0</v>
      </c>
      <c r="BA96" s="7">
        <f t="shared" si="109"/>
        <v>0</v>
      </c>
      <c r="BB96" s="7">
        <f t="shared" si="109"/>
        <v>0</v>
      </c>
      <c r="BC96" s="7">
        <f t="shared" si="109"/>
        <v>0</v>
      </c>
      <c r="BD96" s="7">
        <f t="shared" si="109"/>
        <v>0</v>
      </c>
      <c r="BE96" s="7">
        <f t="shared" si="109"/>
        <v>0</v>
      </c>
      <c r="BF96" s="7">
        <f t="shared" si="109"/>
        <v>0</v>
      </c>
      <c r="BG96" s="7">
        <f t="shared" si="109"/>
        <v>0</v>
      </c>
      <c r="BH96" s="7">
        <f t="shared" si="109"/>
        <v>0</v>
      </c>
      <c r="BI96" s="7">
        <f t="shared" si="109"/>
        <v>0</v>
      </c>
      <c r="BJ96" s="7">
        <f t="shared" si="109"/>
        <v>0</v>
      </c>
      <c r="BK96" s="7">
        <f t="shared" si="109"/>
        <v>0</v>
      </c>
      <c r="BL96" s="7">
        <f t="shared" si="109"/>
        <v>0</v>
      </c>
      <c r="BM96" s="7">
        <f t="shared" si="109"/>
        <v>0</v>
      </c>
      <c r="BN96" s="7">
        <f t="shared" si="109"/>
        <v>0</v>
      </c>
      <c r="BO96" s="7">
        <f t="shared" si="109"/>
        <v>0</v>
      </c>
      <c r="BP96" s="7">
        <f t="shared" si="109"/>
        <v>0</v>
      </c>
      <c r="BQ96" s="7">
        <f t="shared" si="109"/>
        <v>0</v>
      </c>
      <c r="BR96" s="7">
        <f t="shared" si="109"/>
        <v>0</v>
      </c>
      <c r="BS96" s="7">
        <f t="shared" si="109"/>
        <v>0</v>
      </c>
      <c r="BT96" s="7">
        <f t="shared" ref="BT96:CD96" si="110">SUM(BT97:BT99)</f>
        <v>0</v>
      </c>
      <c r="BU96" s="7">
        <f t="shared" si="110"/>
        <v>0</v>
      </c>
      <c r="BV96" s="7">
        <f t="shared" si="110"/>
        <v>0</v>
      </c>
      <c r="BW96" s="7">
        <f t="shared" si="110"/>
        <v>0</v>
      </c>
      <c r="BX96" s="7">
        <f t="shared" si="110"/>
        <v>0</v>
      </c>
      <c r="BY96" s="7">
        <f t="shared" si="110"/>
        <v>0</v>
      </c>
      <c r="BZ96" s="7">
        <f t="shared" si="110"/>
        <v>0</v>
      </c>
      <c r="CA96" s="7">
        <f t="shared" si="110"/>
        <v>0</v>
      </c>
      <c r="CB96" s="7">
        <f t="shared" si="110"/>
        <v>0</v>
      </c>
      <c r="CC96" s="7">
        <f t="shared" si="110"/>
        <v>0</v>
      </c>
      <c r="CD96" s="7">
        <f t="shared" si="110"/>
        <v>0</v>
      </c>
    </row>
    <row r="97" spans="1:82" s="2" customFormat="1" x14ac:dyDescent="0.2">
      <c r="C97" s="2" t="s">
        <v>197</v>
      </c>
      <c r="F97" s="2" t="s">
        <v>6</v>
      </c>
      <c r="AF97" s="2">
        <f t="shared" ref="AF97:BR97" si="111">AN335</f>
        <v>-99999</v>
      </c>
      <c r="AG97" s="2">
        <f t="shared" si="111"/>
        <v>-99999</v>
      </c>
      <c r="AH97" s="2">
        <f t="shared" si="111"/>
        <v>-99999</v>
      </c>
      <c r="AI97" s="2">
        <f t="shared" si="111"/>
        <v>-99999</v>
      </c>
      <c r="AJ97" s="2">
        <f t="shared" si="111"/>
        <v>0</v>
      </c>
      <c r="AK97" s="2">
        <f t="shared" si="111"/>
        <v>0</v>
      </c>
      <c r="AL97" s="2">
        <f t="shared" si="111"/>
        <v>0</v>
      </c>
      <c r="AM97" s="2">
        <f t="shared" si="111"/>
        <v>0</v>
      </c>
      <c r="AN97" s="2">
        <f t="shared" si="111"/>
        <v>0</v>
      </c>
      <c r="AO97" s="2">
        <f t="shared" si="111"/>
        <v>0</v>
      </c>
      <c r="AP97" s="2">
        <f t="shared" si="111"/>
        <v>0</v>
      </c>
      <c r="AQ97" s="2">
        <f t="shared" si="111"/>
        <v>0</v>
      </c>
      <c r="AR97" s="2">
        <f t="shared" si="111"/>
        <v>0</v>
      </c>
      <c r="AS97" s="2">
        <f t="shared" si="111"/>
        <v>0</v>
      </c>
      <c r="AT97" s="2">
        <f t="shared" si="111"/>
        <v>0</v>
      </c>
      <c r="AU97" s="2">
        <f t="shared" si="111"/>
        <v>0</v>
      </c>
      <c r="AV97" s="2">
        <f t="shared" si="111"/>
        <v>0</v>
      </c>
      <c r="AW97" s="2">
        <f t="shared" si="111"/>
        <v>0</v>
      </c>
      <c r="AX97" s="2">
        <f t="shared" si="111"/>
        <v>0</v>
      </c>
      <c r="AY97" s="2">
        <f t="shared" si="111"/>
        <v>0</v>
      </c>
      <c r="AZ97" s="2">
        <f t="shared" si="111"/>
        <v>0</v>
      </c>
      <c r="BA97" s="2">
        <f t="shared" si="111"/>
        <v>0</v>
      </c>
      <c r="BB97" s="2">
        <f t="shared" si="111"/>
        <v>0</v>
      </c>
      <c r="BC97" s="2">
        <f t="shared" si="111"/>
        <v>0</v>
      </c>
      <c r="BD97" s="2">
        <f t="shared" si="111"/>
        <v>0</v>
      </c>
      <c r="BE97" s="2">
        <f t="shared" si="111"/>
        <v>0</v>
      </c>
      <c r="BF97" s="2">
        <f t="shared" si="111"/>
        <v>0</v>
      </c>
      <c r="BG97" s="2">
        <f t="shared" si="111"/>
        <v>0</v>
      </c>
      <c r="BH97" s="2">
        <f t="shared" si="111"/>
        <v>0</v>
      </c>
      <c r="BI97" s="2">
        <f t="shared" si="111"/>
        <v>0</v>
      </c>
      <c r="BJ97" s="2">
        <f t="shared" si="111"/>
        <v>0</v>
      </c>
      <c r="BK97" s="2">
        <f t="shared" si="111"/>
        <v>0</v>
      </c>
      <c r="BL97" s="2">
        <f t="shared" si="111"/>
        <v>0</v>
      </c>
      <c r="BM97" s="2">
        <f t="shared" si="111"/>
        <v>0</v>
      </c>
      <c r="BN97" s="2">
        <f t="shared" si="111"/>
        <v>0</v>
      </c>
      <c r="BO97" s="2">
        <f t="shared" si="111"/>
        <v>0</v>
      </c>
      <c r="BP97" s="2">
        <f t="shared" si="111"/>
        <v>0</v>
      </c>
      <c r="BQ97" s="2">
        <f t="shared" si="111"/>
        <v>0</v>
      </c>
      <c r="BR97" s="2">
        <f t="shared" si="111"/>
        <v>0</v>
      </c>
      <c r="BS97" s="2">
        <f t="shared" ref="BS97:CD99" si="112">CA335</f>
        <v>0</v>
      </c>
      <c r="BT97" s="2">
        <f t="shared" si="112"/>
        <v>0</v>
      </c>
      <c r="BU97" s="2">
        <f t="shared" si="112"/>
        <v>0</v>
      </c>
      <c r="BV97" s="2">
        <f t="shared" si="112"/>
        <v>0</v>
      </c>
      <c r="BW97" s="2">
        <f t="shared" si="112"/>
        <v>0</v>
      </c>
      <c r="BX97" s="2">
        <f t="shared" si="112"/>
        <v>0</v>
      </c>
      <c r="BY97" s="2">
        <f t="shared" si="112"/>
        <v>0</v>
      </c>
      <c r="BZ97" s="2">
        <f t="shared" si="112"/>
        <v>0</v>
      </c>
      <c r="CA97" s="2">
        <f t="shared" si="112"/>
        <v>0</v>
      </c>
      <c r="CB97" s="2">
        <f t="shared" si="112"/>
        <v>0</v>
      </c>
      <c r="CC97" s="2">
        <f t="shared" si="112"/>
        <v>0</v>
      </c>
      <c r="CD97" s="2">
        <f t="shared" si="112"/>
        <v>0</v>
      </c>
    </row>
    <row r="98" spans="1:82" s="2" customFormat="1" x14ac:dyDescent="0.2">
      <c r="C98" s="2" t="s">
        <v>197</v>
      </c>
      <c r="F98" s="2" t="s">
        <v>7</v>
      </c>
      <c r="AF98" s="2">
        <f t="shared" ref="AF98:AO99" si="113">AN336</f>
        <v>-99999</v>
      </c>
      <c r="AG98" s="2">
        <f t="shared" si="113"/>
        <v>-99999</v>
      </c>
      <c r="AH98" s="2">
        <f t="shared" si="113"/>
        <v>-99999</v>
      </c>
      <c r="AI98" s="2">
        <f t="shared" si="113"/>
        <v>-99999</v>
      </c>
      <c r="AJ98" s="2">
        <f t="shared" si="113"/>
        <v>0</v>
      </c>
      <c r="AK98" s="2">
        <f t="shared" si="113"/>
        <v>0</v>
      </c>
      <c r="AL98" s="2">
        <f t="shared" si="113"/>
        <v>0</v>
      </c>
      <c r="AM98" s="2">
        <f t="shared" si="113"/>
        <v>0</v>
      </c>
      <c r="AN98" s="2">
        <f t="shared" si="113"/>
        <v>0</v>
      </c>
      <c r="AO98" s="2">
        <f t="shared" si="113"/>
        <v>0</v>
      </c>
      <c r="AP98" s="2">
        <f t="shared" ref="AP98:AY99" si="114">AX336</f>
        <v>0</v>
      </c>
      <c r="AQ98" s="2">
        <f t="shared" si="114"/>
        <v>0</v>
      </c>
      <c r="AR98" s="2">
        <f t="shared" si="114"/>
        <v>0</v>
      </c>
      <c r="AS98" s="2">
        <f t="shared" si="114"/>
        <v>0</v>
      </c>
      <c r="AT98" s="2">
        <f t="shared" si="114"/>
        <v>0</v>
      </c>
      <c r="AU98" s="2">
        <f t="shared" si="114"/>
        <v>0</v>
      </c>
      <c r="AV98" s="2">
        <f t="shared" si="114"/>
        <v>0</v>
      </c>
      <c r="AW98" s="2">
        <f t="shared" si="114"/>
        <v>0</v>
      </c>
      <c r="AX98" s="2">
        <f t="shared" si="114"/>
        <v>0</v>
      </c>
      <c r="AY98" s="2">
        <f t="shared" si="114"/>
        <v>0</v>
      </c>
      <c r="AZ98" s="2">
        <f t="shared" ref="AZ98:BI99" si="115">BH336</f>
        <v>0</v>
      </c>
      <c r="BA98" s="2">
        <f t="shared" si="115"/>
        <v>0</v>
      </c>
      <c r="BB98" s="2">
        <f t="shared" si="115"/>
        <v>0</v>
      </c>
      <c r="BC98" s="2">
        <f t="shared" si="115"/>
        <v>0</v>
      </c>
      <c r="BD98" s="2">
        <f t="shared" si="115"/>
        <v>0</v>
      </c>
      <c r="BE98" s="2">
        <f t="shared" si="115"/>
        <v>0</v>
      </c>
      <c r="BF98" s="2">
        <f t="shared" si="115"/>
        <v>0</v>
      </c>
      <c r="BG98" s="2">
        <f t="shared" si="115"/>
        <v>0</v>
      </c>
      <c r="BH98" s="2">
        <f t="shared" si="115"/>
        <v>0</v>
      </c>
      <c r="BI98" s="2">
        <f t="shared" si="115"/>
        <v>0</v>
      </c>
      <c r="BJ98" s="2">
        <f t="shared" ref="BJ98:BS99" si="116">BR336</f>
        <v>0</v>
      </c>
      <c r="BK98" s="2">
        <f t="shared" si="116"/>
        <v>0</v>
      </c>
      <c r="BL98" s="2">
        <f t="shared" si="116"/>
        <v>0</v>
      </c>
      <c r="BM98" s="2">
        <f t="shared" si="116"/>
        <v>0</v>
      </c>
      <c r="BN98" s="2">
        <f t="shared" si="116"/>
        <v>0</v>
      </c>
      <c r="BO98" s="2">
        <f t="shared" si="116"/>
        <v>0</v>
      </c>
      <c r="BP98" s="2">
        <f t="shared" si="116"/>
        <v>0</v>
      </c>
      <c r="BQ98" s="2">
        <f t="shared" si="116"/>
        <v>0</v>
      </c>
      <c r="BR98" s="2">
        <f t="shared" si="116"/>
        <v>0</v>
      </c>
      <c r="BS98" s="2">
        <f t="shared" si="112"/>
        <v>0</v>
      </c>
      <c r="BT98" s="2">
        <f t="shared" si="112"/>
        <v>0</v>
      </c>
      <c r="BU98" s="2">
        <f t="shared" si="112"/>
        <v>0</v>
      </c>
      <c r="BV98" s="2">
        <f t="shared" si="112"/>
        <v>0</v>
      </c>
      <c r="BW98" s="2">
        <f t="shared" si="112"/>
        <v>0</v>
      </c>
      <c r="BX98" s="2">
        <f t="shared" si="112"/>
        <v>0</v>
      </c>
      <c r="BY98" s="2">
        <f t="shared" si="112"/>
        <v>0</v>
      </c>
      <c r="BZ98" s="2">
        <f t="shared" si="112"/>
        <v>0</v>
      </c>
      <c r="CA98" s="2">
        <f t="shared" si="112"/>
        <v>0</v>
      </c>
      <c r="CB98" s="2">
        <f t="shared" si="112"/>
        <v>0</v>
      </c>
      <c r="CC98" s="2">
        <f t="shared" si="112"/>
        <v>0</v>
      </c>
      <c r="CD98" s="2">
        <f t="shared" si="112"/>
        <v>0</v>
      </c>
    </row>
    <row r="99" spans="1:82" s="2" customFormat="1" x14ac:dyDescent="0.2">
      <c r="C99" s="2" t="s">
        <v>197</v>
      </c>
      <c r="F99" s="2" t="s">
        <v>8</v>
      </c>
      <c r="AF99" s="2">
        <f t="shared" si="113"/>
        <v>-99999</v>
      </c>
      <c r="AG99" s="2">
        <f t="shared" si="113"/>
        <v>-99999</v>
      </c>
      <c r="AH99" s="2">
        <f t="shared" si="113"/>
        <v>-99999</v>
      </c>
      <c r="AI99" s="2">
        <f t="shared" si="113"/>
        <v>-99999</v>
      </c>
      <c r="AJ99" s="2">
        <f t="shared" si="113"/>
        <v>0</v>
      </c>
      <c r="AK99" s="2">
        <f t="shared" si="113"/>
        <v>0</v>
      </c>
      <c r="AL99" s="2">
        <f t="shared" si="113"/>
        <v>0</v>
      </c>
      <c r="AM99" s="2">
        <f t="shared" si="113"/>
        <v>0</v>
      </c>
      <c r="AN99" s="2">
        <f t="shared" si="113"/>
        <v>0</v>
      </c>
      <c r="AO99" s="2">
        <f t="shared" si="113"/>
        <v>0</v>
      </c>
      <c r="AP99" s="2">
        <f t="shared" si="114"/>
        <v>0</v>
      </c>
      <c r="AQ99" s="2">
        <f t="shared" si="114"/>
        <v>0</v>
      </c>
      <c r="AR99" s="2">
        <f t="shared" si="114"/>
        <v>0</v>
      </c>
      <c r="AS99" s="2">
        <f t="shared" si="114"/>
        <v>0</v>
      </c>
      <c r="AT99" s="2">
        <f t="shared" si="114"/>
        <v>0</v>
      </c>
      <c r="AU99" s="2">
        <f t="shared" si="114"/>
        <v>0</v>
      </c>
      <c r="AV99" s="2">
        <f t="shared" si="114"/>
        <v>0</v>
      </c>
      <c r="AW99" s="2">
        <f t="shared" si="114"/>
        <v>0</v>
      </c>
      <c r="AX99" s="2">
        <f t="shared" si="114"/>
        <v>0</v>
      </c>
      <c r="AY99" s="2">
        <f t="shared" si="114"/>
        <v>0</v>
      </c>
      <c r="AZ99" s="2">
        <f t="shared" si="115"/>
        <v>0</v>
      </c>
      <c r="BA99" s="2">
        <f t="shared" si="115"/>
        <v>0</v>
      </c>
      <c r="BB99" s="2">
        <f t="shared" si="115"/>
        <v>0</v>
      </c>
      <c r="BC99" s="2">
        <f t="shared" si="115"/>
        <v>0</v>
      </c>
      <c r="BD99" s="2">
        <f t="shared" si="115"/>
        <v>0</v>
      </c>
      <c r="BE99" s="2">
        <f t="shared" si="115"/>
        <v>0</v>
      </c>
      <c r="BF99" s="2">
        <f t="shared" si="115"/>
        <v>0</v>
      </c>
      <c r="BG99" s="2">
        <f t="shared" si="115"/>
        <v>0</v>
      </c>
      <c r="BH99" s="2">
        <f t="shared" si="115"/>
        <v>0</v>
      </c>
      <c r="BI99" s="2">
        <f t="shared" si="115"/>
        <v>0</v>
      </c>
      <c r="BJ99" s="2">
        <f t="shared" si="116"/>
        <v>0</v>
      </c>
      <c r="BK99" s="2">
        <f t="shared" si="116"/>
        <v>0</v>
      </c>
      <c r="BL99" s="2">
        <f t="shared" si="116"/>
        <v>0</v>
      </c>
      <c r="BM99" s="2">
        <f t="shared" si="116"/>
        <v>0</v>
      </c>
      <c r="BN99" s="2">
        <f t="shared" si="116"/>
        <v>0</v>
      </c>
      <c r="BO99" s="2">
        <f t="shared" si="116"/>
        <v>0</v>
      </c>
      <c r="BP99" s="2">
        <f t="shared" si="116"/>
        <v>0</v>
      </c>
      <c r="BQ99" s="2">
        <f t="shared" si="116"/>
        <v>0</v>
      </c>
      <c r="BR99" s="2">
        <f t="shared" si="116"/>
        <v>0</v>
      </c>
      <c r="BS99" s="2">
        <f t="shared" si="112"/>
        <v>0</v>
      </c>
      <c r="BT99" s="2">
        <f t="shared" si="112"/>
        <v>0</v>
      </c>
      <c r="BU99" s="2">
        <f t="shared" si="112"/>
        <v>0</v>
      </c>
      <c r="BV99" s="2">
        <f t="shared" si="112"/>
        <v>0</v>
      </c>
      <c r="BW99" s="2">
        <f t="shared" si="112"/>
        <v>0</v>
      </c>
      <c r="BX99" s="2">
        <f t="shared" si="112"/>
        <v>0</v>
      </c>
      <c r="BY99" s="2">
        <f t="shared" si="112"/>
        <v>0</v>
      </c>
      <c r="BZ99" s="2">
        <f t="shared" si="112"/>
        <v>0</v>
      </c>
      <c r="CA99" s="2">
        <f t="shared" si="112"/>
        <v>0</v>
      </c>
      <c r="CB99" s="2">
        <f t="shared" si="112"/>
        <v>0</v>
      </c>
      <c r="CC99" s="2">
        <f t="shared" si="112"/>
        <v>0</v>
      </c>
      <c r="CD99" s="2">
        <f t="shared" si="112"/>
        <v>0</v>
      </c>
    </row>
    <row r="100" spans="1:82" s="1" customFormat="1" ht="22" x14ac:dyDescent="0.3">
      <c r="A100" s="1" t="s">
        <v>49</v>
      </c>
      <c r="G100" s="1">
        <f>SUM(G101,G105,G113,G118,G122,G127,G131,G135)</f>
        <v>30</v>
      </c>
      <c r="H100" s="1">
        <f t="shared" ref="H100:BS100" si="117">SUM(H101,H105,H113,H118,H122,H127,H131,H135)</f>
        <v>0</v>
      </c>
      <c r="I100" s="1">
        <f t="shared" si="117"/>
        <v>0</v>
      </c>
      <c r="J100" s="1">
        <f t="shared" si="117"/>
        <v>0</v>
      </c>
      <c r="K100" s="1">
        <f t="shared" si="117"/>
        <v>135.78800000000001</v>
      </c>
      <c r="L100" s="1">
        <f t="shared" si="117"/>
        <v>139.273</v>
      </c>
      <c r="M100" s="1">
        <f t="shared" si="117"/>
        <v>146.38800000000001</v>
      </c>
      <c r="N100" s="1">
        <f t="shared" si="117"/>
        <v>151.5</v>
      </c>
      <c r="O100" s="1">
        <f t="shared" si="117"/>
        <v>164.88400000000001</v>
      </c>
      <c r="P100" s="1">
        <f t="shared" si="117"/>
        <v>175.91</v>
      </c>
      <c r="Q100" s="1">
        <f t="shared" si="117"/>
        <v>149.48999999999998</v>
      </c>
      <c r="R100" s="1">
        <f t="shared" si="117"/>
        <v>217.804</v>
      </c>
      <c r="S100" s="1">
        <f t="shared" si="117"/>
        <v>192.65700000000001</v>
      </c>
      <c r="T100" s="1">
        <f t="shared" si="117"/>
        <v>239.92600000000002</v>
      </c>
      <c r="U100" s="1">
        <f t="shared" si="117"/>
        <v>242.983</v>
      </c>
      <c r="V100" s="1">
        <f t="shared" si="117"/>
        <v>249.84099999999998</v>
      </c>
      <c r="W100" s="1">
        <f t="shared" si="117"/>
        <v>224.05399999999997</v>
      </c>
      <c r="X100" s="1">
        <f t="shared" si="117"/>
        <v>307.35500000000002</v>
      </c>
      <c r="Y100" s="1">
        <f t="shared" si="117"/>
        <v>301.69499999999999</v>
      </c>
      <c r="Z100" s="1">
        <f t="shared" si="117"/>
        <v>512.77700000000004</v>
      </c>
      <c r="AA100" s="1">
        <f t="shared" si="117"/>
        <v>473.44099999999997</v>
      </c>
      <c r="AB100" s="1">
        <f t="shared" si="117"/>
        <v>385.01800000000003</v>
      </c>
      <c r="AC100" s="1">
        <f t="shared" si="117"/>
        <v>435.41899999999998</v>
      </c>
      <c r="AD100" s="1">
        <f t="shared" si="117"/>
        <v>488.55600000000004</v>
      </c>
      <c r="AE100" s="1">
        <f t="shared" si="117"/>
        <v>435.63400000000001</v>
      </c>
      <c r="AF100" s="1">
        <f t="shared" si="117"/>
        <v>455.36900000000003</v>
      </c>
      <c r="AG100" s="1">
        <f t="shared" si="117"/>
        <v>442.81699999999995</v>
      </c>
      <c r="AH100" s="1">
        <f t="shared" si="117"/>
        <v>461.36</v>
      </c>
      <c r="AI100" s="1">
        <f t="shared" si="117"/>
        <v>465.88099999999997</v>
      </c>
      <c r="AJ100" s="1">
        <f t="shared" si="117"/>
        <v>425.19609700688767</v>
      </c>
      <c r="AK100" s="1">
        <f t="shared" si="117"/>
        <v>480.42206153660032</v>
      </c>
      <c r="AL100" s="1">
        <f t="shared" si="117"/>
        <v>490.68404301944008</v>
      </c>
      <c r="AM100" s="1">
        <f t="shared" si="117"/>
        <v>497.94636567798398</v>
      </c>
      <c r="AN100" s="1">
        <f t="shared" si="117"/>
        <v>505.37387707771506</v>
      </c>
      <c r="AO100" s="1">
        <f t="shared" si="117"/>
        <v>512.96158364270309</v>
      </c>
      <c r="AP100" s="1">
        <f t="shared" si="117"/>
        <v>520.73969112498355</v>
      </c>
      <c r="AQ100" s="1">
        <f t="shared" si="117"/>
        <v>534.91234405981118</v>
      </c>
      <c r="AR100" s="1">
        <f t="shared" si="117"/>
        <v>549.59237096328513</v>
      </c>
      <c r="AS100" s="1">
        <f t="shared" si="117"/>
        <v>562.82376573365218</v>
      </c>
      <c r="AT100" s="1">
        <f t="shared" si="117"/>
        <v>577.31307392630993</v>
      </c>
      <c r="AU100" s="1">
        <f t="shared" si="117"/>
        <v>591.48791410695367</v>
      </c>
      <c r="AV100" s="1">
        <f t="shared" si="117"/>
        <v>605.02343524184289</v>
      </c>
      <c r="AW100" s="1">
        <f t="shared" si="117"/>
        <v>618.08761071529784</v>
      </c>
      <c r="AX100" s="1">
        <f t="shared" si="117"/>
        <v>630.8525968493559</v>
      </c>
      <c r="AY100" s="1">
        <f t="shared" si="117"/>
        <v>643.47704619703222</v>
      </c>
      <c r="AZ100" s="1">
        <f t="shared" si="117"/>
        <v>656.09556861097712</v>
      </c>
      <c r="BA100" s="1">
        <f t="shared" si="117"/>
        <v>668.81533719068739</v>
      </c>
      <c r="BB100" s="1">
        <f t="shared" si="117"/>
        <v>681.71693493398607</v>
      </c>
      <c r="BC100" s="1">
        <f t="shared" si="117"/>
        <v>694.8578537756714</v>
      </c>
      <c r="BD100" s="1">
        <f t="shared" si="117"/>
        <v>708.14813491964765</v>
      </c>
      <c r="BE100" s="1">
        <f t="shared" si="117"/>
        <v>721.58069565520611</v>
      </c>
      <c r="BF100" s="1">
        <f t="shared" si="117"/>
        <v>734.08860402812445</v>
      </c>
      <c r="BG100" s="1">
        <f t="shared" si="117"/>
        <v>745.57689182184868</v>
      </c>
      <c r="BH100" s="1">
        <f t="shared" si="117"/>
        <v>756.52860905464138</v>
      </c>
      <c r="BI100" s="1">
        <f t="shared" si="117"/>
        <v>766.79130850529293</v>
      </c>
      <c r="BJ100" s="1">
        <f t="shared" si="117"/>
        <v>776.20628745501313</v>
      </c>
      <c r="BK100" s="1">
        <f t="shared" si="117"/>
        <v>785.63489990471953</v>
      </c>
      <c r="BL100" s="1">
        <f t="shared" si="117"/>
        <v>795.03417504219226</v>
      </c>
      <c r="BM100" s="1">
        <f t="shared" si="117"/>
        <v>804.36098312044783</v>
      </c>
      <c r="BN100" s="1">
        <f t="shared" si="117"/>
        <v>813.56839720770131</v>
      </c>
      <c r="BO100" s="1">
        <f t="shared" si="117"/>
        <v>822.60672736302081</v>
      </c>
      <c r="BP100" s="1">
        <f t="shared" si="117"/>
        <v>831.42509430458631</v>
      </c>
      <c r="BQ100" s="1">
        <f t="shared" si="117"/>
        <v>839.97152352990145</v>
      </c>
      <c r="BR100" s="1">
        <f t="shared" si="117"/>
        <v>848.1948592959551</v>
      </c>
      <c r="BS100" s="1">
        <f t="shared" si="117"/>
        <v>856.04237139788722</v>
      </c>
      <c r="BT100" s="1">
        <f t="shared" ref="BT100:CD100" si="118">SUM(BT101,BT105,BT113,BT118,BT122,BT127,BT131,BT135)</f>
        <v>863.4588691134453</v>
      </c>
      <c r="BU100" s="1">
        <f t="shared" si="118"/>
        <v>871.16261277218314</v>
      </c>
      <c r="BV100" s="1">
        <f t="shared" si="118"/>
        <v>879.15997877738039</v>
      </c>
      <c r="BW100" s="1">
        <f t="shared" si="118"/>
        <v>887.45889885115321</v>
      </c>
      <c r="BX100" s="1">
        <f t="shared" si="118"/>
        <v>896.06786366596612</v>
      </c>
      <c r="BY100" s="1">
        <f t="shared" si="118"/>
        <v>904.99146481361629</v>
      </c>
      <c r="BZ100" s="1">
        <f t="shared" si="118"/>
        <v>914.23659307792366</v>
      </c>
      <c r="CA100" s="1">
        <f t="shared" si="118"/>
        <v>923.81423811220043</v>
      </c>
      <c r="CB100" s="1">
        <f t="shared" si="118"/>
        <v>933.7316289327664</v>
      </c>
      <c r="CC100" s="1">
        <f t="shared" si="118"/>
        <v>943.99797950025766</v>
      </c>
      <c r="CD100" s="1">
        <f t="shared" si="118"/>
        <v>954.62202905846709</v>
      </c>
    </row>
    <row r="101" spans="1:82" s="7" customFormat="1" x14ac:dyDescent="0.2">
      <c r="B101" s="7" t="s">
        <v>50</v>
      </c>
      <c r="G101" s="7">
        <f>SUM(G102:G104)</f>
        <v>3</v>
      </c>
      <c r="H101" s="7">
        <f t="shared" ref="H101:BS101" si="119">SUM(H102:H104)</f>
        <v>0</v>
      </c>
      <c r="I101" s="7">
        <f t="shared" si="119"/>
        <v>0</v>
      </c>
      <c r="J101" s="7">
        <f t="shared" si="119"/>
        <v>0</v>
      </c>
      <c r="K101" s="7">
        <f t="shared" si="119"/>
        <v>122.11199999999999</v>
      </c>
      <c r="L101" s="7">
        <f t="shared" si="119"/>
        <v>122.11199999999999</v>
      </c>
      <c r="M101" s="7">
        <f t="shared" si="119"/>
        <v>126.09</v>
      </c>
      <c r="N101" s="7">
        <f t="shared" si="119"/>
        <v>128.346</v>
      </c>
      <c r="O101" s="7">
        <f t="shared" si="119"/>
        <v>139.114</v>
      </c>
      <c r="P101" s="7">
        <f t="shared" si="119"/>
        <v>147.72499999999999</v>
      </c>
      <c r="Q101" s="7">
        <f t="shared" si="119"/>
        <v>119.04599999999999</v>
      </c>
      <c r="R101" s="7">
        <f t="shared" si="119"/>
        <v>185.39699999999999</v>
      </c>
      <c r="S101" s="7">
        <f t="shared" si="119"/>
        <v>158.54</v>
      </c>
      <c r="T101" s="7">
        <f t="shared" si="119"/>
        <v>204.30800000000002</v>
      </c>
      <c r="U101" s="7">
        <f t="shared" si="119"/>
        <v>206.04300000000001</v>
      </c>
      <c r="V101" s="7">
        <f t="shared" si="119"/>
        <v>211.726</v>
      </c>
      <c r="W101" s="7">
        <f t="shared" si="119"/>
        <v>184.26599999999999</v>
      </c>
      <c r="X101" s="7">
        <f t="shared" si="119"/>
        <v>240.078</v>
      </c>
      <c r="Y101" s="7">
        <f t="shared" si="119"/>
        <v>239.096</v>
      </c>
      <c r="Z101" s="7">
        <f t="shared" si="119"/>
        <v>278.68800000000005</v>
      </c>
      <c r="AA101" s="7">
        <f t="shared" si="119"/>
        <v>413.48599999999999</v>
      </c>
      <c r="AB101" s="7">
        <f t="shared" si="119"/>
        <v>323.71600000000001</v>
      </c>
      <c r="AC101" s="7">
        <f t="shared" si="119"/>
        <v>371.40199999999999</v>
      </c>
      <c r="AD101" s="7">
        <f t="shared" si="119"/>
        <v>420.64200000000005</v>
      </c>
      <c r="AE101" s="7">
        <f t="shared" si="119"/>
        <v>362.65800000000002</v>
      </c>
      <c r="AF101" s="7">
        <f t="shared" si="119"/>
        <v>375.44400000000002</v>
      </c>
      <c r="AG101" s="7">
        <f t="shared" si="119"/>
        <v>356.63399999999996</v>
      </c>
      <c r="AH101" s="7">
        <f t="shared" si="119"/>
        <v>369.44200000000001</v>
      </c>
      <c r="AI101" s="7">
        <f t="shared" si="119"/>
        <v>369.44200000000001</v>
      </c>
      <c r="AJ101" s="7">
        <f t="shared" si="119"/>
        <v>271.43217251813587</v>
      </c>
      <c r="AK101" s="7">
        <f t="shared" si="119"/>
        <v>327.533702862334</v>
      </c>
      <c r="AL101" s="7">
        <f t="shared" si="119"/>
        <v>331.33592398901146</v>
      </c>
      <c r="AM101" s="7">
        <f t="shared" si="119"/>
        <v>336.8879356856101</v>
      </c>
      <c r="AN101" s="7">
        <f t="shared" si="119"/>
        <v>342.53351760666095</v>
      </c>
      <c r="AO101" s="7">
        <f t="shared" si="119"/>
        <v>348.27430898605951</v>
      </c>
      <c r="AP101" s="7">
        <f t="shared" si="119"/>
        <v>354.11189463740249</v>
      </c>
      <c r="AQ101" s="7">
        <f t="shared" si="119"/>
        <v>364.79535672227559</v>
      </c>
      <c r="AR101" s="7">
        <f t="shared" si="119"/>
        <v>375.80370916654033</v>
      </c>
      <c r="AS101" s="7">
        <f t="shared" si="119"/>
        <v>384.56556649811574</v>
      </c>
      <c r="AT101" s="7">
        <f t="shared" si="119"/>
        <v>394.83577154009959</v>
      </c>
      <c r="AU101" s="7">
        <f t="shared" si="119"/>
        <v>404.35046732404862</v>
      </c>
      <c r="AV101" s="7">
        <f t="shared" si="119"/>
        <v>412.44019396530069</v>
      </c>
      <c r="AW101" s="7">
        <f t="shared" si="119"/>
        <v>419.45663851096896</v>
      </c>
      <c r="AX101" s="7">
        <f t="shared" si="119"/>
        <v>425.74677045719767</v>
      </c>
      <c r="AY101" s="7">
        <f t="shared" si="119"/>
        <v>431.63645920913967</v>
      </c>
      <c r="AZ101" s="7">
        <f t="shared" si="119"/>
        <v>437.41968693941322</v>
      </c>
      <c r="BA101" s="7">
        <f t="shared" si="119"/>
        <v>443.35216827881163</v>
      </c>
      <c r="BB101" s="7">
        <f t="shared" si="119"/>
        <v>449.64805206754403</v>
      </c>
      <c r="BC101" s="7">
        <f t="shared" si="119"/>
        <v>456.47840497638617</v>
      </c>
      <c r="BD101" s="7">
        <f t="shared" si="119"/>
        <v>463.97052589341922</v>
      </c>
      <c r="BE101" s="7">
        <f t="shared" si="119"/>
        <v>472.20626656569362</v>
      </c>
      <c r="BF101" s="7">
        <f t="shared" si="119"/>
        <v>479.68966060158266</v>
      </c>
      <c r="BG101" s="7">
        <f t="shared" si="119"/>
        <v>486.41367408012684</v>
      </c>
      <c r="BH101" s="7">
        <f t="shared" si="119"/>
        <v>492.88916622621088</v>
      </c>
      <c r="BI101" s="7">
        <f t="shared" si="119"/>
        <v>499.02172539004408</v>
      </c>
      <c r="BJ101" s="7">
        <f t="shared" si="119"/>
        <v>504.71327161477848</v>
      </c>
      <c r="BK101" s="7">
        <f t="shared" si="119"/>
        <v>510.45926532056126</v>
      </c>
      <c r="BL101" s="7">
        <f t="shared" si="119"/>
        <v>516.23208507642289</v>
      </c>
      <c r="BM101" s="7">
        <f t="shared" si="119"/>
        <v>522.00286775271707</v>
      </c>
      <c r="BN101" s="7">
        <f t="shared" si="119"/>
        <v>527.74144871658211</v>
      </c>
      <c r="BO101" s="7">
        <f t="shared" si="119"/>
        <v>533.41637946472554</v>
      </c>
      <c r="BP101" s="7">
        <f t="shared" si="119"/>
        <v>538.99496974769704</v>
      </c>
      <c r="BQ101" s="7">
        <f t="shared" si="119"/>
        <v>544.44332892844898</v>
      </c>
      <c r="BR101" s="7">
        <f t="shared" si="119"/>
        <v>549.72645097199563</v>
      </c>
      <c r="BS101" s="7">
        <f t="shared" si="119"/>
        <v>554.80826385847195</v>
      </c>
      <c r="BT101" s="7">
        <f t="shared" ref="BT101:CD101" si="120">SUM(BT102:BT104)</f>
        <v>559.65172059208555</v>
      </c>
      <c r="BU101" s="7">
        <f t="shared" si="120"/>
        <v>564.6989926865981</v>
      </c>
      <c r="BV101" s="7">
        <f t="shared" si="120"/>
        <v>569.95476617123074</v>
      </c>
      <c r="BW101" s="7">
        <f t="shared" si="120"/>
        <v>575.42396493668059</v>
      </c>
      <c r="BX101" s="7">
        <f t="shared" si="120"/>
        <v>581.1117451415837</v>
      </c>
      <c r="BY101" s="7">
        <f t="shared" si="120"/>
        <v>587.02344464492899</v>
      </c>
      <c r="BZ101" s="7">
        <f t="shared" si="120"/>
        <v>593.16467249262621</v>
      </c>
      <c r="CA101" s="7">
        <f t="shared" si="120"/>
        <v>599.54134118682566</v>
      </c>
      <c r="CB101" s="7">
        <f t="shared" si="120"/>
        <v>606.15957281869385</v>
      </c>
      <c r="CC101" s="7">
        <f t="shared" si="120"/>
        <v>613.02578395523744</v>
      </c>
      <c r="CD101" s="7">
        <f t="shared" si="120"/>
        <v>620.14666348428329</v>
      </c>
    </row>
    <row r="102" spans="1:82" s="2" customFormat="1" x14ac:dyDescent="0.2">
      <c r="C102" s="2" t="s">
        <v>51</v>
      </c>
      <c r="F102" s="2" t="s">
        <v>7</v>
      </c>
      <c r="G102" s="2">
        <f>O338</f>
        <v>1</v>
      </c>
      <c r="H102" s="2">
        <f t="shared" ref="H102:BS103" si="121">P338</f>
        <v>0</v>
      </c>
      <c r="I102" s="2" t="str">
        <f t="shared" si="121"/>
        <v>emission_co2e_co2_ippu_production_cement</v>
      </c>
      <c r="J102" s="2">
        <f t="shared" si="121"/>
        <v>0</v>
      </c>
      <c r="K102" s="2">
        <f t="shared" si="121"/>
        <v>100.09</v>
      </c>
      <c r="L102" s="2">
        <f t="shared" si="121"/>
        <v>100.09</v>
      </c>
      <c r="M102" s="2">
        <f t="shared" si="121"/>
        <v>99.442999999999998</v>
      </c>
      <c r="N102" s="2">
        <f t="shared" si="121"/>
        <v>99.034000000000006</v>
      </c>
      <c r="O102" s="2">
        <f t="shared" si="121"/>
        <v>107.751</v>
      </c>
      <c r="P102" s="2">
        <f t="shared" si="121"/>
        <v>114.167</v>
      </c>
      <c r="Q102" s="2">
        <f t="shared" si="121"/>
        <v>83.114999999999995</v>
      </c>
      <c r="R102" s="2">
        <f t="shared" si="121"/>
        <v>146.976</v>
      </c>
      <c r="S102" s="2">
        <f t="shared" si="121"/>
        <v>118.19799999999999</v>
      </c>
      <c r="T102" s="2">
        <f t="shared" si="121"/>
        <v>161.94900000000001</v>
      </c>
      <c r="U102" s="2">
        <f t="shared" si="121"/>
        <v>161.565</v>
      </c>
      <c r="V102" s="2">
        <f t="shared" si="121"/>
        <v>165.02500000000001</v>
      </c>
      <c r="W102" s="2">
        <f t="shared" si="121"/>
        <v>135.22999999999999</v>
      </c>
      <c r="X102" s="2">
        <f t="shared" si="121"/>
        <v>188.59</v>
      </c>
      <c r="Y102" s="2">
        <f t="shared" si="121"/>
        <v>208.20400000000001</v>
      </c>
      <c r="Z102" s="2">
        <f t="shared" si="121"/>
        <v>263.24200000000002</v>
      </c>
      <c r="AA102" s="2">
        <f t="shared" si="121"/>
        <v>402.67399999999998</v>
      </c>
      <c r="AB102" s="2">
        <f t="shared" si="121"/>
        <v>316.14699999999999</v>
      </c>
      <c r="AC102" s="2">
        <f t="shared" si="121"/>
        <v>364.59</v>
      </c>
      <c r="AD102" s="2">
        <f t="shared" si="121"/>
        <v>414.51100000000002</v>
      </c>
      <c r="AE102" s="2">
        <f t="shared" si="121"/>
        <v>356.46600000000001</v>
      </c>
      <c r="AF102" s="2">
        <f t="shared" si="121"/>
        <v>369.19</v>
      </c>
      <c r="AG102" s="2">
        <f t="shared" si="121"/>
        <v>350.31799999999998</v>
      </c>
      <c r="AH102" s="2">
        <f t="shared" si="121"/>
        <v>355.58199999999999</v>
      </c>
      <c r="AI102" s="2">
        <f t="shared" si="121"/>
        <v>355.58199999999999</v>
      </c>
      <c r="AJ102" s="2">
        <f t="shared" si="121"/>
        <v>245.290263655546</v>
      </c>
      <c r="AK102" s="2">
        <f t="shared" si="121"/>
        <v>302.36862563909301</v>
      </c>
      <c r="AL102" s="2">
        <f t="shared" si="121"/>
        <v>305.84640051016697</v>
      </c>
      <c r="AM102" s="2">
        <f t="shared" si="121"/>
        <v>311.138293491122</v>
      </c>
      <c r="AN102" s="2">
        <f t="shared" si="121"/>
        <v>316.52135614441403</v>
      </c>
      <c r="AO102" s="2">
        <f t="shared" si="121"/>
        <v>321.997159157353</v>
      </c>
      <c r="AP102" s="2">
        <f t="shared" si="121"/>
        <v>327.56730027732902</v>
      </c>
      <c r="AQ102" s="2">
        <f t="shared" si="121"/>
        <v>337.76628837855401</v>
      </c>
      <c r="AR102" s="2">
        <f t="shared" si="121"/>
        <v>348.28155444157102</v>
      </c>
      <c r="AS102" s="2">
        <f t="shared" si="121"/>
        <v>356.44602942866601</v>
      </c>
      <c r="AT102" s="2">
        <f t="shared" si="121"/>
        <v>366.17087162280399</v>
      </c>
      <c r="AU102" s="2">
        <f t="shared" si="121"/>
        <v>375.05551517163298</v>
      </c>
      <c r="AV102" s="2">
        <f t="shared" si="121"/>
        <v>382.40363565115803</v>
      </c>
      <c r="AW102" s="2">
        <f t="shared" si="121"/>
        <v>388.59665840092202</v>
      </c>
      <c r="AX102" s="2">
        <f t="shared" si="121"/>
        <v>394.00995275835697</v>
      </c>
      <c r="AY102" s="2">
        <f t="shared" si="121"/>
        <v>398.99670885368801</v>
      </c>
      <c r="AZ102" s="2">
        <f t="shared" si="121"/>
        <v>403.87702415850401</v>
      </c>
      <c r="BA102" s="2">
        <f t="shared" si="121"/>
        <v>408.931097797289</v>
      </c>
      <c r="BB102" s="2">
        <f t="shared" si="121"/>
        <v>414.39528572469402</v>
      </c>
      <c r="BC102" s="2">
        <f t="shared" si="121"/>
        <v>420.45980068167597</v>
      </c>
      <c r="BD102" s="2">
        <f t="shared" si="121"/>
        <v>427.26697529029298</v>
      </c>
      <c r="BE102" s="2">
        <f t="shared" si="121"/>
        <v>434.90919206384501</v>
      </c>
      <c r="BF102" s="2">
        <f t="shared" si="121"/>
        <v>441.79506179201297</v>
      </c>
      <c r="BG102" s="2">
        <f t="shared" si="121"/>
        <v>447.92673155547101</v>
      </c>
      <c r="BH102" s="2">
        <f t="shared" si="121"/>
        <v>453.83794245055299</v>
      </c>
      <c r="BI102" s="2">
        <f t="shared" si="121"/>
        <v>459.44149818485499</v>
      </c>
      <c r="BJ102" s="2">
        <f t="shared" si="121"/>
        <v>464.64681204314297</v>
      </c>
      <c r="BK102" s="2">
        <f t="shared" si="121"/>
        <v>469.90594521493398</v>
      </c>
      <c r="BL102" s="2">
        <f t="shared" si="121"/>
        <v>475.19334532983601</v>
      </c>
      <c r="BM102" s="2">
        <f t="shared" si="121"/>
        <v>480.48229362594202</v>
      </c>
      <c r="BN102" s="2">
        <f t="shared" si="121"/>
        <v>485.74489240304189</v>
      </c>
      <c r="BO102" s="2">
        <f t="shared" si="121"/>
        <v>490.95206781815199</v>
      </c>
      <c r="BP102" s="2">
        <f t="shared" si="121"/>
        <v>496.07358917168801</v>
      </c>
      <c r="BQ102" s="2">
        <f t="shared" si="121"/>
        <v>501.07810582203513</v>
      </c>
      <c r="BR102" s="2">
        <f t="shared" si="121"/>
        <v>505.93320282798112</v>
      </c>
      <c r="BS102" s="2">
        <f t="shared" si="121"/>
        <v>510.60547635050398</v>
      </c>
      <c r="BT102" s="2">
        <f t="shared" ref="BT102:CD102" si="122">CB338</f>
        <v>515.06062974473298</v>
      </c>
      <c r="BU102" s="2">
        <f t="shared" si="122"/>
        <v>519.70478598048999</v>
      </c>
      <c r="BV102" s="2">
        <f t="shared" si="122"/>
        <v>524.54229216221404</v>
      </c>
      <c r="BW102" s="2">
        <f t="shared" si="122"/>
        <v>529.57770198061905</v>
      </c>
      <c r="BX102" s="2">
        <f t="shared" si="122"/>
        <v>534.81578280979807</v>
      </c>
      <c r="BY102" s="2">
        <f t="shared" si="122"/>
        <v>540.26152317693902</v>
      </c>
      <c r="BZ102" s="2">
        <f t="shared" si="122"/>
        <v>545.92014062090698</v>
      </c>
      <c r="CA102" s="2">
        <f t="shared" si="122"/>
        <v>551.79708995694205</v>
      </c>
      <c r="CB102" s="2">
        <f t="shared" si="122"/>
        <v>557.89807196563504</v>
      </c>
      <c r="CC102" s="2">
        <f t="shared" si="122"/>
        <v>564.22904252543901</v>
      </c>
      <c r="CD102" s="2">
        <f t="shared" si="122"/>
        <v>570.79622220901501</v>
      </c>
    </row>
    <row r="103" spans="1:82" s="2" customFormat="1" x14ac:dyDescent="0.2">
      <c r="C103" s="2" t="s">
        <v>53</v>
      </c>
      <c r="F103" s="2" t="s">
        <v>7</v>
      </c>
      <c r="G103" s="2">
        <f>O339</f>
        <v>1</v>
      </c>
      <c r="H103" s="2">
        <f t="shared" si="121"/>
        <v>0</v>
      </c>
      <c r="I103" s="2" t="str">
        <f t="shared" si="121"/>
        <v>emission_co2e_co2_ippu_production_lime_and_carbonite</v>
      </c>
      <c r="J103" s="2">
        <f t="shared" si="121"/>
        <v>0</v>
      </c>
      <c r="K103" s="2">
        <f t="shared" si="121"/>
        <v>22.021999999999998</v>
      </c>
      <c r="L103" s="2">
        <f t="shared" si="121"/>
        <v>22.021999999999998</v>
      </c>
      <c r="M103" s="2">
        <f t="shared" si="121"/>
        <v>26.646999999999998</v>
      </c>
      <c r="N103" s="2">
        <f t="shared" si="121"/>
        <v>29.312000000000001</v>
      </c>
      <c r="O103" s="2">
        <f t="shared" si="121"/>
        <v>31.363</v>
      </c>
      <c r="P103" s="2">
        <f t="shared" si="121"/>
        <v>33.558</v>
      </c>
      <c r="Q103" s="2">
        <f t="shared" si="121"/>
        <v>35.930999999999997</v>
      </c>
      <c r="R103" s="2">
        <f t="shared" si="121"/>
        <v>38.420999999999999</v>
      </c>
      <c r="S103" s="2">
        <f t="shared" si="121"/>
        <v>40.341999999999999</v>
      </c>
      <c r="T103" s="2">
        <f t="shared" si="121"/>
        <v>42.359000000000002</v>
      </c>
      <c r="U103" s="2">
        <f t="shared" si="121"/>
        <v>44.478000000000002</v>
      </c>
      <c r="V103" s="2">
        <f t="shared" si="121"/>
        <v>46.701000000000001</v>
      </c>
      <c r="W103" s="2">
        <f t="shared" si="121"/>
        <v>49.036000000000001</v>
      </c>
      <c r="X103" s="2">
        <f t="shared" si="121"/>
        <v>51.488</v>
      </c>
      <c r="Y103" s="2">
        <f t="shared" si="121"/>
        <v>30.891999999999999</v>
      </c>
      <c r="Z103" s="2">
        <f t="shared" si="121"/>
        <v>15.446</v>
      </c>
      <c r="AA103" s="2">
        <f t="shared" si="121"/>
        <v>10.811999999999999</v>
      </c>
      <c r="AB103" s="2">
        <f t="shared" si="121"/>
        <v>7.569</v>
      </c>
      <c r="AC103" s="2">
        <f t="shared" si="121"/>
        <v>6.8120000000000003</v>
      </c>
      <c r="AD103" s="2">
        <f t="shared" si="121"/>
        <v>6.1310000000000002</v>
      </c>
      <c r="AE103" s="2">
        <f t="shared" si="121"/>
        <v>6.1920000000000002</v>
      </c>
      <c r="AF103" s="2">
        <f t="shared" si="121"/>
        <v>6.2539999999999996</v>
      </c>
      <c r="AG103" s="2">
        <f t="shared" si="121"/>
        <v>6.3159999999999998</v>
      </c>
      <c r="AH103" s="2">
        <f t="shared" si="121"/>
        <v>13.86</v>
      </c>
      <c r="AI103" s="2">
        <f t="shared" si="121"/>
        <v>13.86</v>
      </c>
      <c r="AJ103" s="2">
        <f t="shared" si="121"/>
        <v>25.804610569039699</v>
      </c>
      <c r="AK103" s="2">
        <f t="shared" si="121"/>
        <v>24.849839977985301</v>
      </c>
      <c r="AL103" s="2">
        <f t="shared" si="121"/>
        <v>25.172887897698999</v>
      </c>
      <c r="AM103" s="2">
        <f t="shared" si="121"/>
        <v>25.433097688372001</v>
      </c>
      <c r="AN103" s="2">
        <f t="shared" si="121"/>
        <v>25.6959972433438</v>
      </c>
      <c r="AO103" s="2">
        <f t="shared" si="121"/>
        <v>25.961614366456399</v>
      </c>
      <c r="AP103" s="2">
        <f t="shared" si="121"/>
        <v>26.229977148958</v>
      </c>
      <c r="AQ103" s="2">
        <f t="shared" si="121"/>
        <v>26.711998168540799</v>
      </c>
      <c r="AR103" s="2">
        <f t="shared" si="121"/>
        <v>27.202877154792699</v>
      </c>
      <c r="AS103" s="2">
        <f t="shared" si="121"/>
        <v>27.796508088109402</v>
      </c>
      <c r="AT103" s="2">
        <f t="shared" si="121"/>
        <v>28.339242357823601</v>
      </c>
      <c r="AU103" s="2">
        <f t="shared" si="121"/>
        <v>28.964810777074799</v>
      </c>
      <c r="AV103" s="2">
        <f t="shared" si="121"/>
        <v>29.7000733315468</v>
      </c>
      <c r="AW103" s="2">
        <f t="shared" si="121"/>
        <v>30.515837532362799</v>
      </c>
      <c r="AX103" s="2">
        <f t="shared" si="121"/>
        <v>31.384224732464201</v>
      </c>
      <c r="AY103" s="2">
        <f t="shared" si="121"/>
        <v>32.278416215033999</v>
      </c>
      <c r="AZ103" s="2">
        <f t="shared" si="121"/>
        <v>33.172775865751703</v>
      </c>
      <c r="BA103" s="2">
        <f t="shared" si="121"/>
        <v>34.043268410845698</v>
      </c>
      <c r="BB103" s="2">
        <f t="shared" si="121"/>
        <v>34.8680941220777</v>
      </c>
      <c r="BC103" s="2">
        <f t="shared" si="121"/>
        <v>35.628458162525497</v>
      </c>
      <c r="BD103" s="2">
        <f t="shared" si="121"/>
        <v>36.309390351473297</v>
      </c>
      <c r="BE103" s="2">
        <f t="shared" si="121"/>
        <v>36.900532914944797</v>
      </c>
      <c r="BF103" s="2">
        <f t="shared" si="121"/>
        <v>37.495068889032588</v>
      </c>
      <c r="BG103" s="2">
        <f t="shared" si="121"/>
        <v>38.084421576203098</v>
      </c>
      <c r="BH103" s="2">
        <f t="shared" si="121"/>
        <v>38.646094491131699</v>
      </c>
      <c r="BI103" s="2">
        <f t="shared" si="121"/>
        <v>39.172965021642902</v>
      </c>
      <c r="BJ103" s="2">
        <f t="shared" si="121"/>
        <v>39.6576709300518</v>
      </c>
      <c r="BK103" s="2">
        <f t="shared" si="121"/>
        <v>40.143007403071699</v>
      </c>
      <c r="BL103" s="2">
        <f t="shared" si="121"/>
        <v>40.626928754908803</v>
      </c>
      <c r="BM103" s="2">
        <f t="shared" si="121"/>
        <v>41.107295048757003</v>
      </c>
      <c r="BN103" s="2">
        <f t="shared" si="121"/>
        <v>41.581873110327798</v>
      </c>
      <c r="BO103" s="2">
        <f t="shared" si="121"/>
        <v>42.048338686297797</v>
      </c>
      <c r="BP103" s="2">
        <f t="shared" si="121"/>
        <v>42.504279825503701</v>
      </c>
      <c r="BQ103" s="2">
        <f t="shared" si="121"/>
        <v>42.9472015571207</v>
      </c>
      <c r="BR103" s="2">
        <f t="shared" si="121"/>
        <v>43.374531934596398</v>
      </c>
      <c r="BS103" s="2">
        <f t="shared" ref="BS103:CD104" si="123">CA339</f>
        <v>43.783629506662798</v>
      </c>
      <c r="BT103" s="2">
        <f t="shared" si="123"/>
        <v>44.1717922671656</v>
      </c>
      <c r="BU103" s="2">
        <f t="shared" si="123"/>
        <v>44.5745280202134</v>
      </c>
      <c r="BV103" s="2">
        <f t="shared" si="123"/>
        <v>44.9921689494142</v>
      </c>
      <c r="BW103" s="2">
        <f t="shared" si="123"/>
        <v>45.425061452113297</v>
      </c>
      <c r="BX103" s="2">
        <f t="shared" si="123"/>
        <v>45.873566614588299</v>
      </c>
      <c r="BY103" s="2">
        <f t="shared" si="123"/>
        <v>46.338060709965198</v>
      </c>
      <c r="BZ103" s="2">
        <f t="shared" si="123"/>
        <v>46.818935719809097</v>
      </c>
      <c r="CA103" s="2">
        <f t="shared" si="123"/>
        <v>47.316599880397497</v>
      </c>
      <c r="CB103" s="2">
        <f t="shared" si="123"/>
        <v>47.831478254730797</v>
      </c>
      <c r="CC103" s="2">
        <f t="shared" si="123"/>
        <v>48.364013331391398</v>
      </c>
      <c r="CD103" s="2">
        <f t="shared" si="123"/>
        <v>48.914665651426098</v>
      </c>
    </row>
    <row r="104" spans="1:82" s="2" customFormat="1" x14ac:dyDescent="0.2">
      <c r="C104" s="2" t="s">
        <v>54</v>
      </c>
      <c r="F104" s="2" t="s">
        <v>7</v>
      </c>
      <c r="G104" s="2">
        <f>O340</f>
        <v>1</v>
      </c>
      <c r="H104" s="2">
        <f t="shared" ref="H104:AM104" si="124">P340</f>
        <v>0</v>
      </c>
      <c r="I104" s="2" t="str">
        <f t="shared" si="124"/>
        <v>emission_co2e_co2_ippu_production_glass</v>
      </c>
      <c r="J104" s="2">
        <f t="shared" si="124"/>
        <v>0</v>
      </c>
      <c r="K104" s="2">
        <f t="shared" si="124"/>
        <v>0</v>
      </c>
      <c r="L104" s="2">
        <f t="shared" si="124"/>
        <v>0</v>
      </c>
      <c r="M104" s="2">
        <f t="shared" si="124"/>
        <v>0</v>
      </c>
      <c r="N104" s="2">
        <f t="shared" si="124"/>
        <v>0</v>
      </c>
      <c r="O104" s="2">
        <f t="shared" si="124"/>
        <v>0</v>
      </c>
      <c r="P104" s="2">
        <f t="shared" si="124"/>
        <v>0</v>
      </c>
      <c r="Q104" s="2">
        <f t="shared" si="124"/>
        <v>0</v>
      </c>
      <c r="R104" s="2">
        <f t="shared" si="124"/>
        <v>0</v>
      </c>
      <c r="S104" s="2">
        <f t="shared" si="124"/>
        <v>0</v>
      </c>
      <c r="T104" s="2">
        <f t="shared" si="124"/>
        <v>0</v>
      </c>
      <c r="U104" s="2">
        <f t="shared" si="124"/>
        <v>0</v>
      </c>
      <c r="V104" s="2">
        <f t="shared" si="124"/>
        <v>0</v>
      </c>
      <c r="W104" s="2">
        <f t="shared" si="124"/>
        <v>0</v>
      </c>
      <c r="X104" s="2">
        <f t="shared" si="124"/>
        <v>0</v>
      </c>
      <c r="Y104" s="2">
        <f t="shared" si="124"/>
        <v>0</v>
      </c>
      <c r="Z104" s="2">
        <f t="shared" si="124"/>
        <v>0</v>
      </c>
      <c r="AA104" s="2">
        <f t="shared" si="124"/>
        <v>0</v>
      </c>
      <c r="AB104" s="2">
        <f t="shared" si="124"/>
        <v>0</v>
      </c>
      <c r="AC104" s="2">
        <f t="shared" si="124"/>
        <v>0</v>
      </c>
      <c r="AD104" s="2">
        <f t="shared" si="124"/>
        <v>0</v>
      </c>
      <c r="AE104" s="2">
        <f t="shared" si="124"/>
        <v>0</v>
      </c>
      <c r="AF104" s="2">
        <f t="shared" si="124"/>
        <v>0</v>
      </c>
      <c r="AG104" s="2">
        <f t="shared" si="124"/>
        <v>0</v>
      </c>
      <c r="AH104" s="2">
        <f t="shared" si="124"/>
        <v>0</v>
      </c>
      <c r="AI104" s="2">
        <f t="shared" si="124"/>
        <v>0</v>
      </c>
      <c r="AJ104" s="2">
        <f t="shared" si="124"/>
        <v>0.33729829355020002</v>
      </c>
      <c r="AK104" s="2">
        <f t="shared" si="124"/>
        <v>0.31523724525570002</v>
      </c>
      <c r="AL104" s="2">
        <f t="shared" si="124"/>
        <v>0.3166355811455</v>
      </c>
      <c r="AM104" s="2">
        <f t="shared" si="124"/>
        <v>0.31654450611610002</v>
      </c>
      <c r="AN104" s="2">
        <f t="shared" ref="AN104:BS104" si="125">AV340</f>
        <v>0.31616421890309998</v>
      </c>
      <c r="AO104" s="2">
        <f t="shared" si="125"/>
        <v>0.31553546225009999</v>
      </c>
      <c r="AP104" s="2">
        <f t="shared" si="125"/>
        <v>0.31461721111550001</v>
      </c>
      <c r="AQ104" s="2">
        <f t="shared" si="125"/>
        <v>0.3170701751808</v>
      </c>
      <c r="AR104" s="2">
        <f t="shared" si="125"/>
        <v>0.31927757017660002</v>
      </c>
      <c r="AS104" s="2">
        <f t="shared" si="125"/>
        <v>0.3230289813403</v>
      </c>
      <c r="AT104" s="2">
        <f t="shared" si="125"/>
        <v>0.32565755947199998</v>
      </c>
      <c r="AU104" s="2">
        <f t="shared" si="125"/>
        <v>0.33014137534089999</v>
      </c>
      <c r="AV104" s="2">
        <f t="shared" si="125"/>
        <v>0.33648498259589998</v>
      </c>
      <c r="AW104" s="2">
        <f t="shared" si="125"/>
        <v>0.3441425776841</v>
      </c>
      <c r="AX104" s="2">
        <f t="shared" si="125"/>
        <v>0.35259296637650001</v>
      </c>
      <c r="AY104" s="2">
        <f t="shared" si="125"/>
        <v>0.36133414041770001</v>
      </c>
      <c r="AZ104" s="2">
        <f t="shared" si="125"/>
        <v>0.3698869151575</v>
      </c>
      <c r="BA104" s="2">
        <f t="shared" si="125"/>
        <v>0.37780207067690003</v>
      </c>
      <c r="BB104" s="2">
        <f t="shared" si="125"/>
        <v>0.38467222077230001</v>
      </c>
      <c r="BC104" s="2">
        <f t="shared" si="125"/>
        <v>0.39014613218470001</v>
      </c>
      <c r="BD104" s="2">
        <f t="shared" si="125"/>
        <v>0.39416025165289997</v>
      </c>
      <c r="BE104" s="2">
        <f t="shared" si="125"/>
        <v>0.39654158690379998</v>
      </c>
      <c r="BF104" s="2">
        <f t="shared" si="125"/>
        <v>0.39952992053710001</v>
      </c>
      <c r="BG104" s="2">
        <f t="shared" si="125"/>
        <v>0.40252094845269998</v>
      </c>
      <c r="BH104" s="2">
        <f t="shared" si="125"/>
        <v>0.40512928452620001</v>
      </c>
      <c r="BI104" s="2">
        <f t="shared" si="125"/>
        <v>0.40726218354619997</v>
      </c>
      <c r="BJ104" s="2">
        <f t="shared" si="125"/>
        <v>0.40878864158369999</v>
      </c>
      <c r="BK104" s="2">
        <f t="shared" si="125"/>
        <v>0.41031270255559998</v>
      </c>
      <c r="BL104" s="2">
        <f t="shared" si="125"/>
        <v>0.41181099167809998</v>
      </c>
      <c r="BM104" s="2">
        <f t="shared" si="125"/>
        <v>0.41327907801800001</v>
      </c>
      <c r="BN104" s="2">
        <f t="shared" si="125"/>
        <v>0.41468320321250002</v>
      </c>
      <c r="BO104" s="2">
        <f t="shared" si="125"/>
        <v>0.4159729602758</v>
      </c>
      <c r="BP104" s="2">
        <f t="shared" si="125"/>
        <v>0.41710075050540002</v>
      </c>
      <c r="BQ104" s="2">
        <f t="shared" si="125"/>
        <v>0.41802154929320001</v>
      </c>
      <c r="BR104" s="2">
        <f t="shared" si="125"/>
        <v>0.4187162094181</v>
      </c>
      <c r="BS104" s="2">
        <f t="shared" si="123"/>
        <v>0.41915800130519998</v>
      </c>
      <c r="BT104" s="2">
        <f t="shared" si="123"/>
        <v>0.41929858018690003</v>
      </c>
      <c r="BU104" s="2">
        <f t="shared" si="123"/>
        <v>0.41967868589469998</v>
      </c>
      <c r="BV104" s="2">
        <f t="shared" si="123"/>
        <v>0.42030505960249998</v>
      </c>
      <c r="BW104" s="2">
        <f t="shared" si="123"/>
        <v>0.42120150394830003</v>
      </c>
      <c r="BX104" s="2">
        <f t="shared" si="123"/>
        <v>0.42239571719730001</v>
      </c>
      <c r="BY104" s="2">
        <f t="shared" si="123"/>
        <v>0.42386075802470002</v>
      </c>
      <c r="BZ104" s="2">
        <f t="shared" si="123"/>
        <v>0.42559615191009997</v>
      </c>
      <c r="CA104" s="2">
        <f t="shared" si="123"/>
        <v>0.42765134948619998</v>
      </c>
      <c r="CB104" s="2">
        <f t="shared" si="123"/>
        <v>0.43002259832799999</v>
      </c>
      <c r="CC104" s="2">
        <f t="shared" si="123"/>
        <v>0.43272809840699999</v>
      </c>
      <c r="CD104" s="2">
        <f t="shared" si="123"/>
        <v>0.43577562384219998</v>
      </c>
    </row>
    <row r="105" spans="1:82" s="7" customFormat="1" x14ac:dyDescent="0.2">
      <c r="B105" s="7" t="s">
        <v>55</v>
      </c>
      <c r="G105" s="7">
        <f>SUM(G106:G112)</f>
        <v>7</v>
      </c>
      <c r="H105" s="7">
        <f t="shared" ref="H105:BS105" si="126">SUM(H106:H112)</f>
        <v>0</v>
      </c>
      <c r="I105" s="7">
        <f t="shared" si="126"/>
        <v>0</v>
      </c>
      <c r="J105" s="7">
        <f t="shared" si="126"/>
        <v>0</v>
      </c>
      <c r="K105" s="7">
        <f t="shared" si="126"/>
        <v>0</v>
      </c>
      <c r="L105" s="7">
        <f t="shared" si="126"/>
        <v>0</v>
      </c>
      <c r="M105" s="7">
        <f t="shared" si="126"/>
        <v>0</v>
      </c>
      <c r="N105" s="7">
        <f t="shared" si="126"/>
        <v>0</v>
      </c>
      <c r="O105" s="7">
        <f t="shared" si="126"/>
        <v>0</v>
      </c>
      <c r="P105" s="7">
        <f t="shared" si="126"/>
        <v>0</v>
      </c>
      <c r="Q105" s="7">
        <f t="shared" si="126"/>
        <v>0</v>
      </c>
      <c r="R105" s="7">
        <f t="shared" si="126"/>
        <v>0</v>
      </c>
      <c r="S105" s="7">
        <f t="shared" si="126"/>
        <v>0</v>
      </c>
      <c r="T105" s="7">
        <f t="shared" si="126"/>
        <v>0</v>
      </c>
      <c r="U105" s="7">
        <f t="shared" si="126"/>
        <v>0</v>
      </c>
      <c r="V105" s="7">
        <f t="shared" si="126"/>
        <v>0</v>
      </c>
      <c r="W105" s="7">
        <f t="shared" si="126"/>
        <v>0</v>
      </c>
      <c r="X105" s="7">
        <f t="shared" si="126"/>
        <v>0</v>
      </c>
      <c r="Y105" s="7">
        <f t="shared" si="126"/>
        <v>0</v>
      </c>
      <c r="Z105" s="7">
        <f t="shared" si="126"/>
        <v>0</v>
      </c>
      <c r="AA105" s="7">
        <f t="shared" si="126"/>
        <v>0</v>
      </c>
      <c r="AB105" s="7">
        <f t="shared" si="126"/>
        <v>0</v>
      </c>
      <c r="AC105" s="7">
        <f t="shared" si="126"/>
        <v>0</v>
      </c>
      <c r="AD105" s="7">
        <f t="shared" si="126"/>
        <v>0</v>
      </c>
      <c r="AE105" s="7">
        <f t="shared" si="126"/>
        <v>0</v>
      </c>
      <c r="AF105" s="7">
        <f t="shared" si="126"/>
        <v>0</v>
      </c>
      <c r="AG105" s="7">
        <f t="shared" si="126"/>
        <v>0</v>
      </c>
      <c r="AH105" s="7">
        <f t="shared" si="126"/>
        <v>0</v>
      </c>
      <c r="AI105" s="7">
        <f t="shared" si="126"/>
        <v>0</v>
      </c>
      <c r="AJ105" s="7">
        <f t="shared" si="126"/>
        <v>28.0269720793586</v>
      </c>
      <c r="AK105" s="7">
        <f t="shared" si="126"/>
        <v>25.021866924891601</v>
      </c>
      <c r="AL105" s="7">
        <f t="shared" si="126"/>
        <v>24.8544912967897</v>
      </c>
      <c r="AM105" s="7">
        <f t="shared" si="126"/>
        <v>24.8816129403635</v>
      </c>
      <c r="AN105" s="7">
        <f t="shared" si="126"/>
        <v>24.889323614430499</v>
      </c>
      <c r="AO105" s="7">
        <f t="shared" si="126"/>
        <v>24.880409954732698</v>
      </c>
      <c r="AP105" s="7">
        <f t="shared" si="126"/>
        <v>24.852073204490001</v>
      </c>
      <c r="AQ105" s="7">
        <f t="shared" si="126"/>
        <v>25.081396684443899</v>
      </c>
      <c r="AR105" s="7">
        <f t="shared" si="126"/>
        <v>25.295080770525999</v>
      </c>
      <c r="AS105" s="7">
        <f t="shared" si="126"/>
        <v>25.627400640989698</v>
      </c>
      <c r="AT105" s="7">
        <f t="shared" si="126"/>
        <v>25.876499734486501</v>
      </c>
      <c r="AU105" s="7">
        <f t="shared" si="126"/>
        <v>26.262941437912101</v>
      </c>
      <c r="AV105" s="7">
        <f t="shared" si="126"/>
        <v>26.7904785963769</v>
      </c>
      <c r="AW105" s="7">
        <f t="shared" si="126"/>
        <v>27.418087548589899</v>
      </c>
      <c r="AX105" s="7">
        <f t="shared" si="126"/>
        <v>28.106594011065201</v>
      </c>
      <c r="AY105" s="7">
        <f t="shared" si="126"/>
        <v>28.818270081771999</v>
      </c>
      <c r="AZ105" s="7">
        <f t="shared" si="126"/>
        <v>29.517098440053999</v>
      </c>
      <c r="BA105" s="7">
        <f t="shared" si="126"/>
        <v>30.169313738075399</v>
      </c>
      <c r="BB105" s="7">
        <f t="shared" si="126"/>
        <v>30.744294682543501</v>
      </c>
      <c r="BC105" s="7">
        <f t="shared" si="126"/>
        <v>31.215640741495601</v>
      </c>
      <c r="BD105" s="7">
        <f t="shared" si="126"/>
        <v>31.5770924379067</v>
      </c>
      <c r="BE105" s="7">
        <f t="shared" si="126"/>
        <v>31.815505713170801</v>
      </c>
      <c r="BF105" s="7">
        <f t="shared" si="126"/>
        <v>32.076861450552997</v>
      </c>
      <c r="BG105" s="7">
        <f t="shared" si="126"/>
        <v>32.321461305904997</v>
      </c>
      <c r="BH105" s="7">
        <f t="shared" si="126"/>
        <v>32.528134350817702</v>
      </c>
      <c r="BI105" s="7">
        <f t="shared" si="126"/>
        <v>32.691931905581498</v>
      </c>
      <c r="BJ105" s="7">
        <f t="shared" si="126"/>
        <v>32.805459421708903</v>
      </c>
      <c r="BK105" s="7">
        <f t="shared" si="126"/>
        <v>32.911937028144102</v>
      </c>
      <c r="BL105" s="7">
        <f t="shared" si="126"/>
        <v>33.010181326491001</v>
      </c>
      <c r="BM105" s="7">
        <f t="shared" si="126"/>
        <v>33.100344050047099</v>
      </c>
      <c r="BN105" s="7">
        <f t="shared" si="126"/>
        <v>33.180616768077797</v>
      </c>
      <c r="BO105" s="7">
        <f t="shared" si="126"/>
        <v>33.2480984301191</v>
      </c>
      <c r="BP105" s="7">
        <f t="shared" si="126"/>
        <v>33.300125286539298</v>
      </c>
      <c r="BQ105" s="7">
        <f t="shared" si="126"/>
        <v>33.334255055980393</v>
      </c>
      <c r="BR105" s="7">
        <f t="shared" si="126"/>
        <v>33.349858157161798</v>
      </c>
      <c r="BS105" s="7">
        <f t="shared" si="126"/>
        <v>33.345830746636487</v>
      </c>
      <c r="BT105" s="7">
        <f t="shared" ref="BT105:CD105" si="127">SUM(BT106:BT112)</f>
        <v>33.319633926086802</v>
      </c>
      <c r="BU105" s="7">
        <f t="shared" si="127"/>
        <v>33.305165432768497</v>
      </c>
      <c r="BV105" s="7">
        <f t="shared" si="127"/>
        <v>33.302730287168004</v>
      </c>
      <c r="BW105" s="7">
        <f t="shared" si="127"/>
        <v>33.313790181444801</v>
      </c>
      <c r="BX105" s="7">
        <f t="shared" si="127"/>
        <v>33.340063797249101</v>
      </c>
      <c r="BY105" s="7">
        <f t="shared" si="127"/>
        <v>33.379527993508603</v>
      </c>
      <c r="BZ105" s="7">
        <f t="shared" si="127"/>
        <v>33.431957674389103</v>
      </c>
      <c r="CA105" s="7">
        <f t="shared" si="127"/>
        <v>33.500527789037697</v>
      </c>
      <c r="CB105" s="7">
        <f t="shared" si="127"/>
        <v>33.5847683802848</v>
      </c>
      <c r="CC105" s="7">
        <f t="shared" si="127"/>
        <v>33.685697888741998</v>
      </c>
      <c r="CD105" s="7">
        <f t="shared" si="127"/>
        <v>33.803610974570198</v>
      </c>
    </row>
    <row r="106" spans="1:82" s="2" customFormat="1" x14ac:dyDescent="0.2">
      <c r="F106" s="2" t="s">
        <v>6</v>
      </c>
      <c r="G106" s="2">
        <f t="shared" ref="G106:G112" si="128">O341</f>
        <v>1</v>
      </c>
      <c r="H106" s="2">
        <f t="shared" ref="H106:BS108" si="129">P341</f>
        <v>0</v>
      </c>
      <c r="I106" s="2" t="str">
        <f t="shared" si="129"/>
        <v>emission_co2e_ch4_ippu_production_chemicals|emission_co2e_ch4_ippu_production_plastic</v>
      </c>
      <c r="J106" s="2">
        <f t="shared" si="129"/>
        <v>0</v>
      </c>
      <c r="K106" s="2">
        <f t="shared" si="129"/>
        <v>0</v>
      </c>
      <c r="L106" s="2">
        <f t="shared" si="129"/>
        <v>0</v>
      </c>
      <c r="M106" s="2">
        <f t="shared" si="129"/>
        <v>0</v>
      </c>
      <c r="N106" s="2">
        <f t="shared" si="129"/>
        <v>0</v>
      </c>
      <c r="O106" s="2">
        <f t="shared" si="129"/>
        <v>0</v>
      </c>
      <c r="P106" s="2">
        <f t="shared" si="129"/>
        <v>0</v>
      </c>
      <c r="Q106" s="2">
        <f t="shared" si="129"/>
        <v>0</v>
      </c>
      <c r="R106" s="2">
        <f t="shared" si="129"/>
        <v>0</v>
      </c>
      <c r="S106" s="2">
        <f t="shared" si="129"/>
        <v>0</v>
      </c>
      <c r="T106" s="2">
        <f t="shared" si="129"/>
        <v>0</v>
      </c>
      <c r="U106" s="2">
        <f t="shared" si="129"/>
        <v>0</v>
      </c>
      <c r="V106" s="2">
        <f t="shared" si="129"/>
        <v>0</v>
      </c>
      <c r="W106" s="2">
        <f t="shared" si="129"/>
        <v>0</v>
      </c>
      <c r="X106" s="2">
        <f t="shared" si="129"/>
        <v>0</v>
      </c>
      <c r="Y106" s="2">
        <f t="shared" si="129"/>
        <v>0</v>
      </c>
      <c r="Z106" s="2">
        <f t="shared" si="129"/>
        <v>0</v>
      </c>
      <c r="AA106" s="2">
        <f t="shared" si="129"/>
        <v>0</v>
      </c>
      <c r="AB106" s="2">
        <f t="shared" si="129"/>
        <v>0</v>
      </c>
      <c r="AC106" s="2">
        <f t="shared" si="129"/>
        <v>0</v>
      </c>
      <c r="AD106" s="2">
        <f t="shared" si="129"/>
        <v>0</v>
      </c>
      <c r="AE106" s="2">
        <f t="shared" si="129"/>
        <v>0</v>
      </c>
      <c r="AF106" s="2">
        <f t="shared" si="129"/>
        <v>0</v>
      </c>
      <c r="AG106" s="2">
        <f t="shared" si="129"/>
        <v>0</v>
      </c>
      <c r="AH106" s="2">
        <f t="shared" si="129"/>
        <v>0</v>
      </c>
      <c r="AI106" s="2">
        <f t="shared" si="129"/>
        <v>0</v>
      </c>
      <c r="AJ106" s="2">
        <f t="shared" si="129"/>
        <v>0</v>
      </c>
      <c r="AK106" s="2">
        <f t="shared" si="129"/>
        <v>0</v>
      </c>
      <c r="AL106" s="2">
        <f t="shared" si="129"/>
        <v>0</v>
      </c>
      <c r="AM106" s="2">
        <f t="shared" si="129"/>
        <v>0</v>
      </c>
      <c r="AN106" s="2">
        <f t="shared" si="129"/>
        <v>0</v>
      </c>
      <c r="AO106" s="2">
        <f t="shared" si="129"/>
        <v>0</v>
      </c>
      <c r="AP106" s="2">
        <f t="shared" si="129"/>
        <v>0</v>
      </c>
      <c r="AQ106" s="2">
        <f t="shared" si="129"/>
        <v>0</v>
      </c>
      <c r="AR106" s="2">
        <f t="shared" si="129"/>
        <v>0</v>
      </c>
      <c r="AS106" s="2">
        <f t="shared" si="129"/>
        <v>0</v>
      </c>
      <c r="AT106" s="2">
        <f t="shared" si="129"/>
        <v>0</v>
      </c>
      <c r="AU106" s="2">
        <f t="shared" si="129"/>
        <v>0</v>
      </c>
      <c r="AV106" s="2">
        <f t="shared" si="129"/>
        <v>0</v>
      </c>
      <c r="AW106" s="2">
        <f t="shared" si="129"/>
        <v>0</v>
      </c>
      <c r="AX106" s="2">
        <f t="shared" si="129"/>
        <v>0</v>
      </c>
      <c r="AY106" s="2">
        <f t="shared" si="129"/>
        <v>0</v>
      </c>
      <c r="AZ106" s="2">
        <f t="shared" si="129"/>
        <v>0</v>
      </c>
      <c r="BA106" s="2">
        <f t="shared" si="129"/>
        <v>0</v>
      </c>
      <c r="BB106" s="2">
        <f t="shared" si="129"/>
        <v>0</v>
      </c>
      <c r="BC106" s="2">
        <f t="shared" si="129"/>
        <v>0</v>
      </c>
      <c r="BD106" s="2">
        <f t="shared" si="129"/>
        <v>0</v>
      </c>
      <c r="BE106" s="2">
        <f t="shared" si="129"/>
        <v>0</v>
      </c>
      <c r="BF106" s="2">
        <f t="shared" si="129"/>
        <v>0</v>
      </c>
      <c r="BG106" s="2">
        <f t="shared" si="129"/>
        <v>0</v>
      </c>
      <c r="BH106" s="2">
        <f t="shared" si="129"/>
        <v>0</v>
      </c>
      <c r="BI106" s="2">
        <f t="shared" si="129"/>
        <v>0</v>
      </c>
      <c r="BJ106" s="2">
        <f t="shared" si="129"/>
        <v>0</v>
      </c>
      <c r="BK106" s="2">
        <f t="shared" si="129"/>
        <v>0</v>
      </c>
      <c r="BL106" s="2">
        <f t="shared" si="129"/>
        <v>0</v>
      </c>
      <c r="BM106" s="2">
        <f t="shared" si="129"/>
        <v>0</v>
      </c>
      <c r="BN106" s="2">
        <f t="shared" si="129"/>
        <v>0</v>
      </c>
      <c r="BO106" s="2">
        <f t="shared" si="129"/>
        <v>0</v>
      </c>
      <c r="BP106" s="2">
        <f t="shared" si="129"/>
        <v>0</v>
      </c>
      <c r="BQ106" s="2">
        <f t="shared" si="129"/>
        <v>0</v>
      </c>
      <c r="BR106" s="2">
        <f t="shared" si="129"/>
        <v>0</v>
      </c>
      <c r="BS106" s="2">
        <f t="shared" si="129"/>
        <v>0</v>
      </c>
      <c r="BT106" s="2">
        <f t="shared" ref="BT106:CD107" si="130">CB341</f>
        <v>0</v>
      </c>
      <c r="BU106" s="2">
        <f t="shared" si="130"/>
        <v>0</v>
      </c>
      <c r="BV106" s="2">
        <f t="shared" si="130"/>
        <v>0</v>
      </c>
      <c r="BW106" s="2">
        <f t="shared" si="130"/>
        <v>0</v>
      </c>
      <c r="BX106" s="2">
        <f t="shared" si="130"/>
        <v>0</v>
      </c>
      <c r="BY106" s="2">
        <f t="shared" si="130"/>
        <v>0</v>
      </c>
      <c r="BZ106" s="2">
        <f t="shared" si="130"/>
        <v>0</v>
      </c>
      <c r="CA106" s="2">
        <f t="shared" si="130"/>
        <v>0</v>
      </c>
      <c r="CB106" s="2">
        <f t="shared" si="130"/>
        <v>0</v>
      </c>
      <c r="CC106" s="2">
        <f t="shared" si="130"/>
        <v>0</v>
      </c>
      <c r="CD106" s="2">
        <f t="shared" si="130"/>
        <v>0</v>
      </c>
    </row>
    <row r="107" spans="1:82" s="2" customFormat="1" x14ac:dyDescent="0.2">
      <c r="F107" s="2" t="s">
        <v>7</v>
      </c>
      <c r="G107" s="2">
        <f t="shared" si="128"/>
        <v>1</v>
      </c>
      <c r="H107" s="2">
        <f t="shared" si="129"/>
        <v>0</v>
      </c>
      <c r="I107" s="2" t="str">
        <f t="shared" si="129"/>
        <v>emission_co2e_co2_ippu_production_chemicals|emission_co2e_co2_ippu_production_plastic</v>
      </c>
      <c r="J107" s="2">
        <f t="shared" si="129"/>
        <v>0</v>
      </c>
      <c r="K107" s="2">
        <f t="shared" si="129"/>
        <v>0</v>
      </c>
      <c r="L107" s="2">
        <f t="shared" si="129"/>
        <v>0</v>
      </c>
      <c r="M107" s="2">
        <f t="shared" si="129"/>
        <v>0</v>
      </c>
      <c r="N107" s="2">
        <f t="shared" si="129"/>
        <v>0</v>
      </c>
      <c r="O107" s="2">
        <f t="shared" si="129"/>
        <v>0</v>
      </c>
      <c r="P107" s="2">
        <f t="shared" si="129"/>
        <v>0</v>
      </c>
      <c r="Q107" s="2">
        <f t="shared" si="129"/>
        <v>0</v>
      </c>
      <c r="R107" s="2">
        <f t="shared" si="129"/>
        <v>0</v>
      </c>
      <c r="S107" s="2">
        <f t="shared" si="129"/>
        <v>0</v>
      </c>
      <c r="T107" s="2">
        <f t="shared" si="129"/>
        <v>0</v>
      </c>
      <c r="U107" s="2">
        <f t="shared" si="129"/>
        <v>0</v>
      </c>
      <c r="V107" s="2">
        <f t="shared" si="129"/>
        <v>0</v>
      </c>
      <c r="W107" s="2">
        <f t="shared" si="129"/>
        <v>0</v>
      </c>
      <c r="X107" s="2">
        <f t="shared" si="129"/>
        <v>0</v>
      </c>
      <c r="Y107" s="2">
        <f t="shared" si="129"/>
        <v>0</v>
      </c>
      <c r="Z107" s="2">
        <f t="shared" si="129"/>
        <v>0</v>
      </c>
      <c r="AA107" s="2">
        <f t="shared" si="129"/>
        <v>0</v>
      </c>
      <c r="AB107" s="2">
        <f t="shared" si="129"/>
        <v>0</v>
      </c>
      <c r="AC107" s="2">
        <f t="shared" si="129"/>
        <v>0</v>
      </c>
      <c r="AD107" s="2">
        <f t="shared" si="129"/>
        <v>0</v>
      </c>
      <c r="AE107" s="2">
        <f t="shared" si="129"/>
        <v>0</v>
      </c>
      <c r="AF107" s="2">
        <f t="shared" si="129"/>
        <v>0</v>
      </c>
      <c r="AG107" s="2">
        <f t="shared" si="129"/>
        <v>0</v>
      </c>
      <c r="AH107" s="2">
        <f t="shared" si="129"/>
        <v>0</v>
      </c>
      <c r="AI107" s="2">
        <f t="shared" si="129"/>
        <v>0</v>
      </c>
      <c r="AJ107" s="2">
        <f t="shared" si="129"/>
        <v>28.0269720793586</v>
      </c>
      <c r="AK107" s="2">
        <f t="shared" si="129"/>
        <v>25.021866924891601</v>
      </c>
      <c r="AL107" s="2">
        <f t="shared" si="129"/>
        <v>24.8544912967897</v>
      </c>
      <c r="AM107" s="2">
        <f t="shared" si="129"/>
        <v>24.8816129403635</v>
      </c>
      <c r="AN107" s="2">
        <f t="shared" si="129"/>
        <v>24.889323614430499</v>
      </c>
      <c r="AO107" s="2">
        <f t="shared" si="129"/>
        <v>24.880409954732698</v>
      </c>
      <c r="AP107" s="2">
        <f t="shared" si="129"/>
        <v>24.852073204490001</v>
      </c>
      <c r="AQ107" s="2">
        <f t="shared" si="129"/>
        <v>25.081396684443899</v>
      </c>
      <c r="AR107" s="2">
        <f t="shared" si="129"/>
        <v>25.295080770525999</v>
      </c>
      <c r="AS107" s="2">
        <f t="shared" si="129"/>
        <v>25.627400640989698</v>
      </c>
      <c r="AT107" s="2">
        <f t="shared" si="129"/>
        <v>25.876499734486501</v>
      </c>
      <c r="AU107" s="2">
        <f t="shared" si="129"/>
        <v>26.262941437912101</v>
      </c>
      <c r="AV107" s="2">
        <f t="shared" si="129"/>
        <v>26.7904785963769</v>
      </c>
      <c r="AW107" s="2">
        <f t="shared" si="129"/>
        <v>27.418087548589899</v>
      </c>
      <c r="AX107" s="2">
        <f t="shared" si="129"/>
        <v>28.106594011065201</v>
      </c>
      <c r="AY107" s="2">
        <f t="shared" si="129"/>
        <v>28.818270081771999</v>
      </c>
      <c r="AZ107" s="2">
        <f t="shared" si="129"/>
        <v>29.517098440053999</v>
      </c>
      <c r="BA107" s="2">
        <f t="shared" si="129"/>
        <v>30.169313738075399</v>
      </c>
      <c r="BB107" s="2">
        <f t="shared" si="129"/>
        <v>30.744294682543501</v>
      </c>
      <c r="BC107" s="2">
        <f t="shared" si="129"/>
        <v>31.215640741495601</v>
      </c>
      <c r="BD107" s="2">
        <f t="shared" si="129"/>
        <v>31.5770924379067</v>
      </c>
      <c r="BE107" s="2">
        <f t="shared" si="129"/>
        <v>31.815505713170801</v>
      </c>
      <c r="BF107" s="2">
        <f t="shared" si="129"/>
        <v>32.076861450552997</v>
      </c>
      <c r="BG107" s="2">
        <f t="shared" si="129"/>
        <v>32.321461305904997</v>
      </c>
      <c r="BH107" s="2">
        <f t="shared" si="129"/>
        <v>32.528134350817702</v>
      </c>
      <c r="BI107" s="2">
        <f t="shared" si="129"/>
        <v>32.691931905581498</v>
      </c>
      <c r="BJ107" s="2">
        <f t="shared" si="129"/>
        <v>32.805459421708903</v>
      </c>
      <c r="BK107" s="2">
        <f t="shared" si="129"/>
        <v>32.911937028144102</v>
      </c>
      <c r="BL107" s="2">
        <f t="shared" si="129"/>
        <v>33.010181326491001</v>
      </c>
      <c r="BM107" s="2">
        <f t="shared" si="129"/>
        <v>33.100344050047099</v>
      </c>
      <c r="BN107" s="2">
        <f t="shared" si="129"/>
        <v>33.180616768077797</v>
      </c>
      <c r="BO107" s="2">
        <f t="shared" si="129"/>
        <v>33.2480984301191</v>
      </c>
      <c r="BP107" s="2">
        <f t="shared" si="129"/>
        <v>33.300125286539298</v>
      </c>
      <c r="BQ107" s="2">
        <f t="shared" si="129"/>
        <v>33.334255055980393</v>
      </c>
      <c r="BR107" s="2">
        <f t="shared" si="129"/>
        <v>33.349858157161798</v>
      </c>
      <c r="BS107" s="2">
        <f t="shared" si="129"/>
        <v>33.345830746636487</v>
      </c>
      <c r="BT107" s="2">
        <f t="shared" si="130"/>
        <v>33.319633926086802</v>
      </c>
      <c r="BU107" s="2">
        <f t="shared" si="130"/>
        <v>33.305165432768497</v>
      </c>
      <c r="BV107" s="2">
        <f t="shared" si="130"/>
        <v>33.302730287168004</v>
      </c>
      <c r="BW107" s="2">
        <f t="shared" si="130"/>
        <v>33.313790181444801</v>
      </c>
      <c r="BX107" s="2">
        <f t="shared" si="130"/>
        <v>33.340063797249101</v>
      </c>
      <c r="BY107" s="2">
        <f t="shared" si="130"/>
        <v>33.379527993508603</v>
      </c>
      <c r="BZ107" s="2">
        <f t="shared" si="130"/>
        <v>33.431957674389103</v>
      </c>
      <c r="CA107" s="2">
        <f t="shared" si="130"/>
        <v>33.500527789037697</v>
      </c>
      <c r="CB107" s="2">
        <f t="shared" si="130"/>
        <v>33.5847683802848</v>
      </c>
      <c r="CC107" s="2">
        <f t="shared" si="130"/>
        <v>33.685697888741998</v>
      </c>
      <c r="CD107" s="2">
        <f t="shared" si="130"/>
        <v>33.803610974570198</v>
      </c>
    </row>
    <row r="108" spans="1:82" s="2" customFormat="1" x14ac:dyDescent="0.2">
      <c r="F108" s="2" t="s">
        <v>56</v>
      </c>
      <c r="G108" s="2">
        <f t="shared" si="128"/>
        <v>1</v>
      </c>
      <c r="H108" s="2">
        <f t="shared" si="129"/>
        <v>0</v>
      </c>
      <c r="I108" s="2" t="str">
        <f t="shared" si="129"/>
        <v>emission_co2e_hfcs_ippu_production_chemicals</v>
      </c>
      <c r="J108" s="2">
        <f t="shared" si="129"/>
        <v>0</v>
      </c>
      <c r="K108" s="2">
        <f t="shared" si="129"/>
        <v>0</v>
      </c>
      <c r="L108" s="2">
        <f t="shared" si="129"/>
        <v>0</v>
      </c>
      <c r="M108" s="2">
        <f t="shared" si="129"/>
        <v>0</v>
      </c>
      <c r="N108" s="2">
        <f t="shared" si="129"/>
        <v>0</v>
      </c>
      <c r="O108" s="2">
        <f t="shared" si="129"/>
        <v>0</v>
      </c>
      <c r="P108" s="2">
        <f t="shared" si="129"/>
        <v>0</v>
      </c>
      <c r="Q108" s="2">
        <f t="shared" si="129"/>
        <v>0</v>
      </c>
      <c r="R108" s="2">
        <f t="shared" si="129"/>
        <v>0</v>
      </c>
      <c r="S108" s="2">
        <f t="shared" si="129"/>
        <v>0</v>
      </c>
      <c r="T108" s="2">
        <f t="shared" si="129"/>
        <v>0</v>
      </c>
      <c r="U108" s="2">
        <f t="shared" si="129"/>
        <v>0</v>
      </c>
      <c r="V108" s="2">
        <f t="shared" si="129"/>
        <v>0</v>
      </c>
      <c r="W108" s="2">
        <f t="shared" si="129"/>
        <v>0</v>
      </c>
      <c r="X108" s="2">
        <f t="shared" si="129"/>
        <v>0</v>
      </c>
      <c r="Y108" s="2">
        <f t="shared" si="129"/>
        <v>0</v>
      </c>
      <c r="Z108" s="2">
        <f t="shared" si="129"/>
        <v>0</v>
      </c>
      <c r="AA108" s="2">
        <f t="shared" si="129"/>
        <v>0</v>
      </c>
      <c r="AB108" s="2">
        <f t="shared" si="129"/>
        <v>0</v>
      </c>
      <c r="AC108" s="2">
        <f t="shared" si="129"/>
        <v>0</v>
      </c>
      <c r="AD108" s="2">
        <f t="shared" si="129"/>
        <v>0</v>
      </c>
      <c r="AE108" s="2">
        <f t="shared" si="129"/>
        <v>0</v>
      </c>
      <c r="AF108" s="2">
        <f t="shared" si="129"/>
        <v>0</v>
      </c>
      <c r="AG108" s="2">
        <f t="shared" si="129"/>
        <v>0</v>
      </c>
      <c r="AH108" s="2">
        <f t="shared" si="129"/>
        <v>0</v>
      </c>
      <c r="AI108" s="2">
        <f t="shared" si="129"/>
        <v>0</v>
      </c>
      <c r="AJ108" s="2">
        <f t="shared" si="129"/>
        <v>0</v>
      </c>
      <c r="AK108" s="2">
        <f t="shared" si="129"/>
        <v>0</v>
      </c>
      <c r="AL108" s="2">
        <f t="shared" si="129"/>
        <v>0</v>
      </c>
      <c r="AM108" s="2">
        <f t="shared" si="129"/>
        <v>0</v>
      </c>
      <c r="AN108" s="2">
        <f t="shared" si="129"/>
        <v>0</v>
      </c>
      <c r="AO108" s="2">
        <f t="shared" si="129"/>
        <v>0</v>
      </c>
      <c r="AP108" s="2">
        <f t="shared" si="129"/>
        <v>0</v>
      </c>
      <c r="AQ108" s="2">
        <f t="shared" si="129"/>
        <v>0</v>
      </c>
      <c r="AR108" s="2">
        <f t="shared" si="129"/>
        <v>0</v>
      </c>
      <c r="AS108" s="2">
        <f t="shared" si="129"/>
        <v>0</v>
      </c>
      <c r="AT108" s="2">
        <f t="shared" si="129"/>
        <v>0</v>
      </c>
      <c r="AU108" s="2">
        <f t="shared" si="129"/>
        <v>0</v>
      </c>
      <c r="AV108" s="2">
        <f t="shared" si="129"/>
        <v>0</v>
      </c>
      <c r="AW108" s="2">
        <f t="shared" si="129"/>
        <v>0</v>
      </c>
      <c r="AX108" s="2">
        <f t="shared" si="129"/>
        <v>0</v>
      </c>
      <c r="AY108" s="2">
        <f t="shared" si="129"/>
        <v>0</v>
      </c>
      <c r="AZ108" s="2">
        <f t="shared" si="129"/>
        <v>0</v>
      </c>
      <c r="BA108" s="2">
        <f t="shared" si="129"/>
        <v>0</v>
      </c>
      <c r="BB108" s="2">
        <f t="shared" si="129"/>
        <v>0</v>
      </c>
      <c r="BC108" s="2">
        <f t="shared" si="129"/>
        <v>0</v>
      </c>
      <c r="BD108" s="2">
        <f t="shared" si="129"/>
        <v>0</v>
      </c>
      <c r="BE108" s="2">
        <f t="shared" si="129"/>
        <v>0</v>
      </c>
      <c r="BF108" s="2">
        <f t="shared" si="129"/>
        <v>0</v>
      </c>
      <c r="BG108" s="2">
        <f t="shared" si="129"/>
        <v>0</v>
      </c>
      <c r="BH108" s="2">
        <f t="shared" si="129"/>
        <v>0</v>
      </c>
      <c r="BI108" s="2">
        <f t="shared" si="129"/>
        <v>0</v>
      </c>
      <c r="BJ108" s="2">
        <f t="shared" si="129"/>
        <v>0</v>
      </c>
      <c r="BK108" s="2">
        <f t="shared" si="129"/>
        <v>0</v>
      </c>
      <c r="BL108" s="2">
        <f t="shared" si="129"/>
        <v>0</v>
      </c>
      <c r="BM108" s="2">
        <f t="shared" si="129"/>
        <v>0</v>
      </c>
      <c r="BN108" s="2">
        <f t="shared" si="129"/>
        <v>0</v>
      </c>
      <c r="BO108" s="2">
        <f t="shared" si="129"/>
        <v>0</v>
      </c>
      <c r="BP108" s="2">
        <f t="shared" si="129"/>
        <v>0</v>
      </c>
      <c r="BQ108" s="2">
        <f t="shared" si="129"/>
        <v>0</v>
      </c>
      <c r="BR108" s="2">
        <f t="shared" si="129"/>
        <v>0</v>
      </c>
      <c r="BS108" s="2">
        <f t="shared" ref="BS108:CD111" si="131">CA343</f>
        <v>0</v>
      </c>
      <c r="BT108" s="2">
        <f t="shared" si="131"/>
        <v>0</v>
      </c>
      <c r="BU108" s="2">
        <f t="shared" si="131"/>
        <v>0</v>
      </c>
      <c r="BV108" s="2">
        <f t="shared" si="131"/>
        <v>0</v>
      </c>
      <c r="BW108" s="2">
        <f t="shared" si="131"/>
        <v>0</v>
      </c>
      <c r="BX108" s="2">
        <f t="shared" si="131"/>
        <v>0</v>
      </c>
      <c r="BY108" s="2">
        <f t="shared" si="131"/>
        <v>0</v>
      </c>
      <c r="BZ108" s="2">
        <f t="shared" si="131"/>
        <v>0</v>
      </c>
      <c r="CA108" s="2">
        <f t="shared" si="131"/>
        <v>0</v>
      </c>
      <c r="CB108" s="2">
        <f t="shared" si="131"/>
        <v>0</v>
      </c>
      <c r="CC108" s="2">
        <f t="shared" si="131"/>
        <v>0</v>
      </c>
      <c r="CD108" s="2">
        <f t="shared" si="131"/>
        <v>0</v>
      </c>
    </row>
    <row r="109" spans="1:82" s="2" customFormat="1" x14ac:dyDescent="0.2">
      <c r="F109" s="2" t="s">
        <v>8</v>
      </c>
      <c r="G109" s="2">
        <f t="shared" si="128"/>
        <v>1</v>
      </c>
      <c r="H109" s="2">
        <f t="shared" ref="H109:BS112" si="132">P344</f>
        <v>0</v>
      </c>
      <c r="I109" s="2" t="str">
        <f t="shared" si="132"/>
        <v>emission_co2e_n2o_ippu_production_chemicals|emission_co2e_n2o_ippu_production_plastic</v>
      </c>
      <c r="J109" s="2">
        <f t="shared" si="132"/>
        <v>0</v>
      </c>
      <c r="K109" s="2">
        <f t="shared" si="132"/>
        <v>0</v>
      </c>
      <c r="L109" s="2">
        <f t="shared" si="132"/>
        <v>0</v>
      </c>
      <c r="M109" s="2">
        <f t="shared" si="132"/>
        <v>0</v>
      </c>
      <c r="N109" s="2">
        <f t="shared" si="132"/>
        <v>0</v>
      </c>
      <c r="O109" s="2">
        <f t="shared" si="132"/>
        <v>0</v>
      </c>
      <c r="P109" s="2">
        <f t="shared" si="132"/>
        <v>0</v>
      </c>
      <c r="Q109" s="2">
        <f t="shared" si="132"/>
        <v>0</v>
      </c>
      <c r="R109" s="2">
        <f t="shared" si="132"/>
        <v>0</v>
      </c>
      <c r="S109" s="2">
        <f t="shared" si="132"/>
        <v>0</v>
      </c>
      <c r="T109" s="2">
        <f t="shared" si="132"/>
        <v>0</v>
      </c>
      <c r="U109" s="2">
        <f t="shared" si="132"/>
        <v>0</v>
      </c>
      <c r="V109" s="2">
        <f t="shared" si="132"/>
        <v>0</v>
      </c>
      <c r="W109" s="2">
        <f t="shared" si="132"/>
        <v>0</v>
      </c>
      <c r="X109" s="2">
        <f t="shared" si="132"/>
        <v>0</v>
      </c>
      <c r="Y109" s="2">
        <f t="shared" si="132"/>
        <v>0</v>
      </c>
      <c r="Z109" s="2">
        <f t="shared" si="132"/>
        <v>0</v>
      </c>
      <c r="AA109" s="2">
        <f t="shared" si="132"/>
        <v>0</v>
      </c>
      <c r="AB109" s="2">
        <f t="shared" si="132"/>
        <v>0</v>
      </c>
      <c r="AC109" s="2">
        <f t="shared" si="132"/>
        <v>0</v>
      </c>
      <c r="AD109" s="2">
        <f t="shared" si="132"/>
        <v>0</v>
      </c>
      <c r="AE109" s="2">
        <f t="shared" si="132"/>
        <v>0</v>
      </c>
      <c r="AF109" s="2">
        <f t="shared" si="132"/>
        <v>0</v>
      </c>
      <c r="AG109" s="2">
        <f t="shared" si="132"/>
        <v>0</v>
      </c>
      <c r="AH109" s="2">
        <f t="shared" si="132"/>
        <v>0</v>
      </c>
      <c r="AI109" s="2">
        <f t="shared" si="132"/>
        <v>0</v>
      </c>
      <c r="AJ109" s="2">
        <f t="shared" si="132"/>
        <v>0</v>
      </c>
      <c r="AK109" s="2">
        <f t="shared" si="132"/>
        <v>0</v>
      </c>
      <c r="AL109" s="2">
        <f t="shared" si="132"/>
        <v>0</v>
      </c>
      <c r="AM109" s="2">
        <f t="shared" si="132"/>
        <v>0</v>
      </c>
      <c r="AN109" s="2">
        <f t="shared" si="132"/>
        <v>0</v>
      </c>
      <c r="AO109" s="2">
        <f t="shared" si="132"/>
        <v>0</v>
      </c>
      <c r="AP109" s="2">
        <f t="shared" si="132"/>
        <v>0</v>
      </c>
      <c r="AQ109" s="2">
        <f t="shared" si="132"/>
        <v>0</v>
      </c>
      <c r="AR109" s="2">
        <f t="shared" si="132"/>
        <v>0</v>
      </c>
      <c r="AS109" s="2">
        <f t="shared" si="132"/>
        <v>0</v>
      </c>
      <c r="AT109" s="2">
        <f t="shared" si="132"/>
        <v>0</v>
      </c>
      <c r="AU109" s="2">
        <f t="shared" si="132"/>
        <v>0</v>
      </c>
      <c r="AV109" s="2">
        <f t="shared" si="132"/>
        <v>0</v>
      </c>
      <c r="AW109" s="2">
        <f t="shared" si="132"/>
        <v>0</v>
      </c>
      <c r="AX109" s="2">
        <f t="shared" si="132"/>
        <v>0</v>
      </c>
      <c r="AY109" s="2">
        <f t="shared" si="132"/>
        <v>0</v>
      </c>
      <c r="AZ109" s="2">
        <f t="shared" si="132"/>
        <v>0</v>
      </c>
      <c r="BA109" s="2">
        <f t="shared" si="132"/>
        <v>0</v>
      </c>
      <c r="BB109" s="2">
        <f t="shared" si="132"/>
        <v>0</v>
      </c>
      <c r="BC109" s="2">
        <f t="shared" si="132"/>
        <v>0</v>
      </c>
      <c r="BD109" s="2">
        <f t="shared" si="132"/>
        <v>0</v>
      </c>
      <c r="BE109" s="2">
        <f t="shared" si="132"/>
        <v>0</v>
      </c>
      <c r="BF109" s="2">
        <f t="shared" si="132"/>
        <v>0</v>
      </c>
      <c r="BG109" s="2">
        <f t="shared" si="132"/>
        <v>0</v>
      </c>
      <c r="BH109" s="2">
        <f t="shared" si="132"/>
        <v>0</v>
      </c>
      <c r="BI109" s="2">
        <f t="shared" si="132"/>
        <v>0</v>
      </c>
      <c r="BJ109" s="2">
        <f t="shared" si="132"/>
        <v>0</v>
      </c>
      <c r="BK109" s="2">
        <f t="shared" si="132"/>
        <v>0</v>
      </c>
      <c r="BL109" s="2">
        <f t="shared" si="132"/>
        <v>0</v>
      </c>
      <c r="BM109" s="2">
        <f t="shared" si="132"/>
        <v>0</v>
      </c>
      <c r="BN109" s="2">
        <f t="shared" si="132"/>
        <v>0</v>
      </c>
      <c r="BO109" s="2">
        <f t="shared" si="132"/>
        <v>0</v>
      </c>
      <c r="BP109" s="2">
        <f t="shared" si="132"/>
        <v>0</v>
      </c>
      <c r="BQ109" s="2">
        <f t="shared" si="132"/>
        <v>0</v>
      </c>
      <c r="BR109" s="2">
        <f t="shared" si="132"/>
        <v>0</v>
      </c>
      <c r="BS109" s="2">
        <f t="shared" si="132"/>
        <v>0</v>
      </c>
      <c r="BT109" s="2">
        <f t="shared" si="131"/>
        <v>0</v>
      </c>
      <c r="BU109" s="2">
        <f t="shared" si="131"/>
        <v>0</v>
      </c>
      <c r="BV109" s="2">
        <f t="shared" si="131"/>
        <v>0</v>
      </c>
      <c r="BW109" s="2">
        <f t="shared" si="131"/>
        <v>0</v>
      </c>
      <c r="BX109" s="2">
        <f t="shared" si="131"/>
        <v>0</v>
      </c>
      <c r="BY109" s="2">
        <f t="shared" si="131"/>
        <v>0</v>
      </c>
      <c r="BZ109" s="2">
        <f t="shared" si="131"/>
        <v>0</v>
      </c>
      <c r="CA109" s="2">
        <f t="shared" si="131"/>
        <v>0</v>
      </c>
      <c r="CB109" s="2">
        <f t="shared" si="131"/>
        <v>0</v>
      </c>
      <c r="CC109" s="2">
        <f t="shared" si="131"/>
        <v>0</v>
      </c>
      <c r="CD109" s="2">
        <f t="shared" si="131"/>
        <v>0</v>
      </c>
    </row>
    <row r="110" spans="1:82" s="2" customFormat="1" x14ac:dyDescent="0.2">
      <c r="F110" s="2" t="s">
        <v>57</v>
      </c>
      <c r="G110" s="2">
        <f t="shared" si="128"/>
        <v>1</v>
      </c>
      <c r="H110" s="2">
        <f t="shared" si="132"/>
        <v>0</v>
      </c>
      <c r="I110" s="2" t="str">
        <f t="shared" si="132"/>
        <v>emission_co2e_nf3_ippu_production_chemicals</v>
      </c>
      <c r="J110" s="2">
        <f t="shared" si="132"/>
        <v>0</v>
      </c>
      <c r="K110" s="2">
        <f t="shared" si="132"/>
        <v>0</v>
      </c>
      <c r="L110" s="2">
        <f t="shared" si="132"/>
        <v>0</v>
      </c>
      <c r="M110" s="2">
        <f t="shared" si="132"/>
        <v>0</v>
      </c>
      <c r="N110" s="2">
        <f t="shared" si="132"/>
        <v>0</v>
      </c>
      <c r="O110" s="2">
        <f t="shared" si="132"/>
        <v>0</v>
      </c>
      <c r="P110" s="2">
        <f t="shared" si="132"/>
        <v>0</v>
      </c>
      <c r="Q110" s="2">
        <f t="shared" si="132"/>
        <v>0</v>
      </c>
      <c r="R110" s="2">
        <f t="shared" si="132"/>
        <v>0</v>
      </c>
      <c r="S110" s="2">
        <f t="shared" si="132"/>
        <v>0</v>
      </c>
      <c r="T110" s="2">
        <f t="shared" si="132"/>
        <v>0</v>
      </c>
      <c r="U110" s="2">
        <f t="shared" si="132"/>
        <v>0</v>
      </c>
      <c r="V110" s="2">
        <f t="shared" si="132"/>
        <v>0</v>
      </c>
      <c r="W110" s="2">
        <f t="shared" si="132"/>
        <v>0</v>
      </c>
      <c r="X110" s="2">
        <f t="shared" si="132"/>
        <v>0</v>
      </c>
      <c r="Y110" s="2">
        <f t="shared" si="132"/>
        <v>0</v>
      </c>
      <c r="Z110" s="2">
        <f t="shared" si="132"/>
        <v>0</v>
      </c>
      <c r="AA110" s="2">
        <f t="shared" si="132"/>
        <v>0</v>
      </c>
      <c r="AB110" s="2">
        <f t="shared" si="132"/>
        <v>0</v>
      </c>
      <c r="AC110" s="2">
        <f t="shared" si="132"/>
        <v>0</v>
      </c>
      <c r="AD110" s="2">
        <f t="shared" si="132"/>
        <v>0</v>
      </c>
      <c r="AE110" s="2">
        <f t="shared" si="132"/>
        <v>0</v>
      </c>
      <c r="AF110" s="2">
        <f t="shared" si="132"/>
        <v>0</v>
      </c>
      <c r="AG110" s="2">
        <f t="shared" si="132"/>
        <v>0</v>
      </c>
      <c r="AH110" s="2">
        <f t="shared" si="132"/>
        <v>0</v>
      </c>
      <c r="AI110" s="2">
        <f t="shared" si="132"/>
        <v>0</v>
      </c>
      <c r="AJ110" s="2">
        <f t="shared" si="132"/>
        <v>0</v>
      </c>
      <c r="AK110" s="2">
        <f t="shared" si="132"/>
        <v>0</v>
      </c>
      <c r="AL110" s="2">
        <f t="shared" si="132"/>
        <v>0</v>
      </c>
      <c r="AM110" s="2">
        <f t="shared" si="132"/>
        <v>0</v>
      </c>
      <c r="AN110" s="2">
        <f t="shared" si="132"/>
        <v>0</v>
      </c>
      <c r="AO110" s="2">
        <f t="shared" si="132"/>
        <v>0</v>
      </c>
      <c r="AP110" s="2">
        <f t="shared" si="132"/>
        <v>0</v>
      </c>
      <c r="AQ110" s="2">
        <f t="shared" si="132"/>
        <v>0</v>
      </c>
      <c r="AR110" s="2">
        <f t="shared" si="132"/>
        <v>0</v>
      </c>
      <c r="AS110" s="2">
        <f t="shared" si="132"/>
        <v>0</v>
      </c>
      <c r="AT110" s="2">
        <f t="shared" si="132"/>
        <v>0</v>
      </c>
      <c r="AU110" s="2">
        <f t="shared" si="132"/>
        <v>0</v>
      </c>
      <c r="AV110" s="2">
        <f t="shared" si="132"/>
        <v>0</v>
      </c>
      <c r="AW110" s="2">
        <f t="shared" si="132"/>
        <v>0</v>
      </c>
      <c r="AX110" s="2">
        <f t="shared" si="132"/>
        <v>0</v>
      </c>
      <c r="AY110" s="2">
        <f t="shared" si="132"/>
        <v>0</v>
      </c>
      <c r="AZ110" s="2">
        <f t="shared" si="132"/>
        <v>0</v>
      </c>
      <c r="BA110" s="2">
        <f t="shared" si="132"/>
        <v>0</v>
      </c>
      <c r="BB110" s="2">
        <f t="shared" si="132"/>
        <v>0</v>
      </c>
      <c r="BC110" s="2">
        <f t="shared" si="132"/>
        <v>0</v>
      </c>
      <c r="BD110" s="2">
        <f t="shared" si="132"/>
        <v>0</v>
      </c>
      <c r="BE110" s="2">
        <f t="shared" si="132"/>
        <v>0</v>
      </c>
      <c r="BF110" s="2">
        <f t="shared" si="132"/>
        <v>0</v>
      </c>
      <c r="BG110" s="2">
        <f t="shared" si="132"/>
        <v>0</v>
      </c>
      <c r="BH110" s="2">
        <f t="shared" si="132"/>
        <v>0</v>
      </c>
      <c r="BI110" s="2">
        <f t="shared" si="132"/>
        <v>0</v>
      </c>
      <c r="BJ110" s="2">
        <f t="shared" si="132"/>
        <v>0</v>
      </c>
      <c r="BK110" s="2">
        <f t="shared" si="132"/>
        <v>0</v>
      </c>
      <c r="BL110" s="2">
        <f t="shared" si="132"/>
        <v>0</v>
      </c>
      <c r="BM110" s="2">
        <f t="shared" si="132"/>
        <v>0</v>
      </c>
      <c r="BN110" s="2">
        <f t="shared" si="132"/>
        <v>0</v>
      </c>
      <c r="BO110" s="2">
        <f t="shared" si="132"/>
        <v>0</v>
      </c>
      <c r="BP110" s="2">
        <f t="shared" si="132"/>
        <v>0</v>
      </c>
      <c r="BQ110" s="2">
        <f t="shared" si="132"/>
        <v>0</v>
      </c>
      <c r="BR110" s="2">
        <f t="shared" si="132"/>
        <v>0</v>
      </c>
      <c r="BS110" s="2">
        <f t="shared" si="132"/>
        <v>0</v>
      </c>
      <c r="BT110" s="2">
        <f t="shared" si="131"/>
        <v>0</v>
      </c>
      <c r="BU110" s="2">
        <f t="shared" si="131"/>
        <v>0</v>
      </c>
      <c r="BV110" s="2">
        <f t="shared" si="131"/>
        <v>0</v>
      </c>
      <c r="BW110" s="2">
        <f t="shared" si="131"/>
        <v>0</v>
      </c>
      <c r="BX110" s="2">
        <f t="shared" si="131"/>
        <v>0</v>
      </c>
      <c r="BY110" s="2">
        <f t="shared" si="131"/>
        <v>0</v>
      </c>
      <c r="BZ110" s="2">
        <f t="shared" si="131"/>
        <v>0</v>
      </c>
      <c r="CA110" s="2">
        <f t="shared" si="131"/>
        <v>0</v>
      </c>
      <c r="CB110" s="2">
        <f t="shared" si="131"/>
        <v>0</v>
      </c>
      <c r="CC110" s="2">
        <f t="shared" si="131"/>
        <v>0</v>
      </c>
      <c r="CD110" s="2">
        <f t="shared" si="131"/>
        <v>0</v>
      </c>
    </row>
    <row r="111" spans="1:82" s="2" customFormat="1" x14ac:dyDescent="0.2">
      <c r="F111" s="2" t="s">
        <v>58</v>
      </c>
      <c r="G111" s="2">
        <f t="shared" si="128"/>
        <v>1</v>
      </c>
      <c r="H111" s="2">
        <f t="shared" si="132"/>
        <v>0</v>
      </c>
      <c r="I111" s="2" t="str">
        <f t="shared" si="132"/>
        <v>emission_co2e_pfcs_ippu_production_chemicals</v>
      </c>
      <c r="J111" s="2">
        <f t="shared" si="132"/>
        <v>0</v>
      </c>
      <c r="K111" s="2">
        <f t="shared" si="132"/>
        <v>0</v>
      </c>
      <c r="L111" s="2">
        <f t="shared" si="132"/>
        <v>0</v>
      </c>
      <c r="M111" s="2">
        <f t="shared" si="132"/>
        <v>0</v>
      </c>
      <c r="N111" s="2">
        <f t="shared" si="132"/>
        <v>0</v>
      </c>
      <c r="O111" s="2">
        <f t="shared" si="132"/>
        <v>0</v>
      </c>
      <c r="P111" s="2">
        <f t="shared" si="132"/>
        <v>0</v>
      </c>
      <c r="Q111" s="2">
        <f t="shared" si="132"/>
        <v>0</v>
      </c>
      <c r="R111" s="2">
        <f t="shared" si="132"/>
        <v>0</v>
      </c>
      <c r="S111" s="2">
        <f t="shared" si="132"/>
        <v>0</v>
      </c>
      <c r="T111" s="2">
        <f t="shared" si="132"/>
        <v>0</v>
      </c>
      <c r="U111" s="2">
        <f t="shared" si="132"/>
        <v>0</v>
      </c>
      <c r="V111" s="2">
        <f t="shared" si="132"/>
        <v>0</v>
      </c>
      <c r="W111" s="2">
        <f t="shared" si="132"/>
        <v>0</v>
      </c>
      <c r="X111" s="2">
        <f t="shared" si="132"/>
        <v>0</v>
      </c>
      <c r="Y111" s="2">
        <f t="shared" si="132"/>
        <v>0</v>
      </c>
      <c r="Z111" s="2">
        <f t="shared" si="132"/>
        <v>0</v>
      </c>
      <c r="AA111" s="2">
        <f t="shared" si="132"/>
        <v>0</v>
      </c>
      <c r="AB111" s="2">
        <f t="shared" si="132"/>
        <v>0</v>
      </c>
      <c r="AC111" s="2">
        <f t="shared" si="132"/>
        <v>0</v>
      </c>
      <c r="AD111" s="2">
        <f t="shared" si="132"/>
        <v>0</v>
      </c>
      <c r="AE111" s="2">
        <f t="shared" si="132"/>
        <v>0</v>
      </c>
      <c r="AF111" s="2">
        <f t="shared" si="132"/>
        <v>0</v>
      </c>
      <c r="AG111" s="2">
        <f t="shared" si="132"/>
        <v>0</v>
      </c>
      <c r="AH111" s="2">
        <f t="shared" si="132"/>
        <v>0</v>
      </c>
      <c r="AI111" s="2">
        <f t="shared" si="132"/>
        <v>0</v>
      </c>
      <c r="AJ111" s="2">
        <f t="shared" si="132"/>
        <v>0</v>
      </c>
      <c r="AK111" s="2">
        <f t="shared" si="132"/>
        <v>0</v>
      </c>
      <c r="AL111" s="2">
        <f t="shared" si="132"/>
        <v>0</v>
      </c>
      <c r="AM111" s="2">
        <f t="shared" si="132"/>
        <v>0</v>
      </c>
      <c r="AN111" s="2">
        <f t="shared" si="132"/>
        <v>0</v>
      </c>
      <c r="AO111" s="2">
        <f t="shared" si="132"/>
        <v>0</v>
      </c>
      <c r="AP111" s="2">
        <f t="shared" si="132"/>
        <v>0</v>
      </c>
      <c r="AQ111" s="2">
        <f t="shared" si="132"/>
        <v>0</v>
      </c>
      <c r="AR111" s="2">
        <f t="shared" si="132"/>
        <v>0</v>
      </c>
      <c r="AS111" s="2">
        <f t="shared" si="132"/>
        <v>0</v>
      </c>
      <c r="AT111" s="2">
        <f t="shared" si="132"/>
        <v>0</v>
      </c>
      <c r="AU111" s="2">
        <f t="shared" si="132"/>
        <v>0</v>
      </c>
      <c r="AV111" s="2">
        <f t="shared" si="132"/>
        <v>0</v>
      </c>
      <c r="AW111" s="2">
        <f t="shared" si="132"/>
        <v>0</v>
      </c>
      <c r="AX111" s="2">
        <f t="shared" si="132"/>
        <v>0</v>
      </c>
      <c r="AY111" s="2">
        <f t="shared" si="132"/>
        <v>0</v>
      </c>
      <c r="AZ111" s="2">
        <f t="shared" si="132"/>
        <v>0</v>
      </c>
      <c r="BA111" s="2">
        <f t="shared" si="132"/>
        <v>0</v>
      </c>
      <c r="BB111" s="2">
        <f t="shared" si="132"/>
        <v>0</v>
      </c>
      <c r="BC111" s="2">
        <f t="shared" si="132"/>
        <v>0</v>
      </c>
      <c r="BD111" s="2">
        <f t="shared" si="132"/>
        <v>0</v>
      </c>
      <c r="BE111" s="2">
        <f t="shared" si="132"/>
        <v>0</v>
      </c>
      <c r="BF111" s="2">
        <f t="shared" si="132"/>
        <v>0</v>
      </c>
      <c r="BG111" s="2">
        <f t="shared" si="132"/>
        <v>0</v>
      </c>
      <c r="BH111" s="2">
        <f t="shared" si="132"/>
        <v>0</v>
      </c>
      <c r="BI111" s="2">
        <f t="shared" si="132"/>
        <v>0</v>
      </c>
      <c r="BJ111" s="2">
        <f t="shared" si="132"/>
        <v>0</v>
      </c>
      <c r="BK111" s="2">
        <f t="shared" si="132"/>
        <v>0</v>
      </c>
      <c r="BL111" s="2">
        <f t="shared" si="132"/>
        <v>0</v>
      </c>
      <c r="BM111" s="2">
        <f t="shared" si="132"/>
        <v>0</v>
      </c>
      <c r="BN111" s="2">
        <f t="shared" si="132"/>
        <v>0</v>
      </c>
      <c r="BO111" s="2">
        <f t="shared" si="132"/>
        <v>0</v>
      </c>
      <c r="BP111" s="2">
        <f t="shared" si="132"/>
        <v>0</v>
      </c>
      <c r="BQ111" s="2">
        <f t="shared" si="132"/>
        <v>0</v>
      </c>
      <c r="BR111" s="2">
        <f t="shared" si="132"/>
        <v>0</v>
      </c>
      <c r="BS111" s="2">
        <f t="shared" si="132"/>
        <v>0</v>
      </c>
      <c r="BT111" s="2">
        <f t="shared" si="131"/>
        <v>0</v>
      </c>
      <c r="BU111" s="2">
        <f t="shared" si="131"/>
        <v>0</v>
      </c>
      <c r="BV111" s="2">
        <f t="shared" si="131"/>
        <v>0</v>
      </c>
      <c r="BW111" s="2">
        <f t="shared" si="131"/>
        <v>0</v>
      </c>
      <c r="BX111" s="2">
        <f t="shared" si="131"/>
        <v>0</v>
      </c>
      <c r="BY111" s="2">
        <f t="shared" si="131"/>
        <v>0</v>
      </c>
      <c r="BZ111" s="2">
        <f t="shared" si="131"/>
        <v>0</v>
      </c>
      <c r="CA111" s="2">
        <f t="shared" si="131"/>
        <v>0</v>
      </c>
      <c r="CB111" s="2">
        <f t="shared" si="131"/>
        <v>0</v>
      </c>
      <c r="CC111" s="2">
        <f t="shared" si="131"/>
        <v>0</v>
      </c>
      <c r="CD111" s="2">
        <f t="shared" si="131"/>
        <v>0</v>
      </c>
    </row>
    <row r="112" spans="1:82" s="2" customFormat="1" x14ac:dyDescent="0.2">
      <c r="F112" s="2" t="s">
        <v>59</v>
      </c>
      <c r="G112" s="2">
        <f t="shared" si="128"/>
        <v>1</v>
      </c>
      <c r="H112" s="2">
        <f t="shared" si="132"/>
        <v>0</v>
      </c>
      <c r="I112" s="2" t="str">
        <f t="shared" si="132"/>
        <v>emission_co2e_sf6_ippu_production_chemicals</v>
      </c>
      <c r="J112" s="2">
        <f t="shared" si="132"/>
        <v>0</v>
      </c>
      <c r="K112" s="2">
        <f t="shared" si="132"/>
        <v>0</v>
      </c>
      <c r="L112" s="2">
        <f t="shared" si="132"/>
        <v>0</v>
      </c>
      <c r="M112" s="2">
        <f t="shared" si="132"/>
        <v>0</v>
      </c>
      <c r="N112" s="2">
        <f t="shared" si="132"/>
        <v>0</v>
      </c>
      <c r="O112" s="2">
        <f t="shared" si="132"/>
        <v>0</v>
      </c>
      <c r="P112" s="2">
        <f t="shared" si="132"/>
        <v>0</v>
      </c>
      <c r="Q112" s="2">
        <f t="shared" si="132"/>
        <v>0</v>
      </c>
      <c r="R112" s="2">
        <f t="shared" si="132"/>
        <v>0</v>
      </c>
      <c r="S112" s="2">
        <f t="shared" si="132"/>
        <v>0</v>
      </c>
      <c r="T112" s="2">
        <f t="shared" si="132"/>
        <v>0</v>
      </c>
      <c r="U112" s="2">
        <f t="shared" si="132"/>
        <v>0</v>
      </c>
      <c r="V112" s="2">
        <f t="shared" si="132"/>
        <v>0</v>
      </c>
      <c r="W112" s="2">
        <f t="shared" si="132"/>
        <v>0</v>
      </c>
      <c r="X112" s="2">
        <f t="shared" si="132"/>
        <v>0</v>
      </c>
      <c r="Y112" s="2">
        <f t="shared" si="132"/>
        <v>0</v>
      </c>
      <c r="Z112" s="2">
        <f t="shared" si="132"/>
        <v>0</v>
      </c>
      <c r="AA112" s="2">
        <f t="shared" si="132"/>
        <v>0</v>
      </c>
      <c r="AB112" s="2">
        <f t="shared" si="132"/>
        <v>0</v>
      </c>
      <c r="AC112" s="2">
        <f t="shared" si="132"/>
        <v>0</v>
      </c>
      <c r="AD112" s="2">
        <f t="shared" si="132"/>
        <v>0</v>
      </c>
      <c r="AE112" s="2">
        <f t="shared" si="132"/>
        <v>0</v>
      </c>
      <c r="AF112" s="2">
        <f t="shared" si="132"/>
        <v>0</v>
      </c>
      <c r="AG112" s="2">
        <f t="shared" si="132"/>
        <v>0</v>
      </c>
      <c r="AH112" s="2">
        <f t="shared" si="132"/>
        <v>0</v>
      </c>
      <c r="AI112" s="2">
        <f t="shared" si="132"/>
        <v>0</v>
      </c>
      <c r="AJ112" s="2">
        <f t="shared" si="132"/>
        <v>0</v>
      </c>
      <c r="AK112" s="2">
        <f t="shared" si="132"/>
        <v>0</v>
      </c>
      <c r="AL112" s="2">
        <f t="shared" si="132"/>
        <v>0</v>
      </c>
      <c r="AM112" s="2">
        <f t="shared" si="132"/>
        <v>0</v>
      </c>
      <c r="AN112" s="2">
        <f t="shared" si="132"/>
        <v>0</v>
      </c>
      <c r="AO112" s="2">
        <f t="shared" si="132"/>
        <v>0</v>
      </c>
      <c r="AP112" s="2">
        <f t="shared" si="132"/>
        <v>0</v>
      </c>
      <c r="AQ112" s="2">
        <f t="shared" si="132"/>
        <v>0</v>
      </c>
      <c r="AR112" s="2">
        <f t="shared" si="132"/>
        <v>0</v>
      </c>
      <c r="AS112" s="2">
        <f t="shared" si="132"/>
        <v>0</v>
      </c>
      <c r="AT112" s="2">
        <f t="shared" si="132"/>
        <v>0</v>
      </c>
      <c r="AU112" s="2">
        <f t="shared" si="132"/>
        <v>0</v>
      </c>
      <c r="AV112" s="2">
        <f t="shared" si="132"/>
        <v>0</v>
      </c>
      <c r="AW112" s="2">
        <f t="shared" si="132"/>
        <v>0</v>
      </c>
      <c r="AX112" s="2">
        <f t="shared" si="132"/>
        <v>0</v>
      </c>
      <c r="AY112" s="2">
        <f t="shared" si="132"/>
        <v>0</v>
      </c>
      <c r="AZ112" s="2">
        <f t="shared" si="132"/>
        <v>0</v>
      </c>
      <c r="BA112" s="2">
        <f t="shared" si="132"/>
        <v>0</v>
      </c>
      <c r="BB112" s="2">
        <f t="shared" si="132"/>
        <v>0</v>
      </c>
      <c r="BC112" s="2">
        <f t="shared" si="132"/>
        <v>0</v>
      </c>
      <c r="BD112" s="2">
        <f t="shared" si="132"/>
        <v>0</v>
      </c>
      <c r="BE112" s="2">
        <f t="shared" si="132"/>
        <v>0</v>
      </c>
      <c r="BF112" s="2">
        <f t="shared" si="132"/>
        <v>0</v>
      </c>
      <c r="BG112" s="2">
        <f t="shared" si="132"/>
        <v>0</v>
      </c>
      <c r="BH112" s="2">
        <f t="shared" si="132"/>
        <v>0</v>
      </c>
      <c r="BI112" s="2">
        <f t="shared" si="132"/>
        <v>0</v>
      </c>
      <c r="BJ112" s="2">
        <f t="shared" si="132"/>
        <v>0</v>
      </c>
      <c r="BK112" s="2">
        <f t="shared" si="132"/>
        <v>0</v>
      </c>
      <c r="BL112" s="2">
        <f t="shared" si="132"/>
        <v>0</v>
      </c>
      <c r="BM112" s="2">
        <f t="shared" si="132"/>
        <v>0</v>
      </c>
      <c r="BN112" s="2">
        <f t="shared" si="132"/>
        <v>0</v>
      </c>
      <c r="BO112" s="2">
        <f t="shared" si="132"/>
        <v>0</v>
      </c>
      <c r="BP112" s="2">
        <f t="shared" si="132"/>
        <v>0</v>
      </c>
      <c r="BQ112" s="2">
        <f t="shared" si="132"/>
        <v>0</v>
      </c>
      <c r="BR112" s="2">
        <f t="shared" si="132"/>
        <v>0</v>
      </c>
      <c r="BS112" s="2">
        <f t="shared" ref="BS112:CD112" si="133">CA347</f>
        <v>0</v>
      </c>
      <c r="BT112" s="2">
        <f t="shared" si="133"/>
        <v>0</v>
      </c>
      <c r="BU112" s="2">
        <f t="shared" si="133"/>
        <v>0</v>
      </c>
      <c r="BV112" s="2">
        <f t="shared" si="133"/>
        <v>0</v>
      </c>
      <c r="BW112" s="2">
        <f t="shared" si="133"/>
        <v>0</v>
      </c>
      <c r="BX112" s="2">
        <f t="shared" si="133"/>
        <v>0</v>
      </c>
      <c r="BY112" s="2">
        <f t="shared" si="133"/>
        <v>0</v>
      </c>
      <c r="BZ112" s="2">
        <f t="shared" si="133"/>
        <v>0</v>
      </c>
      <c r="CA112" s="2">
        <f t="shared" si="133"/>
        <v>0</v>
      </c>
      <c r="CB112" s="2">
        <f t="shared" si="133"/>
        <v>0</v>
      </c>
      <c r="CC112" s="2">
        <f t="shared" si="133"/>
        <v>0</v>
      </c>
      <c r="CD112" s="2">
        <f t="shared" si="133"/>
        <v>0</v>
      </c>
    </row>
    <row r="113" spans="2:82" s="7" customFormat="1" x14ac:dyDescent="0.2">
      <c r="B113" s="7" t="s">
        <v>60</v>
      </c>
      <c r="G113" s="7">
        <f>SUM(G114:G117)</f>
        <v>4</v>
      </c>
      <c r="H113" s="7">
        <f t="shared" ref="H113:BS113" si="134">SUM(H114:H117)</f>
        <v>0</v>
      </c>
      <c r="I113" s="7">
        <f t="shared" si="134"/>
        <v>0</v>
      </c>
      <c r="J113" s="7">
        <f t="shared" si="134"/>
        <v>0</v>
      </c>
      <c r="K113" s="7">
        <f t="shared" si="134"/>
        <v>0</v>
      </c>
      <c r="L113" s="7">
        <f t="shared" si="134"/>
        <v>0</v>
      </c>
      <c r="M113" s="7">
        <f t="shared" si="134"/>
        <v>0</v>
      </c>
      <c r="N113" s="7">
        <f t="shared" si="134"/>
        <v>0</v>
      </c>
      <c r="O113" s="7">
        <f t="shared" si="134"/>
        <v>0</v>
      </c>
      <c r="P113" s="7">
        <f t="shared" si="134"/>
        <v>0</v>
      </c>
      <c r="Q113" s="7">
        <f t="shared" si="134"/>
        <v>0</v>
      </c>
      <c r="R113" s="7">
        <f t="shared" si="134"/>
        <v>0</v>
      </c>
      <c r="S113" s="7">
        <f t="shared" si="134"/>
        <v>0</v>
      </c>
      <c r="T113" s="7">
        <f t="shared" si="134"/>
        <v>0</v>
      </c>
      <c r="U113" s="7">
        <f t="shared" si="134"/>
        <v>0</v>
      </c>
      <c r="V113" s="7">
        <f t="shared" si="134"/>
        <v>0</v>
      </c>
      <c r="W113" s="7">
        <f t="shared" si="134"/>
        <v>0</v>
      </c>
      <c r="X113" s="7">
        <f t="shared" si="134"/>
        <v>0</v>
      </c>
      <c r="Y113" s="7">
        <f t="shared" si="134"/>
        <v>0</v>
      </c>
      <c r="Z113" s="7">
        <f t="shared" si="134"/>
        <v>0</v>
      </c>
      <c r="AA113" s="7">
        <f t="shared" si="134"/>
        <v>0</v>
      </c>
      <c r="AB113" s="7">
        <f t="shared" si="134"/>
        <v>0</v>
      </c>
      <c r="AC113" s="7">
        <f t="shared" si="134"/>
        <v>0</v>
      </c>
      <c r="AD113" s="7">
        <f t="shared" si="134"/>
        <v>0</v>
      </c>
      <c r="AE113" s="7">
        <f t="shared" si="134"/>
        <v>0</v>
      </c>
      <c r="AF113" s="7">
        <f t="shared" si="134"/>
        <v>0</v>
      </c>
      <c r="AG113" s="7">
        <f t="shared" si="134"/>
        <v>0</v>
      </c>
      <c r="AH113" s="7">
        <f t="shared" si="134"/>
        <v>0</v>
      </c>
      <c r="AI113" s="7">
        <f t="shared" si="134"/>
        <v>0</v>
      </c>
      <c r="AJ113" s="7">
        <f t="shared" si="134"/>
        <v>118.951263591808</v>
      </c>
      <c r="AK113" s="7">
        <f t="shared" si="134"/>
        <v>120.84072227405601</v>
      </c>
      <c r="AL113" s="7">
        <f t="shared" si="134"/>
        <v>127.145931921814</v>
      </c>
      <c r="AM113" s="7">
        <f t="shared" si="134"/>
        <v>128.43667788948201</v>
      </c>
      <c r="AN113" s="7">
        <f t="shared" si="134"/>
        <v>129.738748205181</v>
      </c>
      <c r="AO113" s="7">
        <f t="shared" si="134"/>
        <v>131.052566065473</v>
      </c>
      <c r="AP113" s="7">
        <f t="shared" si="134"/>
        <v>132.37798369687499</v>
      </c>
      <c r="AQ113" s="7">
        <f t="shared" si="134"/>
        <v>134.78735563432301</v>
      </c>
      <c r="AR113" s="7">
        <f t="shared" si="134"/>
        <v>137.238969328607</v>
      </c>
      <c r="AS113" s="7">
        <f t="shared" si="134"/>
        <v>140.211334586232</v>
      </c>
      <c r="AT113" s="7">
        <f t="shared" si="134"/>
        <v>142.923246939367</v>
      </c>
      <c r="AU113" s="7">
        <f t="shared" si="134"/>
        <v>146.05924034481001</v>
      </c>
      <c r="AV113" s="7">
        <f t="shared" si="134"/>
        <v>149.75264889941499</v>
      </c>
      <c r="AW113" s="7">
        <f t="shared" si="134"/>
        <v>153.85477373638301</v>
      </c>
      <c r="AX113" s="7">
        <f t="shared" si="134"/>
        <v>158.223608667495</v>
      </c>
      <c r="AY113" s="7">
        <f t="shared" si="134"/>
        <v>162.72254209181801</v>
      </c>
      <c r="AZ113" s="7">
        <f t="shared" si="134"/>
        <v>167.22099126473699</v>
      </c>
      <c r="BA113" s="7">
        <f t="shared" si="134"/>
        <v>171.59652794265401</v>
      </c>
      <c r="BB113" s="7">
        <f t="shared" si="134"/>
        <v>175.73811141799601</v>
      </c>
      <c r="BC113" s="7">
        <f t="shared" si="134"/>
        <v>179.55000690939099</v>
      </c>
      <c r="BD113" s="7">
        <f t="shared" si="134"/>
        <v>182.95747468751199</v>
      </c>
      <c r="BE113" s="7">
        <f t="shared" si="134"/>
        <v>185.90789962749599</v>
      </c>
      <c r="BF113" s="7">
        <f t="shared" si="134"/>
        <v>188.70898026014299</v>
      </c>
      <c r="BG113" s="7">
        <f t="shared" si="134"/>
        <v>191.33814515159699</v>
      </c>
      <c r="BH113" s="7">
        <f t="shared" si="134"/>
        <v>193.81492495222699</v>
      </c>
      <c r="BI113" s="7">
        <f t="shared" si="134"/>
        <v>196.11233862875201</v>
      </c>
      <c r="BJ113" s="7">
        <f t="shared" si="134"/>
        <v>198.20259664695499</v>
      </c>
      <c r="BK113" s="7">
        <f t="shared" si="134"/>
        <v>200.27674577691801</v>
      </c>
      <c r="BL113" s="7">
        <f t="shared" si="134"/>
        <v>202.32701615755801</v>
      </c>
      <c r="BM113" s="7">
        <f t="shared" si="134"/>
        <v>204.34549791632199</v>
      </c>
      <c r="BN113" s="7">
        <f t="shared" si="134"/>
        <v>206.323812936877</v>
      </c>
      <c r="BO113" s="7">
        <f t="shared" si="134"/>
        <v>208.25321637782</v>
      </c>
      <c r="BP113" s="7">
        <f t="shared" si="134"/>
        <v>210.1247488667</v>
      </c>
      <c r="BQ113" s="7">
        <f t="shared" si="134"/>
        <v>211.92925420644801</v>
      </c>
      <c r="BR113" s="7">
        <f t="shared" si="134"/>
        <v>213.65756531670499</v>
      </c>
      <c r="BS113" s="7">
        <f t="shared" si="134"/>
        <v>215.30029637446901</v>
      </c>
      <c r="BT113" s="7">
        <f t="shared" ref="BT113:CD113" si="135">SUM(BT114:BT117)</f>
        <v>216.847774568597</v>
      </c>
      <c r="BU113" s="7">
        <f t="shared" si="135"/>
        <v>218.44591982560701</v>
      </c>
      <c r="BV113" s="7">
        <f t="shared" si="135"/>
        <v>220.09569679522801</v>
      </c>
      <c r="BW113" s="7">
        <f t="shared" si="135"/>
        <v>221.79822249879899</v>
      </c>
      <c r="BX113" s="7">
        <f t="shared" si="135"/>
        <v>223.55467506822001</v>
      </c>
      <c r="BY113" s="7">
        <f t="shared" si="135"/>
        <v>225.36588492308701</v>
      </c>
      <c r="BZ113" s="7">
        <f t="shared" si="135"/>
        <v>227.232903513775</v>
      </c>
      <c r="CA113" s="7">
        <f t="shared" si="135"/>
        <v>229.15716855126101</v>
      </c>
      <c r="CB113" s="7">
        <f t="shared" si="135"/>
        <v>231.13978313701</v>
      </c>
      <c r="CC113" s="7">
        <f t="shared" si="135"/>
        <v>233.182042967565</v>
      </c>
      <c r="CD113" s="7">
        <f t="shared" si="135"/>
        <v>235.285210817126</v>
      </c>
    </row>
    <row r="114" spans="2:82" s="2" customFormat="1" x14ac:dyDescent="0.2">
      <c r="F114" s="2" t="s">
        <v>6</v>
      </c>
      <c r="G114" s="2">
        <f>O348</f>
        <v>1</v>
      </c>
      <c r="H114" s="2">
        <f t="shared" ref="H114:BS117" si="136">P348</f>
        <v>0</v>
      </c>
      <c r="I114" s="2" t="str">
        <f t="shared" si="136"/>
        <v>emission_co2e_ch4_ippu_production_metals</v>
      </c>
      <c r="J114" s="2">
        <f t="shared" si="136"/>
        <v>0</v>
      </c>
      <c r="K114" s="2">
        <f t="shared" si="136"/>
        <v>0</v>
      </c>
      <c r="L114" s="2">
        <f t="shared" si="136"/>
        <v>0</v>
      </c>
      <c r="M114" s="2">
        <f t="shared" si="136"/>
        <v>0</v>
      </c>
      <c r="N114" s="2">
        <f t="shared" si="136"/>
        <v>0</v>
      </c>
      <c r="O114" s="2">
        <f t="shared" si="136"/>
        <v>0</v>
      </c>
      <c r="P114" s="2">
        <f t="shared" si="136"/>
        <v>0</v>
      </c>
      <c r="Q114" s="2">
        <f t="shared" si="136"/>
        <v>0</v>
      </c>
      <c r="R114" s="2">
        <f t="shared" si="136"/>
        <v>0</v>
      </c>
      <c r="S114" s="2">
        <f t="shared" si="136"/>
        <v>0</v>
      </c>
      <c r="T114" s="2">
        <f t="shared" si="136"/>
        <v>0</v>
      </c>
      <c r="U114" s="2">
        <f t="shared" si="136"/>
        <v>0</v>
      </c>
      <c r="V114" s="2">
        <f t="shared" si="136"/>
        <v>0</v>
      </c>
      <c r="W114" s="2">
        <f t="shared" si="136"/>
        <v>0</v>
      </c>
      <c r="X114" s="2">
        <f t="shared" si="136"/>
        <v>0</v>
      </c>
      <c r="Y114" s="2">
        <f t="shared" si="136"/>
        <v>0</v>
      </c>
      <c r="Z114" s="2">
        <f t="shared" si="136"/>
        <v>0</v>
      </c>
      <c r="AA114" s="2">
        <f t="shared" si="136"/>
        <v>0</v>
      </c>
      <c r="AB114" s="2">
        <f t="shared" si="136"/>
        <v>0</v>
      </c>
      <c r="AC114" s="2">
        <f t="shared" si="136"/>
        <v>0</v>
      </c>
      <c r="AD114" s="2">
        <f t="shared" si="136"/>
        <v>0</v>
      </c>
      <c r="AE114" s="2">
        <f t="shared" si="136"/>
        <v>0</v>
      </c>
      <c r="AF114" s="2">
        <f t="shared" si="136"/>
        <v>0</v>
      </c>
      <c r="AG114" s="2">
        <f t="shared" si="136"/>
        <v>0</v>
      </c>
      <c r="AH114" s="2">
        <f t="shared" si="136"/>
        <v>0</v>
      </c>
      <c r="AI114" s="2">
        <f t="shared" si="136"/>
        <v>0</v>
      </c>
      <c r="AJ114" s="2">
        <f t="shared" si="136"/>
        <v>0</v>
      </c>
      <c r="AK114" s="2">
        <f t="shared" si="136"/>
        <v>0</v>
      </c>
      <c r="AL114" s="2">
        <f t="shared" si="136"/>
        <v>0</v>
      </c>
      <c r="AM114" s="2">
        <f t="shared" si="136"/>
        <v>0</v>
      </c>
      <c r="AN114" s="2">
        <f t="shared" si="136"/>
        <v>0</v>
      </c>
      <c r="AO114" s="2">
        <f t="shared" si="136"/>
        <v>0</v>
      </c>
      <c r="AP114" s="2">
        <f t="shared" si="136"/>
        <v>0</v>
      </c>
      <c r="AQ114" s="2">
        <f t="shared" si="136"/>
        <v>0</v>
      </c>
      <c r="AR114" s="2">
        <f t="shared" si="136"/>
        <v>0</v>
      </c>
      <c r="AS114" s="2">
        <f t="shared" si="136"/>
        <v>0</v>
      </c>
      <c r="AT114" s="2">
        <f t="shared" si="136"/>
        <v>0</v>
      </c>
      <c r="AU114" s="2">
        <f t="shared" si="136"/>
        <v>0</v>
      </c>
      <c r="AV114" s="2">
        <f t="shared" si="136"/>
        <v>0</v>
      </c>
      <c r="AW114" s="2">
        <f t="shared" si="136"/>
        <v>0</v>
      </c>
      <c r="AX114" s="2">
        <f t="shared" si="136"/>
        <v>0</v>
      </c>
      <c r="AY114" s="2">
        <f t="shared" si="136"/>
        <v>0</v>
      </c>
      <c r="AZ114" s="2">
        <f t="shared" si="136"/>
        <v>0</v>
      </c>
      <c r="BA114" s="2">
        <f t="shared" si="136"/>
        <v>0</v>
      </c>
      <c r="BB114" s="2">
        <f t="shared" si="136"/>
        <v>0</v>
      </c>
      <c r="BC114" s="2">
        <f t="shared" si="136"/>
        <v>0</v>
      </c>
      <c r="BD114" s="2">
        <f t="shared" si="136"/>
        <v>0</v>
      </c>
      <c r="BE114" s="2">
        <f t="shared" si="136"/>
        <v>0</v>
      </c>
      <c r="BF114" s="2">
        <f t="shared" si="136"/>
        <v>0</v>
      </c>
      <c r="BG114" s="2">
        <f t="shared" si="136"/>
        <v>0</v>
      </c>
      <c r="BH114" s="2">
        <f t="shared" si="136"/>
        <v>0</v>
      </c>
      <c r="BI114" s="2">
        <f t="shared" si="136"/>
        <v>0</v>
      </c>
      <c r="BJ114" s="2">
        <f t="shared" si="136"/>
        <v>0</v>
      </c>
      <c r="BK114" s="2">
        <f t="shared" si="136"/>
        <v>0</v>
      </c>
      <c r="BL114" s="2">
        <f t="shared" si="136"/>
        <v>0</v>
      </c>
      <c r="BM114" s="2">
        <f t="shared" si="136"/>
        <v>0</v>
      </c>
      <c r="BN114" s="2">
        <f t="shared" si="136"/>
        <v>0</v>
      </c>
      <c r="BO114" s="2">
        <f t="shared" si="136"/>
        <v>0</v>
      </c>
      <c r="BP114" s="2">
        <f t="shared" si="136"/>
        <v>0</v>
      </c>
      <c r="BQ114" s="2">
        <f t="shared" si="136"/>
        <v>0</v>
      </c>
      <c r="BR114" s="2">
        <f t="shared" si="136"/>
        <v>0</v>
      </c>
      <c r="BS114" s="2">
        <f t="shared" si="136"/>
        <v>0</v>
      </c>
      <c r="BT114" s="2">
        <f t="shared" ref="BT114:CD116" si="137">CB348</f>
        <v>0</v>
      </c>
      <c r="BU114" s="2">
        <f t="shared" si="137"/>
        <v>0</v>
      </c>
      <c r="BV114" s="2">
        <f t="shared" si="137"/>
        <v>0</v>
      </c>
      <c r="BW114" s="2">
        <f t="shared" si="137"/>
        <v>0</v>
      </c>
      <c r="BX114" s="2">
        <f t="shared" si="137"/>
        <v>0</v>
      </c>
      <c r="BY114" s="2">
        <f t="shared" si="137"/>
        <v>0</v>
      </c>
      <c r="BZ114" s="2">
        <f t="shared" si="137"/>
        <v>0</v>
      </c>
      <c r="CA114" s="2">
        <f t="shared" si="137"/>
        <v>0</v>
      </c>
      <c r="CB114" s="2">
        <f t="shared" si="137"/>
        <v>0</v>
      </c>
      <c r="CC114" s="2">
        <f t="shared" si="137"/>
        <v>0</v>
      </c>
      <c r="CD114" s="2">
        <f t="shared" si="137"/>
        <v>0</v>
      </c>
    </row>
    <row r="115" spans="2:82" s="2" customFormat="1" x14ac:dyDescent="0.2">
      <c r="F115" s="2" t="s">
        <v>7</v>
      </c>
      <c r="G115" s="2">
        <f>O349</f>
        <v>1</v>
      </c>
      <c r="H115" s="2">
        <f t="shared" si="136"/>
        <v>0</v>
      </c>
      <c r="I115" s="2" t="str">
        <f t="shared" si="136"/>
        <v>emission_co2e_co2_ippu_production_metals</v>
      </c>
      <c r="J115" s="2">
        <f t="shared" si="136"/>
        <v>0</v>
      </c>
      <c r="K115" s="2">
        <f t="shared" si="136"/>
        <v>0</v>
      </c>
      <c r="L115" s="2">
        <f t="shared" si="136"/>
        <v>0</v>
      </c>
      <c r="M115" s="2">
        <f t="shared" si="136"/>
        <v>0</v>
      </c>
      <c r="N115" s="2">
        <f t="shared" si="136"/>
        <v>0</v>
      </c>
      <c r="O115" s="2">
        <f t="shared" si="136"/>
        <v>0</v>
      </c>
      <c r="P115" s="2">
        <f t="shared" si="136"/>
        <v>0</v>
      </c>
      <c r="Q115" s="2">
        <f t="shared" si="136"/>
        <v>0</v>
      </c>
      <c r="R115" s="2">
        <f t="shared" si="136"/>
        <v>0</v>
      </c>
      <c r="S115" s="2">
        <f t="shared" si="136"/>
        <v>0</v>
      </c>
      <c r="T115" s="2">
        <f t="shared" si="136"/>
        <v>0</v>
      </c>
      <c r="U115" s="2">
        <f t="shared" si="136"/>
        <v>0</v>
      </c>
      <c r="V115" s="2">
        <f t="shared" si="136"/>
        <v>0</v>
      </c>
      <c r="W115" s="2">
        <f t="shared" si="136"/>
        <v>0</v>
      </c>
      <c r="X115" s="2">
        <f t="shared" si="136"/>
        <v>0</v>
      </c>
      <c r="Y115" s="2">
        <f t="shared" si="136"/>
        <v>0</v>
      </c>
      <c r="Z115" s="2">
        <f t="shared" si="136"/>
        <v>0</v>
      </c>
      <c r="AA115" s="2">
        <f t="shared" si="136"/>
        <v>0</v>
      </c>
      <c r="AB115" s="2">
        <f t="shared" si="136"/>
        <v>0</v>
      </c>
      <c r="AC115" s="2">
        <f t="shared" si="136"/>
        <v>0</v>
      </c>
      <c r="AD115" s="2">
        <f t="shared" si="136"/>
        <v>0</v>
      </c>
      <c r="AE115" s="2">
        <f t="shared" si="136"/>
        <v>0</v>
      </c>
      <c r="AF115" s="2">
        <f t="shared" si="136"/>
        <v>0</v>
      </c>
      <c r="AG115" s="2">
        <f t="shared" si="136"/>
        <v>0</v>
      </c>
      <c r="AH115" s="2">
        <f t="shared" si="136"/>
        <v>0</v>
      </c>
      <c r="AI115" s="2">
        <f t="shared" si="136"/>
        <v>0</v>
      </c>
      <c r="AJ115" s="2">
        <f t="shared" si="136"/>
        <v>118.951263591808</v>
      </c>
      <c r="AK115" s="2">
        <f t="shared" si="136"/>
        <v>120.84072227405601</v>
      </c>
      <c r="AL115" s="2">
        <f t="shared" si="136"/>
        <v>127.145931921814</v>
      </c>
      <c r="AM115" s="2">
        <f t="shared" si="136"/>
        <v>128.43667788948201</v>
      </c>
      <c r="AN115" s="2">
        <f t="shared" si="136"/>
        <v>129.738748205181</v>
      </c>
      <c r="AO115" s="2">
        <f t="shared" si="136"/>
        <v>131.052566065473</v>
      </c>
      <c r="AP115" s="2">
        <f t="shared" si="136"/>
        <v>132.37798369687499</v>
      </c>
      <c r="AQ115" s="2">
        <f t="shared" si="136"/>
        <v>134.78735563432301</v>
      </c>
      <c r="AR115" s="2">
        <f t="shared" si="136"/>
        <v>137.238969328607</v>
      </c>
      <c r="AS115" s="2">
        <f t="shared" si="136"/>
        <v>140.211334586232</v>
      </c>
      <c r="AT115" s="2">
        <f t="shared" si="136"/>
        <v>142.923246939367</v>
      </c>
      <c r="AU115" s="2">
        <f t="shared" si="136"/>
        <v>146.05924034481001</v>
      </c>
      <c r="AV115" s="2">
        <f t="shared" si="136"/>
        <v>149.75264889941499</v>
      </c>
      <c r="AW115" s="2">
        <f t="shared" si="136"/>
        <v>153.85477373638301</v>
      </c>
      <c r="AX115" s="2">
        <f t="shared" si="136"/>
        <v>158.223608667495</v>
      </c>
      <c r="AY115" s="2">
        <f t="shared" si="136"/>
        <v>162.72254209181801</v>
      </c>
      <c r="AZ115" s="2">
        <f t="shared" si="136"/>
        <v>167.22099126473699</v>
      </c>
      <c r="BA115" s="2">
        <f t="shared" si="136"/>
        <v>171.59652794265401</v>
      </c>
      <c r="BB115" s="2">
        <f t="shared" si="136"/>
        <v>175.73811141799601</v>
      </c>
      <c r="BC115" s="2">
        <f t="shared" si="136"/>
        <v>179.55000690939099</v>
      </c>
      <c r="BD115" s="2">
        <f t="shared" si="136"/>
        <v>182.95747468751199</v>
      </c>
      <c r="BE115" s="2">
        <f t="shared" si="136"/>
        <v>185.90789962749599</v>
      </c>
      <c r="BF115" s="2">
        <f t="shared" si="136"/>
        <v>188.70898026014299</v>
      </c>
      <c r="BG115" s="2">
        <f t="shared" si="136"/>
        <v>191.33814515159699</v>
      </c>
      <c r="BH115" s="2">
        <f t="shared" si="136"/>
        <v>193.81492495222699</v>
      </c>
      <c r="BI115" s="2">
        <f t="shared" si="136"/>
        <v>196.11233862875201</v>
      </c>
      <c r="BJ115" s="2">
        <f t="shared" si="136"/>
        <v>198.20259664695499</v>
      </c>
      <c r="BK115" s="2">
        <f t="shared" si="136"/>
        <v>200.27674577691801</v>
      </c>
      <c r="BL115" s="2">
        <f t="shared" si="136"/>
        <v>202.32701615755801</v>
      </c>
      <c r="BM115" s="2">
        <f t="shared" si="136"/>
        <v>204.34549791632199</v>
      </c>
      <c r="BN115" s="2">
        <f t="shared" si="136"/>
        <v>206.323812936877</v>
      </c>
      <c r="BO115" s="2">
        <f t="shared" si="136"/>
        <v>208.25321637782</v>
      </c>
      <c r="BP115" s="2">
        <f t="shared" si="136"/>
        <v>210.1247488667</v>
      </c>
      <c r="BQ115" s="2">
        <f t="shared" si="136"/>
        <v>211.92925420644801</v>
      </c>
      <c r="BR115" s="2">
        <f t="shared" si="136"/>
        <v>213.65756531670499</v>
      </c>
      <c r="BS115" s="2">
        <f t="shared" si="136"/>
        <v>215.30029637446901</v>
      </c>
      <c r="BT115" s="2">
        <f t="shared" si="137"/>
        <v>216.847774568597</v>
      </c>
      <c r="BU115" s="2">
        <f t="shared" si="137"/>
        <v>218.44591982560701</v>
      </c>
      <c r="BV115" s="2">
        <f t="shared" si="137"/>
        <v>220.09569679522801</v>
      </c>
      <c r="BW115" s="2">
        <f t="shared" si="137"/>
        <v>221.79822249879899</v>
      </c>
      <c r="BX115" s="2">
        <f t="shared" si="137"/>
        <v>223.55467506822001</v>
      </c>
      <c r="BY115" s="2">
        <f t="shared" si="137"/>
        <v>225.36588492308701</v>
      </c>
      <c r="BZ115" s="2">
        <f t="shared" si="137"/>
        <v>227.232903513775</v>
      </c>
      <c r="CA115" s="2">
        <f t="shared" si="137"/>
        <v>229.15716855126101</v>
      </c>
      <c r="CB115" s="2">
        <f t="shared" si="137"/>
        <v>231.13978313701</v>
      </c>
      <c r="CC115" s="2">
        <f t="shared" si="137"/>
        <v>233.182042967565</v>
      </c>
      <c r="CD115" s="2">
        <f t="shared" si="137"/>
        <v>235.285210817126</v>
      </c>
    </row>
    <row r="116" spans="2:82" s="2" customFormat="1" x14ac:dyDescent="0.2">
      <c r="F116" s="2" t="s">
        <v>56</v>
      </c>
      <c r="G116" s="2">
        <f>O350</f>
        <v>1</v>
      </c>
      <c r="H116" s="2">
        <f t="shared" si="136"/>
        <v>0</v>
      </c>
      <c r="I116" s="2" t="str">
        <f t="shared" si="136"/>
        <v>emission_co2e_hfcs_ippu_production_metals</v>
      </c>
      <c r="J116" s="2">
        <f t="shared" si="136"/>
        <v>0</v>
      </c>
      <c r="K116" s="2">
        <f t="shared" si="136"/>
        <v>0</v>
      </c>
      <c r="L116" s="2">
        <f t="shared" si="136"/>
        <v>0</v>
      </c>
      <c r="M116" s="2">
        <f t="shared" si="136"/>
        <v>0</v>
      </c>
      <c r="N116" s="2">
        <f t="shared" si="136"/>
        <v>0</v>
      </c>
      <c r="O116" s="2">
        <f t="shared" si="136"/>
        <v>0</v>
      </c>
      <c r="P116" s="2">
        <f t="shared" si="136"/>
        <v>0</v>
      </c>
      <c r="Q116" s="2">
        <f t="shared" si="136"/>
        <v>0</v>
      </c>
      <c r="R116" s="2">
        <f t="shared" si="136"/>
        <v>0</v>
      </c>
      <c r="S116" s="2">
        <f t="shared" si="136"/>
        <v>0</v>
      </c>
      <c r="T116" s="2">
        <f t="shared" si="136"/>
        <v>0</v>
      </c>
      <c r="U116" s="2">
        <f t="shared" si="136"/>
        <v>0</v>
      </c>
      <c r="V116" s="2">
        <f t="shared" si="136"/>
        <v>0</v>
      </c>
      <c r="W116" s="2">
        <f t="shared" si="136"/>
        <v>0</v>
      </c>
      <c r="X116" s="2">
        <f t="shared" si="136"/>
        <v>0</v>
      </c>
      <c r="Y116" s="2">
        <f t="shared" si="136"/>
        <v>0</v>
      </c>
      <c r="Z116" s="2">
        <f t="shared" si="136"/>
        <v>0</v>
      </c>
      <c r="AA116" s="2">
        <f t="shared" si="136"/>
        <v>0</v>
      </c>
      <c r="AB116" s="2">
        <f t="shared" si="136"/>
        <v>0</v>
      </c>
      <c r="AC116" s="2">
        <f t="shared" si="136"/>
        <v>0</v>
      </c>
      <c r="AD116" s="2">
        <f t="shared" si="136"/>
        <v>0</v>
      </c>
      <c r="AE116" s="2">
        <f t="shared" si="136"/>
        <v>0</v>
      </c>
      <c r="AF116" s="2">
        <f t="shared" si="136"/>
        <v>0</v>
      </c>
      <c r="AG116" s="2">
        <f t="shared" si="136"/>
        <v>0</v>
      </c>
      <c r="AH116" s="2">
        <f t="shared" si="136"/>
        <v>0</v>
      </c>
      <c r="AI116" s="2">
        <f t="shared" si="136"/>
        <v>0</v>
      </c>
      <c r="AJ116" s="2">
        <f t="shared" si="136"/>
        <v>0</v>
      </c>
      <c r="AK116" s="2">
        <f t="shared" si="136"/>
        <v>0</v>
      </c>
      <c r="AL116" s="2">
        <f t="shared" si="136"/>
        <v>0</v>
      </c>
      <c r="AM116" s="2">
        <f t="shared" si="136"/>
        <v>0</v>
      </c>
      <c r="AN116" s="2">
        <f t="shared" si="136"/>
        <v>0</v>
      </c>
      <c r="AO116" s="2">
        <f t="shared" si="136"/>
        <v>0</v>
      </c>
      <c r="AP116" s="2">
        <f t="shared" si="136"/>
        <v>0</v>
      </c>
      <c r="AQ116" s="2">
        <f t="shared" si="136"/>
        <v>0</v>
      </c>
      <c r="AR116" s="2">
        <f t="shared" si="136"/>
        <v>0</v>
      </c>
      <c r="AS116" s="2">
        <f t="shared" si="136"/>
        <v>0</v>
      </c>
      <c r="AT116" s="2">
        <f t="shared" si="136"/>
        <v>0</v>
      </c>
      <c r="AU116" s="2">
        <f t="shared" si="136"/>
        <v>0</v>
      </c>
      <c r="AV116" s="2">
        <f t="shared" si="136"/>
        <v>0</v>
      </c>
      <c r="AW116" s="2">
        <f t="shared" si="136"/>
        <v>0</v>
      </c>
      <c r="AX116" s="2">
        <f t="shared" si="136"/>
        <v>0</v>
      </c>
      <c r="AY116" s="2">
        <f t="shared" si="136"/>
        <v>0</v>
      </c>
      <c r="AZ116" s="2">
        <f t="shared" si="136"/>
        <v>0</v>
      </c>
      <c r="BA116" s="2">
        <f t="shared" si="136"/>
        <v>0</v>
      </c>
      <c r="BB116" s="2">
        <f t="shared" si="136"/>
        <v>0</v>
      </c>
      <c r="BC116" s="2">
        <f t="shared" si="136"/>
        <v>0</v>
      </c>
      <c r="BD116" s="2">
        <f t="shared" si="136"/>
        <v>0</v>
      </c>
      <c r="BE116" s="2">
        <f t="shared" si="136"/>
        <v>0</v>
      </c>
      <c r="BF116" s="2">
        <f t="shared" si="136"/>
        <v>0</v>
      </c>
      <c r="BG116" s="2">
        <f t="shared" si="136"/>
        <v>0</v>
      </c>
      <c r="BH116" s="2">
        <f t="shared" si="136"/>
        <v>0</v>
      </c>
      <c r="BI116" s="2">
        <f t="shared" si="136"/>
        <v>0</v>
      </c>
      <c r="BJ116" s="2">
        <f t="shared" si="136"/>
        <v>0</v>
      </c>
      <c r="BK116" s="2">
        <f t="shared" si="136"/>
        <v>0</v>
      </c>
      <c r="BL116" s="2">
        <f t="shared" si="136"/>
        <v>0</v>
      </c>
      <c r="BM116" s="2">
        <f t="shared" si="136"/>
        <v>0</v>
      </c>
      <c r="BN116" s="2">
        <f t="shared" si="136"/>
        <v>0</v>
      </c>
      <c r="BO116" s="2">
        <f t="shared" si="136"/>
        <v>0</v>
      </c>
      <c r="BP116" s="2">
        <f t="shared" si="136"/>
        <v>0</v>
      </c>
      <c r="BQ116" s="2">
        <f t="shared" si="136"/>
        <v>0</v>
      </c>
      <c r="BR116" s="2">
        <f t="shared" si="136"/>
        <v>0</v>
      </c>
      <c r="BS116" s="2">
        <f t="shared" si="136"/>
        <v>0</v>
      </c>
      <c r="BT116" s="2">
        <f t="shared" si="137"/>
        <v>0</v>
      </c>
      <c r="BU116" s="2">
        <f t="shared" si="137"/>
        <v>0</v>
      </c>
      <c r="BV116" s="2">
        <f t="shared" si="137"/>
        <v>0</v>
      </c>
      <c r="BW116" s="2">
        <f t="shared" si="137"/>
        <v>0</v>
      </c>
      <c r="BX116" s="2">
        <f t="shared" si="137"/>
        <v>0</v>
      </c>
      <c r="BY116" s="2">
        <f t="shared" si="137"/>
        <v>0</v>
      </c>
      <c r="BZ116" s="2">
        <f t="shared" si="137"/>
        <v>0</v>
      </c>
      <c r="CA116" s="2">
        <f t="shared" si="137"/>
        <v>0</v>
      </c>
      <c r="CB116" s="2">
        <f t="shared" si="137"/>
        <v>0</v>
      </c>
      <c r="CC116" s="2">
        <f t="shared" si="137"/>
        <v>0</v>
      </c>
      <c r="CD116" s="2">
        <f t="shared" si="137"/>
        <v>0</v>
      </c>
    </row>
    <row r="117" spans="2:82" s="2" customFormat="1" x14ac:dyDescent="0.2">
      <c r="F117" s="2" t="s">
        <v>59</v>
      </c>
      <c r="G117" s="2">
        <f>O351</f>
        <v>1</v>
      </c>
      <c r="H117" s="2">
        <f t="shared" si="136"/>
        <v>0</v>
      </c>
      <c r="I117" s="2" t="str">
        <f t="shared" si="136"/>
        <v>emission_co2e_sf6_ippu_production_metals</v>
      </c>
      <c r="J117" s="2">
        <f t="shared" si="136"/>
        <v>0</v>
      </c>
      <c r="K117" s="2">
        <f t="shared" si="136"/>
        <v>0</v>
      </c>
      <c r="L117" s="2">
        <f t="shared" si="136"/>
        <v>0</v>
      </c>
      <c r="M117" s="2">
        <f t="shared" si="136"/>
        <v>0</v>
      </c>
      <c r="N117" s="2">
        <f t="shared" si="136"/>
        <v>0</v>
      </c>
      <c r="O117" s="2">
        <f t="shared" si="136"/>
        <v>0</v>
      </c>
      <c r="P117" s="2">
        <f t="shared" si="136"/>
        <v>0</v>
      </c>
      <c r="Q117" s="2">
        <f t="shared" si="136"/>
        <v>0</v>
      </c>
      <c r="R117" s="2">
        <f t="shared" si="136"/>
        <v>0</v>
      </c>
      <c r="S117" s="2">
        <f t="shared" si="136"/>
        <v>0</v>
      </c>
      <c r="T117" s="2">
        <f t="shared" si="136"/>
        <v>0</v>
      </c>
      <c r="U117" s="2">
        <f t="shared" si="136"/>
        <v>0</v>
      </c>
      <c r="V117" s="2">
        <f t="shared" si="136"/>
        <v>0</v>
      </c>
      <c r="W117" s="2">
        <f t="shared" si="136"/>
        <v>0</v>
      </c>
      <c r="X117" s="2">
        <f t="shared" si="136"/>
        <v>0</v>
      </c>
      <c r="Y117" s="2">
        <f t="shared" si="136"/>
        <v>0</v>
      </c>
      <c r="Z117" s="2">
        <f t="shared" si="136"/>
        <v>0</v>
      </c>
      <c r="AA117" s="2">
        <f t="shared" si="136"/>
        <v>0</v>
      </c>
      <c r="AB117" s="2">
        <f t="shared" si="136"/>
        <v>0</v>
      </c>
      <c r="AC117" s="2">
        <f t="shared" si="136"/>
        <v>0</v>
      </c>
      <c r="AD117" s="2">
        <f t="shared" si="136"/>
        <v>0</v>
      </c>
      <c r="AE117" s="2">
        <f t="shared" si="136"/>
        <v>0</v>
      </c>
      <c r="AF117" s="2">
        <f t="shared" si="136"/>
        <v>0</v>
      </c>
      <c r="AG117" s="2">
        <f t="shared" si="136"/>
        <v>0</v>
      </c>
      <c r="AH117" s="2">
        <f t="shared" si="136"/>
        <v>0</v>
      </c>
      <c r="AI117" s="2">
        <f t="shared" si="136"/>
        <v>0</v>
      </c>
      <c r="AJ117" s="2">
        <f t="shared" si="136"/>
        <v>0</v>
      </c>
      <c r="AK117" s="2">
        <f t="shared" si="136"/>
        <v>0</v>
      </c>
      <c r="AL117" s="2">
        <f t="shared" si="136"/>
        <v>0</v>
      </c>
      <c r="AM117" s="2">
        <f t="shared" si="136"/>
        <v>0</v>
      </c>
      <c r="AN117" s="2">
        <f t="shared" si="136"/>
        <v>0</v>
      </c>
      <c r="AO117" s="2">
        <f t="shared" si="136"/>
        <v>0</v>
      </c>
      <c r="AP117" s="2">
        <f t="shared" si="136"/>
        <v>0</v>
      </c>
      <c r="AQ117" s="2">
        <f t="shared" si="136"/>
        <v>0</v>
      </c>
      <c r="AR117" s="2">
        <f t="shared" si="136"/>
        <v>0</v>
      </c>
      <c r="AS117" s="2">
        <f t="shared" si="136"/>
        <v>0</v>
      </c>
      <c r="AT117" s="2">
        <f t="shared" si="136"/>
        <v>0</v>
      </c>
      <c r="AU117" s="2">
        <f t="shared" si="136"/>
        <v>0</v>
      </c>
      <c r="AV117" s="2">
        <f t="shared" si="136"/>
        <v>0</v>
      </c>
      <c r="AW117" s="2">
        <f t="shared" si="136"/>
        <v>0</v>
      </c>
      <c r="AX117" s="2">
        <f t="shared" si="136"/>
        <v>0</v>
      </c>
      <c r="AY117" s="2">
        <f t="shared" si="136"/>
        <v>0</v>
      </c>
      <c r="AZ117" s="2">
        <f t="shared" si="136"/>
        <v>0</v>
      </c>
      <c r="BA117" s="2">
        <f t="shared" si="136"/>
        <v>0</v>
      </c>
      <c r="BB117" s="2">
        <f t="shared" si="136"/>
        <v>0</v>
      </c>
      <c r="BC117" s="2">
        <f t="shared" si="136"/>
        <v>0</v>
      </c>
      <c r="BD117" s="2">
        <f t="shared" si="136"/>
        <v>0</v>
      </c>
      <c r="BE117" s="2">
        <f t="shared" si="136"/>
        <v>0</v>
      </c>
      <c r="BF117" s="2">
        <f t="shared" si="136"/>
        <v>0</v>
      </c>
      <c r="BG117" s="2">
        <f t="shared" si="136"/>
        <v>0</v>
      </c>
      <c r="BH117" s="2">
        <f t="shared" si="136"/>
        <v>0</v>
      </c>
      <c r="BI117" s="2">
        <f t="shared" si="136"/>
        <v>0</v>
      </c>
      <c r="BJ117" s="2">
        <f t="shared" si="136"/>
        <v>0</v>
      </c>
      <c r="BK117" s="2">
        <f t="shared" si="136"/>
        <v>0</v>
      </c>
      <c r="BL117" s="2">
        <f t="shared" si="136"/>
        <v>0</v>
      </c>
      <c r="BM117" s="2">
        <f t="shared" si="136"/>
        <v>0</v>
      </c>
      <c r="BN117" s="2">
        <f t="shared" si="136"/>
        <v>0</v>
      </c>
      <c r="BO117" s="2">
        <f t="shared" si="136"/>
        <v>0</v>
      </c>
      <c r="BP117" s="2">
        <f t="shared" si="136"/>
        <v>0</v>
      </c>
      <c r="BQ117" s="2">
        <f t="shared" si="136"/>
        <v>0</v>
      </c>
      <c r="BR117" s="2">
        <f t="shared" si="136"/>
        <v>0</v>
      </c>
      <c r="BS117" s="2">
        <f t="shared" ref="BS117:CD117" si="138">CA351</f>
        <v>0</v>
      </c>
      <c r="BT117" s="2">
        <f t="shared" si="138"/>
        <v>0</v>
      </c>
      <c r="BU117" s="2">
        <f t="shared" si="138"/>
        <v>0</v>
      </c>
      <c r="BV117" s="2">
        <f t="shared" si="138"/>
        <v>0</v>
      </c>
      <c r="BW117" s="2">
        <f t="shared" si="138"/>
        <v>0</v>
      </c>
      <c r="BX117" s="2">
        <f t="shared" si="138"/>
        <v>0</v>
      </c>
      <c r="BY117" s="2">
        <f t="shared" si="138"/>
        <v>0</v>
      </c>
      <c r="BZ117" s="2">
        <f t="shared" si="138"/>
        <v>0</v>
      </c>
      <c r="CA117" s="2">
        <f t="shared" si="138"/>
        <v>0</v>
      </c>
      <c r="CB117" s="2">
        <f t="shared" si="138"/>
        <v>0</v>
      </c>
      <c r="CC117" s="2">
        <f t="shared" si="138"/>
        <v>0</v>
      </c>
      <c r="CD117" s="2">
        <f t="shared" si="138"/>
        <v>0</v>
      </c>
    </row>
    <row r="118" spans="2:82" s="7" customFormat="1" x14ac:dyDescent="0.2">
      <c r="B118" s="7" t="s">
        <v>61</v>
      </c>
      <c r="G118" s="7">
        <f>SUM(G119:G121)</f>
        <v>3</v>
      </c>
      <c r="H118" s="7">
        <f t="shared" ref="H118:BS118" si="139">SUM(H119:H121)</f>
        <v>0</v>
      </c>
      <c r="I118" s="7">
        <f t="shared" si="139"/>
        <v>0</v>
      </c>
      <c r="J118" s="7">
        <f t="shared" si="139"/>
        <v>0</v>
      </c>
      <c r="K118" s="7">
        <f t="shared" si="139"/>
        <v>1E-3</v>
      </c>
      <c r="L118" s="7">
        <f t="shared" si="139"/>
        <v>1E-3</v>
      </c>
      <c r="M118" s="7">
        <f t="shared" si="139"/>
        <v>1E-3</v>
      </c>
      <c r="N118" s="7">
        <f t="shared" si="139"/>
        <v>1E-3</v>
      </c>
      <c r="O118" s="7">
        <f t="shared" si="139"/>
        <v>1E-3</v>
      </c>
      <c r="P118" s="7">
        <f t="shared" si="139"/>
        <v>1E-3</v>
      </c>
      <c r="Q118" s="7">
        <f t="shared" si="139"/>
        <v>2E-3</v>
      </c>
      <c r="R118" s="7">
        <f t="shared" si="139"/>
        <v>2E-3</v>
      </c>
      <c r="S118" s="7">
        <f t="shared" si="139"/>
        <v>2E-3</v>
      </c>
      <c r="T118" s="7">
        <f t="shared" si="139"/>
        <v>3.0000000000000001E-3</v>
      </c>
      <c r="U118" s="7">
        <f t="shared" si="139"/>
        <v>3.0000000000000001E-3</v>
      </c>
      <c r="V118" s="7">
        <f t="shared" si="139"/>
        <v>3.0000000000000001E-3</v>
      </c>
      <c r="W118" s="7">
        <f t="shared" si="139"/>
        <v>4.0000000000000001E-3</v>
      </c>
      <c r="X118" s="7">
        <f t="shared" si="139"/>
        <v>4.0000000000000001E-3</v>
      </c>
      <c r="Y118" s="7">
        <f t="shared" si="139"/>
        <v>4.0000000000000001E-3</v>
      </c>
      <c r="Z118" s="7">
        <f t="shared" si="139"/>
        <v>5.0000000000000001E-3</v>
      </c>
      <c r="AA118" s="7">
        <f t="shared" si="139"/>
        <v>5.0000000000000001E-3</v>
      </c>
      <c r="AB118" s="7">
        <f t="shared" si="139"/>
        <v>5.0000000000000001E-3</v>
      </c>
      <c r="AC118" s="7">
        <f t="shared" si="139"/>
        <v>5.0000000000000001E-3</v>
      </c>
      <c r="AD118" s="7">
        <f t="shared" si="139"/>
        <v>6.0000000000000001E-3</v>
      </c>
      <c r="AE118" s="7">
        <f t="shared" si="139"/>
        <v>8.9999999999999993E-3</v>
      </c>
      <c r="AF118" s="7">
        <f t="shared" si="139"/>
        <v>0.01</v>
      </c>
      <c r="AG118" s="7">
        <f t="shared" si="139"/>
        <v>1.2E-2</v>
      </c>
      <c r="AH118" s="7">
        <f t="shared" si="139"/>
        <v>1.4E-2</v>
      </c>
      <c r="AI118" s="7">
        <f t="shared" si="139"/>
        <v>1.4999999999999999E-2</v>
      </c>
      <c r="AJ118" s="7">
        <f t="shared" si="139"/>
        <v>6.7856888175851999</v>
      </c>
      <c r="AK118" s="7">
        <f t="shared" si="139"/>
        <v>7.0257694753187003</v>
      </c>
      <c r="AL118" s="7">
        <f t="shared" si="139"/>
        <v>7.3476958118248996</v>
      </c>
      <c r="AM118" s="7">
        <f t="shared" si="139"/>
        <v>7.7401391625284006</v>
      </c>
      <c r="AN118" s="7">
        <f t="shared" si="139"/>
        <v>8.2122876514425993</v>
      </c>
      <c r="AO118" s="7">
        <f t="shared" si="139"/>
        <v>8.7542986364379001</v>
      </c>
      <c r="AP118" s="7">
        <f t="shared" si="139"/>
        <v>9.3977395862160993</v>
      </c>
      <c r="AQ118" s="7">
        <f t="shared" si="139"/>
        <v>10.248235018768698</v>
      </c>
      <c r="AR118" s="7">
        <f t="shared" si="139"/>
        <v>11.2546116976118</v>
      </c>
      <c r="AS118" s="7">
        <f t="shared" si="139"/>
        <v>12.4194640083147</v>
      </c>
      <c r="AT118" s="7">
        <f t="shared" si="139"/>
        <v>13.677555712356799</v>
      </c>
      <c r="AU118" s="7">
        <f t="shared" si="139"/>
        <v>14.815265000183</v>
      </c>
      <c r="AV118" s="7">
        <f t="shared" si="139"/>
        <v>16.0401137807503</v>
      </c>
      <c r="AW118" s="7">
        <f t="shared" si="139"/>
        <v>17.358110919356001</v>
      </c>
      <c r="AX118" s="7">
        <f t="shared" si="139"/>
        <v>18.775623713597998</v>
      </c>
      <c r="AY118" s="7">
        <f t="shared" si="139"/>
        <v>20.299774814302499</v>
      </c>
      <c r="AZ118" s="7">
        <f t="shared" si="139"/>
        <v>21.937791966772899</v>
      </c>
      <c r="BA118" s="7">
        <f t="shared" si="139"/>
        <v>23.697327231146296</v>
      </c>
      <c r="BB118" s="7">
        <f t="shared" si="139"/>
        <v>25.586476765902496</v>
      </c>
      <c r="BC118" s="7">
        <f t="shared" si="139"/>
        <v>27.613801148398704</v>
      </c>
      <c r="BD118" s="7">
        <f t="shared" si="139"/>
        <v>29.643041900809699</v>
      </c>
      <c r="BE118" s="7">
        <f t="shared" si="139"/>
        <v>31.651023748845702</v>
      </c>
      <c r="BF118" s="7">
        <f t="shared" si="139"/>
        <v>33.613101715845794</v>
      </c>
      <c r="BG118" s="7">
        <f t="shared" si="139"/>
        <v>35.503611284219794</v>
      </c>
      <c r="BH118" s="7">
        <f t="shared" si="139"/>
        <v>37.296383525385892</v>
      </c>
      <c r="BI118" s="7">
        <f t="shared" si="139"/>
        <v>38.965312580915302</v>
      </c>
      <c r="BJ118" s="7">
        <f t="shared" si="139"/>
        <v>40.4849597715709</v>
      </c>
      <c r="BK118" s="7">
        <f t="shared" si="139"/>
        <v>41.986951779096202</v>
      </c>
      <c r="BL118" s="7">
        <f t="shared" si="139"/>
        <v>43.464892481720398</v>
      </c>
      <c r="BM118" s="7">
        <f t="shared" si="139"/>
        <v>44.912273401361801</v>
      </c>
      <c r="BN118" s="7">
        <f t="shared" si="139"/>
        <v>46.322518786164395</v>
      </c>
      <c r="BO118" s="7">
        <f t="shared" si="139"/>
        <v>47.689033090356197</v>
      </c>
      <c r="BP118" s="7">
        <f t="shared" si="139"/>
        <v>49.005250403650003</v>
      </c>
      <c r="BQ118" s="7">
        <f t="shared" si="139"/>
        <v>50.264685339023998</v>
      </c>
      <c r="BR118" s="7">
        <f t="shared" si="139"/>
        <v>51.4609848500927</v>
      </c>
      <c r="BS118" s="7">
        <f t="shared" si="139"/>
        <v>52.587980418309797</v>
      </c>
      <c r="BT118" s="7">
        <f t="shared" ref="BT118:CD118" si="140">SUM(BT119:BT121)</f>
        <v>53.639740026675895</v>
      </c>
      <c r="BU118" s="7">
        <f t="shared" si="140"/>
        <v>54.712534827209502</v>
      </c>
      <c r="BV118" s="7">
        <f t="shared" si="140"/>
        <v>55.806785523753696</v>
      </c>
      <c r="BW118" s="7">
        <f t="shared" si="140"/>
        <v>56.922921234228795</v>
      </c>
      <c r="BX118" s="7">
        <f t="shared" si="140"/>
        <v>58.061379658913303</v>
      </c>
      <c r="BY118" s="7">
        <f t="shared" si="140"/>
        <v>59.222607252091599</v>
      </c>
      <c r="BZ118" s="7">
        <f t="shared" si="140"/>
        <v>60.407059397133402</v>
      </c>
      <c r="CA118" s="7">
        <f t="shared" si="140"/>
        <v>61.615200585076103</v>
      </c>
      <c r="CB118" s="7">
        <f t="shared" si="140"/>
        <v>62.847504596777696</v>
      </c>
      <c r="CC118" s="7">
        <f t="shared" si="140"/>
        <v>64.104454688713204</v>
      </c>
      <c r="CD118" s="7">
        <f t="shared" si="140"/>
        <v>65.386543782487593</v>
      </c>
    </row>
    <row r="119" spans="2:82" s="2" customFormat="1" x14ac:dyDescent="0.2">
      <c r="C119" s="2" t="s">
        <v>62</v>
      </c>
      <c r="F119" s="2" t="s">
        <v>7</v>
      </c>
      <c r="G119" s="2">
        <f t="shared" ref="G119:P121" si="141">O352</f>
        <v>1</v>
      </c>
      <c r="H119" s="2">
        <f t="shared" si="141"/>
        <v>0</v>
      </c>
      <c r="I119" s="2" t="str">
        <f t="shared" si="141"/>
        <v>emission_co2e_co2_ippu_production_product_use_lubricants|emission_co2e_co2_ippu_product_use_product_use_lubricants</v>
      </c>
      <c r="J119" s="2">
        <f t="shared" si="141"/>
        <v>0</v>
      </c>
      <c r="K119" s="2">
        <f t="shared" si="141"/>
        <v>1E-3</v>
      </c>
      <c r="L119" s="2">
        <f t="shared" si="141"/>
        <v>1E-3</v>
      </c>
      <c r="M119" s="2">
        <f t="shared" si="141"/>
        <v>1E-3</v>
      </c>
      <c r="N119" s="2">
        <f t="shared" si="141"/>
        <v>1E-3</v>
      </c>
      <c r="O119" s="2">
        <f t="shared" si="141"/>
        <v>1E-3</v>
      </c>
      <c r="P119" s="2">
        <f t="shared" si="141"/>
        <v>1E-3</v>
      </c>
      <c r="Q119" s="2">
        <f t="shared" ref="Q119:Z121" si="142">Y352</f>
        <v>2E-3</v>
      </c>
      <c r="R119" s="2">
        <f t="shared" si="142"/>
        <v>2E-3</v>
      </c>
      <c r="S119" s="2">
        <f t="shared" si="142"/>
        <v>2E-3</v>
      </c>
      <c r="T119" s="2">
        <f t="shared" si="142"/>
        <v>3.0000000000000001E-3</v>
      </c>
      <c r="U119" s="2">
        <f t="shared" si="142"/>
        <v>3.0000000000000001E-3</v>
      </c>
      <c r="V119" s="2">
        <f t="shared" si="142"/>
        <v>3.0000000000000001E-3</v>
      </c>
      <c r="W119" s="2">
        <f t="shared" si="142"/>
        <v>4.0000000000000001E-3</v>
      </c>
      <c r="X119" s="2">
        <f t="shared" si="142"/>
        <v>4.0000000000000001E-3</v>
      </c>
      <c r="Y119" s="2">
        <f t="shared" si="142"/>
        <v>4.0000000000000001E-3</v>
      </c>
      <c r="Z119" s="2">
        <f t="shared" si="142"/>
        <v>5.0000000000000001E-3</v>
      </c>
      <c r="AA119" s="2">
        <f t="shared" ref="AA119:AJ121" si="143">AI352</f>
        <v>5.0000000000000001E-3</v>
      </c>
      <c r="AB119" s="2">
        <f t="shared" si="143"/>
        <v>5.0000000000000001E-3</v>
      </c>
      <c r="AC119" s="2">
        <f t="shared" si="143"/>
        <v>5.0000000000000001E-3</v>
      </c>
      <c r="AD119" s="2">
        <f t="shared" si="143"/>
        <v>6.0000000000000001E-3</v>
      </c>
      <c r="AE119" s="2">
        <f t="shared" si="143"/>
        <v>8.9999999999999993E-3</v>
      </c>
      <c r="AF119" s="2">
        <f t="shared" si="143"/>
        <v>0.01</v>
      </c>
      <c r="AG119" s="2">
        <f t="shared" si="143"/>
        <v>1.2E-2</v>
      </c>
      <c r="AH119" s="2">
        <f t="shared" si="143"/>
        <v>1.4E-2</v>
      </c>
      <c r="AI119" s="2">
        <f t="shared" si="143"/>
        <v>1.4999999999999999E-2</v>
      </c>
      <c r="AJ119" s="2">
        <f t="shared" si="143"/>
        <v>3.4914929394632002</v>
      </c>
      <c r="AK119" s="2">
        <f t="shared" ref="AK119:AT121" si="144">AS352</f>
        <v>3.6150234967746</v>
      </c>
      <c r="AL119" s="2">
        <f t="shared" si="144"/>
        <v>3.7806667440784998</v>
      </c>
      <c r="AM119" s="2">
        <f t="shared" si="144"/>
        <v>3.9825936559890001</v>
      </c>
      <c r="AN119" s="2">
        <f t="shared" si="144"/>
        <v>4.2255318690042998</v>
      </c>
      <c r="AO119" s="2">
        <f t="shared" si="144"/>
        <v>4.5044169723585998</v>
      </c>
      <c r="AP119" s="2">
        <f t="shared" si="144"/>
        <v>4.8354916198270006</v>
      </c>
      <c r="AQ119" s="2">
        <f t="shared" si="144"/>
        <v>5.2731036114213996</v>
      </c>
      <c r="AR119" s="2">
        <f t="shared" si="144"/>
        <v>5.7909223860629</v>
      </c>
      <c r="AS119" s="2">
        <f t="shared" si="144"/>
        <v>6.3902828530204996</v>
      </c>
      <c r="AT119" s="2">
        <f t="shared" si="144"/>
        <v>7.0376185060314</v>
      </c>
      <c r="AU119" s="2">
        <f t="shared" ref="AU119:BD121" si="145">BC352</f>
        <v>7.6230128635375003</v>
      </c>
      <c r="AV119" s="2">
        <f t="shared" si="145"/>
        <v>8.2532437780730987</v>
      </c>
      <c r="AW119" s="2">
        <f t="shared" si="145"/>
        <v>8.9314030375647988</v>
      </c>
      <c r="AX119" s="2">
        <f t="shared" si="145"/>
        <v>9.6607668568824003</v>
      </c>
      <c r="AY119" s="2">
        <f t="shared" si="145"/>
        <v>10.4450001086333</v>
      </c>
      <c r="AZ119" s="2">
        <f t="shared" si="145"/>
        <v>11.287821740499</v>
      </c>
      <c r="BA119" s="2">
        <f t="shared" si="145"/>
        <v>12.1931690261534</v>
      </c>
      <c r="BB119" s="2">
        <f t="shared" si="145"/>
        <v>13.1652077446248</v>
      </c>
      <c r="BC119" s="2">
        <f t="shared" si="145"/>
        <v>14.2083426359778</v>
      </c>
      <c r="BD119" s="2">
        <f t="shared" si="145"/>
        <v>15.252463571961901</v>
      </c>
      <c r="BE119" s="2">
        <f t="shared" ref="BE119:BN121" si="146">BM352</f>
        <v>16.285645999487802</v>
      </c>
      <c r="BF119" s="2">
        <f t="shared" si="146"/>
        <v>17.295209148140199</v>
      </c>
      <c r="BG119" s="2">
        <f t="shared" si="146"/>
        <v>18.2679476552259</v>
      </c>
      <c r="BH119" s="2">
        <f t="shared" si="146"/>
        <v>19.190396619563199</v>
      </c>
      <c r="BI119" s="2">
        <f t="shared" si="146"/>
        <v>20.049123591944301</v>
      </c>
      <c r="BJ119" s="2">
        <f t="shared" si="146"/>
        <v>20.831039412030101</v>
      </c>
      <c r="BK119" s="2">
        <f t="shared" si="146"/>
        <v>21.603870974216498</v>
      </c>
      <c r="BL119" s="2">
        <f t="shared" si="146"/>
        <v>22.364327232508799</v>
      </c>
      <c r="BM119" s="2">
        <f t="shared" si="146"/>
        <v>23.109059329351499</v>
      </c>
      <c r="BN119" s="2">
        <f t="shared" si="146"/>
        <v>23.834683792292999</v>
      </c>
      <c r="BO119" s="2">
        <f t="shared" ref="BO119:BX121" si="147">BW352</f>
        <v>24.5378069641657</v>
      </c>
      <c r="BP119" s="2">
        <f t="shared" si="147"/>
        <v>25.2150504363766</v>
      </c>
      <c r="BQ119" s="2">
        <f t="shared" si="147"/>
        <v>25.8630772325916</v>
      </c>
      <c r="BR119" s="2">
        <f t="shared" si="147"/>
        <v>26.478618470727302</v>
      </c>
      <c r="BS119" s="2">
        <f t="shared" si="147"/>
        <v>27.0585002152363</v>
      </c>
      <c r="BT119" s="2">
        <f t="shared" ref="BT119:CD121" si="148">CB352</f>
        <v>27.599670219540901</v>
      </c>
      <c r="BU119" s="2">
        <f t="shared" si="148"/>
        <v>28.1516636239317</v>
      </c>
      <c r="BV119" s="2">
        <f t="shared" si="148"/>
        <v>28.714696896410398</v>
      </c>
      <c r="BW119" s="2">
        <f t="shared" si="148"/>
        <v>29.288990834338598</v>
      </c>
      <c r="BX119" s="2">
        <f t="shared" si="148"/>
        <v>29.874770651025301</v>
      </c>
      <c r="BY119" s="2">
        <f t="shared" si="148"/>
        <v>30.472266064045801</v>
      </c>
      <c r="BZ119" s="2">
        <f t="shared" si="148"/>
        <v>31.081711385326798</v>
      </c>
      <c r="CA119" s="2">
        <f t="shared" si="148"/>
        <v>31.703345613033299</v>
      </c>
      <c r="CB119" s="2">
        <f t="shared" si="148"/>
        <v>32.337412525293999</v>
      </c>
      <c r="CC119" s="2">
        <f t="shared" si="148"/>
        <v>32.984160775799801</v>
      </c>
      <c r="CD119" s="2">
        <f t="shared" si="148"/>
        <v>33.643843991315897</v>
      </c>
    </row>
    <row r="120" spans="2:82" s="2" customFormat="1" x14ac:dyDescent="0.2">
      <c r="C120" s="2" t="s">
        <v>63</v>
      </c>
      <c r="F120" s="2" t="s">
        <v>7</v>
      </c>
      <c r="G120" s="2">
        <f t="shared" si="141"/>
        <v>1</v>
      </c>
      <c r="H120" s="2">
        <f t="shared" si="141"/>
        <v>0</v>
      </c>
      <c r="I120" s="2" t="str">
        <f t="shared" si="141"/>
        <v>emission_co2e_co2_ippu_production_product_use_paraffin_wax|emission_co2e_co2_ippu_product_use_product_use_paraffin_wax</v>
      </c>
      <c r="J120" s="2">
        <f t="shared" si="141"/>
        <v>0</v>
      </c>
      <c r="K120" s="2">
        <f t="shared" si="141"/>
        <v>0</v>
      </c>
      <c r="L120" s="2">
        <f t="shared" si="141"/>
        <v>0</v>
      </c>
      <c r="M120" s="2">
        <f t="shared" si="141"/>
        <v>0</v>
      </c>
      <c r="N120" s="2">
        <f t="shared" si="141"/>
        <v>0</v>
      </c>
      <c r="O120" s="2">
        <f t="shared" si="141"/>
        <v>0</v>
      </c>
      <c r="P120" s="2">
        <f t="shared" si="141"/>
        <v>0</v>
      </c>
      <c r="Q120" s="2">
        <f t="shared" si="142"/>
        <v>0</v>
      </c>
      <c r="R120" s="2">
        <f t="shared" si="142"/>
        <v>0</v>
      </c>
      <c r="S120" s="2">
        <f t="shared" si="142"/>
        <v>0</v>
      </c>
      <c r="T120" s="2">
        <f t="shared" si="142"/>
        <v>0</v>
      </c>
      <c r="U120" s="2">
        <f t="shared" si="142"/>
        <v>0</v>
      </c>
      <c r="V120" s="2">
        <f t="shared" si="142"/>
        <v>0</v>
      </c>
      <c r="W120" s="2">
        <f t="shared" si="142"/>
        <v>0</v>
      </c>
      <c r="X120" s="2">
        <f t="shared" si="142"/>
        <v>0</v>
      </c>
      <c r="Y120" s="2">
        <f t="shared" si="142"/>
        <v>0</v>
      </c>
      <c r="Z120" s="2">
        <f t="shared" si="142"/>
        <v>0</v>
      </c>
      <c r="AA120" s="2">
        <f t="shared" si="143"/>
        <v>0</v>
      </c>
      <c r="AB120" s="2">
        <f t="shared" si="143"/>
        <v>0</v>
      </c>
      <c r="AC120" s="2">
        <f t="shared" si="143"/>
        <v>0</v>
      </c>
      <c r="AD120" s="2">
        <f t="shared" si="143"/>
        <v>0</v>
      </c>
      <c r="AE120" s="2">
        <f t="shared" si="143"/>
        <v>0</v>
      </c>
      <c r="AF120" s="2">
        <f t="shared" si="143"/>
        <v>0</v>
      </c>
      <c r="AG120" s="2">
        <f t="shared" si="143"/>
        <v>0</v>
      </c>
      <c r="AH120" s="2">
        <f t="shared" si="143"/>
        <v>0</v>
      </c>
      <c r="AI120" s="2">
        <f t="shared" si="143"/>
        <v>0</v>
      </c>
      <c r="AJ120" s="2">
        <f t="shared" si="143"/>
        <v>3.0725137867275998</v>
      </c>
      <c r="AK120" s="2">
        <f t="shared" si="144"/>
        <v>3.1812206771615998</v>
      </c>
      <c r="AL120" s="2">
        <f t="shared" si="144"/>
        <v>3.3269867347891</v>
      </c>
      <c r="AM120" s="2">
        <f t="shared" si="144"/>
        <v>3.5046824172702999</v>
      </c>
      <c r="AN120" s="2">
        <f t="shared" si="144"/>
        <v>3.7184680447237999</v>
      </c>
      <c r="AO120" s="2">
        <f t="shared" si="144"/>
        <v>3.9638869356756001</v>
      </c>
      <c r="AP120" s="2">
        <f t="shared" si="144"/>
        <v>4.2552326254477997</v>
      </c>
      <c r="AQ120" s="2">
        <f t="shared" si="144"/>
        <v>4.6403311780507996</v>
      </c>
      <c r="AR120" s="2">
        <f t="shared" si="144"/>
        <v>5.0960116997354001</v>
      </c>
      <c r="AS120" s="2">
        <f t="shared" si="144"/>
        <v>5.6234489106580003</v>
      </c>
      <c r="AT120" s="2">
        <f t="shared" si="144"/>
        <v>6.1931042853075997</v>
      </c>
      <c r="AU120" s="2">
        <f t="shared" si="145"/>
        <v>6.7082513199129998</v>
      </c>
      <c r="AV120" s="2">
        <f t="shared" si="145"/>
        <v>7.2628545247043999</v>
      </c>
      <c r="AW120" s="2">
        <f t="shared" si="145"/>
        <v>7.8596346730570001</v>
      </c>
      <c r="AX120" s="2">
        <f t="shared" si="145"/>
        <v>8.5014748340564985</v>
      </c>
      <c r="AY120" s="2">
        <f t="shared" si="145"/>
        <v>9.1916000955973001</v>
      </c>
      <c r="AZ120" s="2">
        <f t="shared" si="145"/>
        <v>9.9332831316391008</v>
      </c>
      <c r="BA120" s="2">
        <f t="shared" si="145"/>
        <v>10.729988743014999</v>
      </c>
      <c r="BB120" s="2">
        <f t="shared" si="145"/>
        <v>11.585382815269799</v>
      </c>
      <c r="BC120" s="2">
        <f t="shared" si="145"/>
        <v>12.5033415196605</v>
      </c>
      <c r="BD120" s="2">
        <f t="shared" si="145"/>
        <v>13.4221679433265</v>
      </c>
      <c r="BE120" s="2">
        <f t="shared" si="146"/>
        <v>14.3313684795492</v>
      </c>
      <c r="BF120" s="2">
        <f t="shared" si="146"/>
        <v>15.219784050363399</v>
      </c>
      <c r="BG120" s="2">
        <f t="shared" si="146"/>
        <v>16.0757939365987</v>
      </c>
      <c r="BH120" s="2">
        <f t="shared" si="146"/>
        <v>16.887549025215598</v>
      </c>
      <c r="BI120" s="2">
        <f t="shared" si="146"/>
        <v>17.6432287609111</v>
      </c>
      <c r="BJ120" s="2">
        <f t="shared" si="146"/>
        <v>18.331314682586601</v>
      </c>
      <c r="BK120" s="2">
        <f t="shared" si="146"/>
        <v>19.0114064573104</v>
      </c>
      <c r="BL120" s="2">
        <f t="shared" si="146"/>
        <v>19.680607964607901</v>
      </c>
      <c r="BM120" s="2">
        <f t="shared" si="146"/>
        <v>20.335972209829301</v>
      </c>
      <c r="BN120" s="2">
        <f t="shared" si="146"/>
        <v>20.974521737217898</v>
      </c>
      <c r="BO120" s="2">
        <f t="shared" si="147"/>
        <v>21.593270128465701</v>
      </c>
      <c r="BP120" s="2">
        <f t="shared" si="147"/>
        <v>22.189244384011399</v>
      </c>
      <c r="BQ120" s="2">
        <f t="shared" si="147"/>
        <v>22.759507964680601</v>
      </c>
      <c r="BR120" s="2">
        <f t="shared" si="147"/>
        <v>23.301184254239899</v>
      </c>
      <c r="BS120" s="2">
        <f t="shared" si="147"/>
        <v>23.811480189407799</v>
      </c>
      <c r="BT120" s="2">
        <f t="shared" si="148"/>
        <v>24.287709793195901</v>
      </c>
      <c r="BU120" s="2">
        <f t="shared" si="148"/>
        <v>24.773463989060001</v>
      </c>
      <c r="BV120" s="2">
        <f t="shared" si="148"/>
        <v>25.268933268841099</v>
      </c>
      <c r="BW120" s="2">
        <f t="shared" si="148"/>
        <v>25.774311934218002</v>
      </c>
      <c r="BX120" s="2">
        <f t="shared" si="148"/>
        <v>26.289798172902302</v>
      </c>
      <c r="BY120" s="2">
        <f t="shared" si="148"/>
        <v>26.815594136360399</v>
      </c>
      <c r="BZ120" s="2">
        <f t="shared" si="148"/>
        <v>27.351906019087501</v>
      </c>
      <c r="CA120" s="2">
        <f t="shared" si="148"/>
        <v>27.8989441394693</v>
      </c>
      <c r="CB120" s="2">
        <f t="shared" si="148"/>
        <v>28.4569230222587</v>
      </c>
      <c r="CC120" s="2">
        <f t="shared" si="148"/>
        <v>29.026061482703899</v>
      </c>
      <c r="CD120" s="2">
        <f t="shared" si="148"/>
        <v>29.606582712358001</v>
      </c>
    </row>
    <row r="121" spans="2:82" s="2" customFormat="1" x14ac:dyDescent="0.2">
      <c r="C121" s="2" t="s">
        <v>64</v>
      </c>
      <c r="F121" s="2" t="s">
        <v>7</v>
      </c>
      <c r="G121" s="2">
        <f t="shared" si="141"/>
        <v>1</v>
      </c>
      <c r="H121" s="2">
        <f t="shared" si="141"/>
        <v>0</v>
      </c>
      <c r="I121" s="2" t="str">
        <f t="shared" si="141"/>
        <v>emission_co2e_co2_ippu_product_use_product_use_other</v>
      </c>
      <c r="J121" s="2">
        <f t="shared" si="141"/>
        <v>0</v>
      </c>
      <c r="K121" s="2">
        <f t="shared" si="141"/>
        <v>0</v>
      </c>
      <c r="L121" s="2">
        <f t="shared" si="141"/>
        <v>0</v>
      </c>
      <c r="M121" s="2">
        <f t="shared" si="141"/>
        <v>0</v>
      </c>
      <c r="N121" s="2">
        <f t="shared" si="141"/>
        <v>0</v>
      </c>
      <c r="O121" s="2">
        <f t="shared" si="141"/>
        <v>0</v>
      </c>
      <c r="P121" s="2">
        <f t="shared" si="141"/>
        <v>0</v>
      </c>
      <c r="Q121" s="2">
        <f t="shared" si="142"/>
        <v>0</v>
      </c>
      <c r="R121" s="2">
        <f t="shared" si="142"/>
        <v>0</v>
      </c>
      <c r="S121" s="2">
        <f t="shared" si="142"/>
        <v>0</v>
      </c>
      <c r="T121" s="2">
        <f t="shared" si="142"/>
        <v>0</v>
      </c>
      <c r="U121" s="2">
        <f t="shared" si="142"/>
        <v>0</v>
      </c>
      <c r="V121" s="2">
        <f t="shared" si="142"/>
        <v>0</v>
      </c>
      <c r="W121" s="2">
        <f t="shared" si="142"/>
        <v>0</v>
      </c>
      <c r="X121" s="2">
        <f t="shared" si="142"/>
        <v>0</v>
      </c>
      <c r="Y121" s="2">
        <f t="shared" si="142"/>
        <v>0</v>
      </c>
      <c r="Z121" s="2">
        <f t="shared" si="142"/>
        <v>0</v>
      </c>
      <c r="AA121" s="2">
        <f t="shared" si="143"/>
        <v>0</v>
      </c>
      <c r="AB121" s="2">
        <f t="shared" si="143"/>
        <v>0</v>
      </c>
      <c r="AC121" s="2">
        <f t="shared" si="143"/>
        <v>0</v>
      </c>
      <c r="AD121" s="2">
        <f t="shared" si="143"/>
        <v>0</v>
      </c>
      <c r="AE121" s="2">
        <f t="shared" si="143"/>
        <v>0</v>
      </c>
      <c r="AF121" s="2">
        <f t="shared" si="143"/>
        <v>0</v>
      </c>
      <c r="AG121" s="2">
        <f t="shared" si="143"/>
        <v>0</v>
      </c>
      <c r="AH121" s="2">
        <f t="shared" si="143"/>
        <v>0</v>
      </c>
      <c r="AI121" s="2">
        <f t="shared" si="143"/>
        <v>0</v>
      </c>
      <c r="AJ121" s="2">
        <f t="shared" si="143"/>
        <v>0.22168209139440001</v>
      </c>
      <c r="AK121" s="2">
        <f t="shared" si="144"/>
        <v>0.22952530138249999</v>
      </c>
      <c r="AL121" s="2">
        <f t="shared" si="144"/>
        <v>0.24004233295729999</v>
      </c>
      <c r="AM121" s="2">
        <f t="shared" si="144"/>
        <v>0.25286308926910001</v>
      </c>
      <c r="AN121" s="2">
        <f t="shared" si="144"/>
        <v>0.26828773771449999</v>
      </c>
      <c r="AO121" s="2">
        <f t="shared" si="144"/>
        <v>0.28599472840369999</v>
      </c>
      <c r="AP121" s="2">
        <f t="shared" si="144"/>
        <v>0.30701534094130001</v>
      </c>
      <c r="AQ121" s="2">
        <f t="shared" si="144"/>
        <v>0.3348002292965</v>
      </c>
      <c r="AR121" s="2">
        <f t="shared" si="144"/>
        <v>0.3676776118135</v>
      </c>
      <c r="AS121" s="2">
        <f t="shared" si="144"/>
        <v>0.4057322446362</v>
      </c>
      <c r="AT121" s="2">
        <f t="shared" si="144"/>
        <v>0.44683292101779998</v>
      </c>
      <c r="AU121" s="2">
        <f t="shared" si="145"/>
        <v>0.48400081673250001</v>
      </c>
      <c r="AV121" s="2">
        <f t="shared" si="145"/>
        <v>0.52401547797280001</v>
      </c>
      <c r="AW121" s="2">
        <f t="shared" si="145"/>
        <v>0.56707320873420008</v>
      </c>
      <c r="AX121" s="2">
        <f t="shared" si="145"/>
        <v>0.61338202265909991</v>
      </c>
      <c r="AY121" s="2">
        <f t="shared" si="145"/>
        <v>0.66317461007190004</v>
      </c>
      <c r="AZ121" s="2">
        <f t="shared" si="145"/>
        <v>0.71668709463480007</v>
      </c>
      <c r="BA121" s="2">
        <f t="shared" si="145"/>
        <v>0.77416946197789993</v>
      </c>
      <c r="BB121" s="2">
        <f t="shared" si="145"/>
        <v>0.83588620600789998</v>
      </c>
      <c r="BC121" s="2">
        <f t="shared" si="145"/>
        <v>0.90211699276040003</v>
      </c>
      <c r="BD121" s="2">
        <f t="shared" si="145"/>
        <v>0.96841038552129999</v>
      </c>
      <c r="BE121" s="2">
        <f t="shared" si="146"/>
        <v>1.0340092698087</v>
      </c>
      <c r="BF121" s="2">
        <f t="shared" si="146"/>
        <v>1.0981085173422001</v>
      </c>
      <c r="BG121" s="2">
        <f t="shared" si="146"/>
        <v>1.1598696923952001</v>
      </c>
      <c r="BH121" s="2">
        <f t="shared" si="146"/>
        <v>1.2184378806070999</v>
      </c>
      <c r="BI121" s="2">
        <f t="shared" si="146"/>
        <v>1.2729602280598999</v>
      </c>
      <c r="BJ121" s="2">
        <f t="shared" si="146"/>
        <v>1.3226056769542001</v>
      </c>
      <c r="BK121" s="2">
        <f t="shared" si="146"/>
        <v>1.3716743475693001</v>
      </c>
      <c r="BL121" s="2">
        <f t="shared" si="146"/>
        <v>1.4199572846037001</v>
      </c>
      <c r="BM121" s="2">
        <f t="shared" si="146"/>
        <v>1.4672418621809999</v>
      </c>
      <c r="BN121" s="2">
        <f t="shared" si="146"/>
        <v>1.5133132566534999</v>
      </c>
      <c r="BO121" s="2">
        <f t="shared" si="147"/>
        <v>1.5579559977248001</v>
      </c>
      <c r="BP121" s="2">
        <f t="shared" si="147"/>
        <v>1.6009555832619999</v>
      </c>
      <c r="BQ121" s="2">
        <f t="shared" si="147"/>
        <v>1.6421001417518</v>
      </c>
      <c r="BR121" s="2">
        <f t="shared" si="147"/>
        <v>1.6811821251254999</v>
      </c>
      <c r="BS121" s="2">
        <f t="shared" si="147"/>
        <v>1.7180000136657001</v>
      </c>
      <c r="BT121" s="2">
        <f t="shared" si="148"/>
        <v>1.7523600139391</v>
      </c>
      <c r="BU121" s="2">
        <f t="shared" si="148"/>
        <v>1.7874072142177999</v>
      </c>
      <c r="BV121" s="2">
        <f t="shared" si="148"/>
        <v>1.8231553585022</v>
      </c>
      <c r="BW121" s="2">
        <f t="shared" si="148"/>
        <v>1.8596184656721999</v>
      </c>
      <c r="BX121" s="2">
        <f t="shared" si="148"/>
        <v>1.8968108349857</v>
      </c>
      <c r="BY121" s="2">
        <f t="shared" si="148"/>
        <v>1.9347470516854</v>
      </c>
      <c r="BZ121" s="2">
        <f t="shared" si="148"/>
        <v>1.9734419927191</v>
      </c>
      <c r="CA121" s="2">
        <f t="shared" si="148"/>
        <v>2.0129108325735001</v>
      </c>
      <c r="CB121" s="2">
        <f t="shared" si="148"/>
        <v>2.0531690492250001</v>
      </c>
      <c r="CC121" s="2">
        <f t="shared" si="148"/>
        <v>2.0942324302094999</v>
      </c>
      <c r="CD121" s="2">
        <f t="shared" si="148"/>
        <v>2.1361170788137001</v>
      </c>
    </row>
    <row r="122" spans="2:82" s="7" customFormat="1" x14ac:dyDescent="0.2">
      <c r="B122" s="7" t="s">
        <v>65</v>
      </c>
      <c r="G122" s="7">
        <f>SUM(G123:G126)</f>
        <v>4</v>
      </c>
      <c r="H122" s="7">
        <f t="shared" ref="H122:BS122" si="149">SUM(H123:H126)</f>
        <v>0</v>
      </c>
      <c r="I122" s="7">
        <f t="shared" si="149"/>
        <v>0</v>
      </c>
      <c r="J122" s="7">
        <f t="shared" si="149"/>
        <v>0</v>
      </c>
      <c r="K122" s="7">
        <f t="shared" si="149"/>
        <v>0</v>
      </c>
      <c r="L122" s="7">
        <f t="shared" si="149"/>
        <v>0</v>
      </c>
      <c r="M122" s="7">
        <f t="shared" si="149"/>
        <v>0</v>
      </c>
      <c r="N122" s="7">
        <f t="shared" si="149"/>
        <v>0</v>
      </c>
      <c r="O122" s="7">
        <f t="shared" si="149"/>
        <v>0</v>
      </c>
      <c r="P122" s="7">
        <f t="shared" si="149"/>
        <v>0</v>
      </c>
      <c r="Q122" s="7">
        <f t="shared" si="149"/>
        <v>0</v>
      </c>
      <c r="R122" s="7">
        <f t="shared" si="149"/>
        <v>0</v>
      </c>
      <c r="S122" s="7">
        <f t="shared" si="149"/>
        <v>0</v>
      </c>
      <c r="T122" s="7">
        <f t="shared" si="149"/>
        <v>0</v>
      </c>
      <c r="U122" s="7">
        <f t="shared" si="149"/>
        <v>0</v>
      </c>
      <c r="V122" s="7">
        <f t="shared" si="149"/>
        <v>0</v>
      </c>
      <c r="W122" s="7">
        <f t="shared" si="149"/>
        <v>0</v>
      </c>
      <c r="X122" s="7">
        <f t="shared" si="149"/>
        <v>0</v>
      </c>
      <c r="Y122" s="7">
        <f t="shared" si="149"/>
        <v>0</v>
      </c>
      <c r="Z122" s="7">
        <f t="shared" si="149"/>
        <v>0</v>
      </c>
      <c r="AA122" s="7">
        <f t="shared" si="149"/>
        <v>0</v>
      </c>
      <c r="AB122" s="7">
        <f t="shared" si="149"/>
        <v>0</v>
      </c>
      <c r="AC122" s="7">
        <f t="shared" si="149"/>
        <v>0</v>
      </c>
      <c r="AD122" s="7">
        <f t="shared" si="149"/>
        <v>0</v>
      </c>
      <c r="AE122" s="7">
        <f t="shared" si="149"/>
        <v>0</v>
      </c>
      <c r="AF122" s="7">
        <f t="shared" si="149"/>
        <v>0</v>
      </c>
      <c r="AG122" s="7">
        <f t="shared" si="149"/>
        <v>0</v>
      </c>
      <c r="AH122" s="7">
        <f t="shared" si="149"/>
        <v>0</v>
      </c>
      <c r="AI122" s="7">
        <f t="shared" si="149"/>
        <v>0</v>
      </c>
      <c r="AJ122" s="7">
        <f t="shared" si="149"/>
        <v>0</v>
      </c>
      <c r="AK122" s="7">
        <f t="shared" si="149"/>
        <v>0</v>
      </c>
      <c r="AL122" s="7">
        <f t="shared" si="149"/>
        <v>0</v>
      </c>
      <c r="AM122" s="7">
        <f t="shared" si="149"/>
        <v>0</v>
      </c>
      <c r="AN122" s="7">
        <f t="shared" si="149"/>
        <v>0</v>
      </c>
      <c r="AO122" s="7">
        <f t="shared" si="149"/>
        <v>0</v>
      </c>
      <c r="AP122" s="7">
        <f t="shared" si="149"/>
        <v>0</v>
      </c>
      <c r="AQ122" s="7">
        <f t="shared" si="149"/>
        <v>0</v>
      </c>
      <c r="AR122" s="7">
        <f t="shared" si="149"/>
        <v>0</v>
      </c>
      <c r="AS122" s="7">
        <f t="shared" si="149"/>
        <v>0</v>
      </c>
      <c r="AT122" s="7">
        <f t="shared" si="149"/>
        <v>0</v>
      </c>
      <c r="AU122" s="7">
        <f t="shared" si="149"/>
        <v>0</v>
      </c>
      <c r="AV122" s="7">
        <f t="shared" si="149"/>
        <v>0</v>
      </c>
      <c r="AW122" s="7">
        <f t="shared" si="149"/>
        <v>0</v>
      </c>
      <c r="AX122" s="7">
        <f t="shared" si="149"/>
        <v>0</v>
      </c>
      <c r="AY122" s="7">
        <f t="shared" si="149"/>
        <v>0</v>
      </c>
      <c r="AZ122" s="7">
        <f t="shared" si="149"/>
        <v>0</v>
      </c>
      <c r="BA122" s="7">
        <f t="shared" si="149"/>
        <v>0</v>
      </c>
      <c r="BB122" s="7">
        <f t="shared" si="149"/>
        <v>0</v>
      </c>
      <c r="BC122" s="7">
        <f t="shared" si="149"/>
        <v>0</v>
      </c>
      <c r="BD122" s="7">
        <f t="shared" si="149"/>
        <v>0</v>
      </c>
      <c r="BE122" s="7">
        <f t="shared" si="149"/>
        <v>0</v>
      </c>
      <c r="BF122" s="7">
        <f t="shared" si="149"/>
        <v>0</v>
      </c>
      <c r="BG122" s="7">
        <f t="shared" si="149"/>
        <v>0</v>
      </c>
      <c r="BH122" s="7">
        <f t="shared" si="149"/>
        <v>0</v>
      </c>
      <c r="BI122" s="7">
        <f t="shared" si="149"/>
        <v>0</v>
      </c>
      <c r="BJ122" s="7">
        <f t="shared" si="149"/>
        <v>0</v>
      </c>
      <c r="BK122" s="7">
        <f t="shared" si="149"/>
        <v>0</v>
      </c>
      <c r="BL122" s="7">
        <f t="shared" si="149"/>
        <v>0</v>
      </c>
      <c r="BM122" s="7">
        <f t="shared" si="149"/>
        <v>0</v>
      </c>
      <c r="BN122" s="7">
        <f t="shared" si="149"/>
        <v>0</v>
      </c>
      <c r="BO122" s="7">
        <f t="shared" si="149"/>
        <v>0</v>
      </c>
      <c r="BP122" s="7">
        <f t="shared" si="149"/>
        <v>0</v>
      </c>
      <c r="BQ122" s="7">
        <f t="shared" si="149"/>
        <v>0</v>
      </c>
      <c r="BR122" s="7">
        <f t="shared" si="149"/>
        <v>0</v>
      </c>
      <c r="BS122" s="7">
        <f t="shared" si="149"/>
        <v>0</v>
      </c>
      <c r="BT122" s="7">
        <f t="shared" ref="BT122:CD122" si="150">SUM(BT123:BT126)</f>
        <v>0</v>
      </c>
      <c r="BU122" s="7">
        <f t="shared" si="150"/>
        <v>0</v>
      </c>
      <c r="BV122" s="7">
        <f t="shared" si="150"/>
        <v>0</v>
      </c>
      <c r="BW122" s="7">
        <f t="shared" si="150"/>
        <v>0</v>
      </c>
      <c r="BX122" s="7">
        <f t="shared" si="150"/>
        <v>0</v>
      </c>
      <c r="BY122" s="7">
        <f t="shared" si="150"/>
        <v>0</v>
      </c>
      <c r="BZ122" s="7">
        <f t="shared" si="150"/>
        <v>0</v>
      </c>
      <c r="CA122" s="7">
        <f t="shared" si="150"/>
        <v>0</v>
      </c>
      <c r="CB122" s="7">
        <f t="shared" si="150"/>
        <v>0</v>
      </c>
      <c r="CC122" s="7">
        <f t="shared" si="150"/>
        <v>0</v>
      </c>
      <c r="CD122" s="7">
        <f t="shared" si="150"/>
        <v>0</v>
      </c>
    </row>
    <row r="123" spans="2:82" s="2" customFormat="1" x14ac:dyDescent="0.2">
      <c r="F123" s="2" t="s">
        <v>56</v>
      </c>
      <c r="G123" s="2">
        <f>O355</f>
        <v>1</v>
      </c>
      <c r="H123" s="2">
        <f t="shared" ref="H123:BR123" si="151">P355</f>
        <v>0</v>
      </c>
      <c r="I123" s="2" t="str">
        <f t="shared" si="151"/>
        <v>emission_co2e_hfcs_ippu_production_electronics</v>
      </c>
      <c r="J123" s="2">
        <f t="shared" si="151"/>
        <v>0</v>
      </c>
      <c r="K123" s="2">
        <f t="shared" si="151"/>
        <v>0</v>
      </c>
      <c r="L123" s="2">
        <f t="shared" si="151"/>
        <v>0</v>
      </c>
      <c r="M123" s="2">
        <f t="shared" si="151"/>
        <v>0</v>
      </c>
      <c r="N123" s="2">
        <f t="shared" si="151"/>
        <v>0</v>
      </c>
      <c r="O123" s="2">
        <f t="shared" si="151"/>
        <v>0</v>
      </c>
      <c r="P123" s="2">
        <f t="shared" si="151"/>
        <v>0</v>
      </c>
      <c r="Q123" s="2">
        <f t="shared" si="151"/>
        <v>0</v>
      </c>
      <c r="R123" s="2">
        <f t="shared" si="151"/>
        <v>0</v>
      </c>
      <c r="S123" s="2">
        <f t="shared" si="151"/>
        <v>0</v>
      </c>
      <c r="T123" s="2">
        <f t="shared" si="151"/>
        <v>0</v>
      </c>
      <c r="U123" s="2">
        <f t="shared" si="151"/>
        <v>0</v>
      </c>
      <c r="V123" s="2">
        <f t="shared" si="151"/>
        <v>0</v>
      </c>
      <c r="W123" s="2">
        <f t="shared" si="151"/>
        <v>0</v>
      </c>
      <c r="X123" s="2">
        <f t="shared" si="151"/>
        <v>0</v>
      </c>
      <c r="Y123" s="2">
        <f t="shared" si="151"/>
        <v>0</v>
      </c>
      <c r="Z123" s="2">
        <f t="shared" si="151"/>
        <v>0</v>
      </c>
      <c r="AA123" s="2">
        <f t="shared" si="151"/>
        <v>0</v>
      </c>
      <c r="AB123" s="2">
        <f t="shared" si="151"/>
        <v>0</v>
      </c>
      <c r="AC123" s="2">
        <f t="shared" si="151"/>
        <v>0</v>
      </c>
      <c r="AD123" s="2">
        <f t="shared" si="151"/>
        <v>0</v>
      </c>
      <c r="AE123" s="2">
        <f t="shared" si="151"/>
        <v>0</v>
      </c>
      <c r="AF123" s="2">
        <f t="shared" si="151"/>
        <v>0</v>
      </c>
      <c r="AG123" s="2">
        <f t="shared" si="151"/>
        <v>0</v>
      </c>
      <c r="AH123" s="2">
        <f t="shared" si="151"/>
        <v>0</v>
      </c>
      <c r="AI123" s="2">
        <f t="shared" si="151"/>
        <v>0</v>
      </c>
      <c r="AJ123" s="2">
        <f t="shared" si="151"/>
        <v>0</v>
      </c>
      <c r="AK123" s="2">
        <f t="shared" si="151"/>
        <v>0</v>
      </c>
      <c r="AL123" s="2">
        <f t="shared" si="151"/>
        <v>0</v>
      </c>
      <c r="AM123" s="2">
        <f t="shared" si="151"/>
        <v>0</v>
      </c>
      <c r="AN123" s="2">
        <f t="shared" si="151"/>
        <v>0</v>
      </c>
      <c r="AO123" s="2">
        <f t="shared" si="151"/>
        <v>0</v>
      </c>
      <c r="AP123" s="2">
        <f t="shared" si="151"/>
        <v>0</v>
      </c>
      <c r="AQ123" s="2">
        <f t="shared" si="151"/>
        <v>0</v>
      </c>
      <c r="AR123" s="2">
        <f t="shared" si="151"/>
        <v>0</v>
      </c>
      <c r="AS123" s="2">
        <f t="shared" si="151"/>
        <v>0</v>
      </c>
      <c r="AT123" s="2">
        <f t="shared" si="151"/>
        <v>0</v>
      </c>
      <c r="AU123" s="2">
        <f t="shared" si="151"/>
        <v>0</v>
      </c>
      <c r="AV123" s="2">
        <f t="shared" si="151"/>
        <v>0</v>
      </c>
      <c r="AW123" s="2">
        <f t="shared" si="151"/>
        <v>0</v>
      </c>
      <c r="AX123" s="2">
        <f t="shared" si="151"/>
        <v>0</v>
      </c>
      <c r="AY123" s="2">
        <f t="shared" si="151"/>
        <v>0</v>
      </c>
      <c r="AZ123" s="2">
        <f t="shared" si="151"/>
        <v>0</v>
      </c>
      <c r="BA123" s="2">
        <f t="shared" si="151"/>
        <v>0</v>
      </c>
      <c r="BB123" s="2">
        <f t="shared" si="151"/>
        <v>0</v>
      </c>
      <c r="BC123" s="2">
        <f t="shared" si="151"/>
        <v>0</v>
      </c>
      <c r="BD123" s="2">
        <f t="shared" si="151"/>
        <v>0</v>
      </c>
      <c r="BE123" s="2">
        <f t="shared" si="151"/>
        <v>0</v>
      </c>
      <c r="BF123" s="2">
        <f t="shared" si="151"/>
        <v>0</v>
      </c>
      <c r="BG123" s="2">
        <f t="shared" si="151"/>
        <v>0</v>
      </c>
      <c r="BH123" s="2">
        <f t="shared" si="151"/>
        <v>0</v>
      </c>
      <c r="BI123" s="2">
        <f t="shared" si="151"/>
        <v>0</v>
      </c>
      <c r="BJ123" s="2">
        <f t="shared" si="151"/>
        <v>0</v>
      </c>
      <c r="BK123" s="2">
        <f t="shared" si="151"/>
        <v>0</v>
      </c>
      <c r="BL123" s="2">
        <f t="shared" si="151"/>
        <v>0</v>
      </c>
      <c r="BM123" s="2">
        <f t="shared" si="151"/>
        <v>0</v>
      </c>
      <c r="BN123" s="2">
        <f t="shared" si="151"/>
        <v>0</v>
      </c>
      <c r="BO123" s="2">
        <f t="shared" si="151"/>
        <v>0</v>
      </c>
      <c r="BP123" s="2">
        <f t="shared" si="151"/>
        <v>0</v>
      </c>
      <c r="BQ123" s="2">
        <f t="shared" si="151"/>
        <v>0</v>
      </c>
      <c r="BR123" s="2">
        <f t="shared" si="151"/>
        <v>0</v>
      </c>
      <c r="BS123" s="2">
        <f t="shared" ref="BS123:CD126" si="152">CA355</f>
        <v>0</v>
      </c>
      <c r="BT123" s="2">
        <f t="shared" si="152"/>
        <v>0</v>
      </c>
      <c r="BU123" s="2">
        <f t="shared" si="152"/>
        <v>0</v>
      </c>
      <c r="BV123" s="2">
        <f t="shared" si="152"/>
        <v>0</v>
      </c>
      <c r="BW123" s="2">
        <f t="shared" si="152"/>
        <v>0</v>
      </c>
      <c r="BX123" s="2">
        <f t="shared" si="152"/>
        <v>0</v>
      </c>
      <c r="BY123" s="2">
        <f t="shared" si="152"/>
        <v>0</v>
      </c>
      <c r="BZ123" s="2">
        <f t="shared" si="152"/>
        <v>0</v>
      </c>
      <c r="CA123" s="2">
        <f t="shared" si="152"/>
        <v>0</v>
      </c>
      <c r="CB123" s="2">
        <f t="shared" si="152"/>
        <v>0</v>
      </c>
      <c r="CC123" s="2">
        <f t="shared" si="152"/>
        <v>0</v>
      </c>
      <c r="CD123" s="2">
        <f t="shared" si="152"/>
        <v>0</v>
      </c>
    </row>
    <row r="124" spans="2:82" s="2" customFormat="1" x14ac:dyDescent="0.2">
      <c r="F124" s="2" t="s">
        <v>57</v>
      </c>
      <c r="G124" s="2">
        <f>O356</f>
        <v>1</v>
      </c>
      <c r="H124" s="2">
        <f t="shared" ref="H124:Q126" si="153">P356</f>
        <v>0</v>
      </c>
      <c r="I124" s="2" t="str">
        <f t="shared" si="153"/>
        <v>emission_co2e_nf3_ippu_production_electronics</v>
      </c>
      <c r="J124" s="2">
        <f t="shared" si="153"/>
        <v>0</v>
      </c>
      <c r="K124" s="2">
        <f t="shared" si="153"/>
        <v>0</v>
      </c>
      <c r="L124" s="2">
        <f t="shared" si="153"/>
        <v>0</v>
      </c>
      <c r="M124" s="2">
        <f t="shared" si="153"/>
        <v>0</v>
      </c>
      <c r="N124" s="2">
        <f t="shared" si="153"/>
        <v>0</v>
      </c>
      <c r="O124" s="2">
        <f t="shared" si="153"/>
        <v>0</v>
      </c>
      <c r="P124" s="2">
        <f t="shared" si="153"/>
        <v>0</v>
      </c>
      <c r="Q124" s="2">
        <f t="shared" si="153"/>
        <v>0</v>
      </c>
      <c r="R124" s="2">
        <f t="shared" ref="R124:AA126" si="154">Z356</f>
        <v>0</v>
      </c>
      <c r="S124" s="2">
        <f t="shared" si="154"/>
        <v>0</v>
      </c>
      <c r="T124" s="2">
        <f t="shared" si="154"/>
        <v>0</v>
      </c>
      <c r="U124" s="2">
        <f t="shared" si="154"/>
        <v>0</v>
      </c>
      <c r="V124" s="2">
        <f t="shared" si="154"/>
        <v>0</v>
      </c>
      <c r="W124" s="2">
        <f t="shared" si="154"/>
        <v>0</v>
      </c>
      <c r="X124" s="2">
        <f t="shared" si="154"/>
        <v>0</v>
      </c>
      <c r="Y124" s="2">
        <f t="shared" si="154"/>
        <v>0</v>
      </c>
      <c r="Z124" s="2">
        <f t="shared" si="154"/>
        <v>0</v>
      </c>
      <c r="AA124" s="2">
        <f t="shared" si="154"/>
        <v>0</v>
      </c>
      <c r="AB124" s="2">
        <f t="shared" ref="AB124:AK126" si="155">AJ356</f>
        <v>0</v>
      </c>
      <c r="AC124" s="2">
        <f t="shared" si="155"/>
        <v>0</v>
      </c>
      <c r="AD124" s="2">
        <f t="shared" si="155"/>
        <v>0</v>
      </c>
      <c r="AE124" s="2">
        <f t="shared" si="155"/>
        <v>0</v>
      </c>
      <c r="AF124" s="2">
        <f t="shared" si="155"/>
        <v>0</v>
      </c>
      <c r="AG124" s="2">
        <f t="shared" si="155"/>
        <v>0</v>
      </c>
      <c r="AH124" s="2">
        <f t="shared" si="155"/>
        <v>0</v>
      </c>
      <c r="AI124" s="2">
        <f t="shared" si="155"/>
        <v>0</v>
      </c>
      <c r="AJ124" s="2">
        <f t="shared" si="155"/>
        <v>0</v>
      </c>
      <c r="AK124" s="2">
        <f t="shared" si="155"/>
        <v>0</v>
      </c>
      <c r="AL124" s="2">
        <f t="shared" ref="AL124:AU126" si="156">AT356</f>
        <v>0</v>
      </c>
      <c r="AM124" s="2">
        <f t="shared" si="156"/>
        <v>0</v>
      </c>
      <c r="AN124" s="2">
        <f t="shared" si="156"/>
        <v>0</v>
      </c>
      <c r="AO124" s="2">
        <f t="shared" si="156"/>
        <v>0</v>
      </c>
      <c r="AP124" s="2">
        <f t="shared" si="156"/>
        <v>0</v>
      </c>
      <c r="AQ124" s="2">
        <f t="shared" si="156"/>
        <v>0</v>
      </c>
      <c r="AR124" s="2">
        <f t="shared" si="156"/>
        <v>0</v>
      </c>
      <c r="AS124" s="2">
        <f t="shared" si="156"/>
        <v>0</v>
      </c>
      <c r="AT124" s="2">
        <f t="shared" si="156"/>
        <v>0</v>
      </c>
      <c r="AU124" s="2">
        <f t="shared" si="156"/>
        <v>0</v>
      </c>
      <c r="AV124" s="2">
        <f t="shared" ref="AV124:BE126" si="157">BD356</f>
        <v>0</v>
      </c>
      <c r="AW124" s="2">
        <f t="shared" si="157"/>
        <v>0</v>
      </c>
      <c r="AX124" s="2">
        <f t="shared" si="157"/>
        <v>0</v>
      </c>
      <c r="AY124" s="2">
        <f t="shared" si="157"/>
        <v>0</v>
      </c>
      <c r="AZ124" s="2">
        <f t="shared" si="157"/>
        <v>0</v>
      </c>
      <c r="BA124" s="2">
        <f t="shared" si="157"/>
        <v>0</v>
      </c>
      <c r="BB124" s="2">
        <f t="shared" si="157"/>
        <v>0</v>
      </c>
      <c r="BC124" s="2">
        <f t="shared" si="157"/>
        <v>0</v>
      </c>
      <c r="BD124" s="2">
        <f t="shared" si="157"/>
        <v>0</v>
      </c>
      <c r="BE124" s="2">
        <f t="shared" si="157"/>
        <v>0</v>
      </c>
      <c r="BF124" s="2">
        <f t="shared" ref="BF124:BO126" si="158">BN356</f>
        <v>0</v>
      </c>
      <c r="BG124" s="2">
        <f t="shared" si="158"/>
        <v>0</v>
      </c>
      <c r="BH124" s="2">
        <f t="shared" si="158"/>
        <v>0</v>
      </c>
      <c r="BI124" s="2">
        <f t="shared" si="158"/>
        <v>0</v>
      </c>
      <c r="BJ124" s="2">
        <f t="shared" si="158"/>
        <v>0</v>
      </c>
      <c r="BK124" s="2">
        <f t="shared" si="158"/>
        <v>0</v>
      </c>
      <c r="BL124" s="2">
        <f t="shared" si="158"/>
        <v>0</v>
      </c>
      <c r="BM124" s="2">
        <f t="shared" si="158"/>
        <v>0</v>
      </c>
      <c r="BN124" s="2">
        <f t="shared" si="158"/>
        <v>0</v>
      </c>
      <c r="BO124" s="2">
        <f t="shared" si="158"/>
        <v>0</v>
      </c>
      <c r="BP124" s="2">
        <f t="shared" ref="BP124:BY126" si="159">BX356</f>
        <v>0</v>
      </c>
      <c r="BQ124" s="2">
        <f t="shared" si="159"/>
        <v>0</v>
      </c>
      <c r="BR124" s="2">
        <f t="shared" si="159"/>
        <v>0</v>
      </c>
      <c r="BS124" s="2">
        <f t="shared" si="159"/>
        <v>0</v>
      </c>
      <c r="BT124" s="2">
        <f t="shared" si="152"/>
        <v>0</v>
      </c>
      <c r="BU124" s="2">
        <f t="shared" si="152"/>
        <v>0</v>
      </c>
      <c r="BV124" s="2">
        <f t="shared" si="152"/>
        <v>0</v>
      </c>
      <c r="BW124" s="2">
        <f t="shared" si="152"/>
        <v>0</v>
      </c>
      <c r="BX124" s="2">
        <f t="shared" si="152"/>
        <v>0</v>
      </c>
      <c r="BY124" s="2">
        <f t="shared" si="152"/>
        <v>0</v>
      </c>
      <c r="BZ124" s="2">
        <f t="shared" si="152"/>
        <v>0</v>
      </c>
      <c r="CA124" s="2">
        <f t="shared" si="152"/>
        <v>0</v>
      </c>
      <c r="CB124" s="2">
        <f t="shared" si="152"/>
        <v>0</v>
      </c>
      <c r="CC124" s="2">
        <f t="shared" si="152"/>
        <v>0</v>
      </c>
      <c r="CD124" s="2">
        <f t="shared" si="152"/>
        <v>0</v>
      </c>
    </row>
    <row r="125" spans="2:82" s="2" customFormat="1" x14ac:dyDescent="0.2">
      <c r="F125" s="2" t="s">
        <v>58</v>
      </c>
      <c r="G125" s="2">
        <f>O357</f>
        <v>1</v>
      </c>
      <c r="H125" s="2">
        <f t="shared" si="153"/>
        <v>0</v>
      </c>
      <c r="I125" s="2" t="str">
        <f t="shared" si="153"/>
        <v>emission_co2e_pfcs_ippu_production_electronics</v>
      </c>
      <c r="J125" s="2">
        <f t="shared" si="153"/>
        <v>0</v>
      </c>
      <c r="K125" s="2">
        <f t="shared" si="153"/>
        <v>0</v>
      </c>
      <c r="L125" s="2">
        <f t="shared" si="153"/>
        <v>0</v>
      </c>
      <c r="M125" s="2">
        <f t="shared" si="153"/>
        <v>0</v>
      </c>
      <c r="N125" s="2">
        <f t="shared" si="153"/>
        <v>0</v>
      </c>
      <c r="O125" s="2">
        <f t="shared" si="153"/>
        <v>0</v>
      </c>
      <c r="P125" s="2">
        <f t="shared" si="153"/>
        <v>0</v>
      </c>
      <c r="Q125" s="2">
        <f t="shared" si="153"/>
        <v>0</v>
      </c>
      <c r="R125" s="2">
        <f t="shared" si="154"/>
        <v>0</v>
      </c>
      <c r="S125" s="2">
        <f t="shared" si="154"/>
        <v>0</v>
      </c>
      <c r="T125" s="2">
        <f t="shared" si="154"/>
        <v>0</v>
      </c>
      <c r="U125" s="2">
        <f t="shared" si="154"/>
        <v>0</v>
      </c>
      <c r="V125" s="2">
        <f t="shared" si="154"/>
        <v>0</v>
      </c>
      <c r="W125" s="2">
        <f t="shared" si="154"/>
        <v>0</v>
      </c>
      <c r="X125" s="2">
        <f t="shared" si="154"/>
        <v>0</v>
      </c>
      <c r="Y125" s="2">
        <f t="shared" si="154"/>
        <v>0</v>
      </c>
      <c r="Z125" s="2">
        <f t="shared" si="154"/>
        <v>0</v>
      </c>
      <c r="AA125" s="2">
        <f t="shared" si="154"/>
        <v>0</v>
      </c>
      <c r="AB125" s="2">
        <f t="shared" si="155"/>
        <v>0</v>
      </c>
      <c r="AC125" s="2">
        <f t="shared" si="155"/>
        <v>0</v>
      </c>
      <c r="AD125" s="2">
        <f t="shared" si="155"/>
        <v>0</v>
      </c>
      <c r="AE125" s="2">
        <f t="shared" si="155"/>
        <v>0</v>
      </c>
      <c r="AF125" s="2">
        <f t="shared" si="155"/>
        <v>0</v>
      </c>
      <c r="AG125" s="2">
        <f t="shared" si="155"/>
        <v>0</v>
      </c>
      <c r="AH125" s="2">
        <f t="shared" si="155"/>
        <v>0</v>
      </c>
      <c r="AI125" s="2">
        <f t="shared" si="155"/>
        <v>0</v>
      </c>
      <c r="AJ125" s="2">
        <f t="shared" si="155"/>
        <v>0</v>
      </c>
      <c r="AK125" s="2">
        <f t="shared" si="155"/>
        <v>0</v>
      </c>
      <c r="AL125" s="2">
        <f t="shared" si="156"/>
        <v>0</v>
      </c>
      <c r="AM125" s="2">
        <f t="shared" si="156"/>
        <v>0</v>
      </c>
      <c r="AN125" s="2">
        <f t="shared" si="156"/>
        <v>0</v>
      </c>
      <c r="AO125" s="2">
        <f t="shared" si="156"/>
        <v>0</v>
      </c>
      <c r="AP125" s="2">
        <f t="shared" si="156"/>
        <v>0</v>
      </c>
      <c r="AQ125" s="2">
        <f t="shared" si="156"/>
        <v>0</v>
      </c>
      <c r="AR125" s="2">
        <f t="shared" si="156"/>
        <v>0</v>
      </c>
      <c r="AS125" s="2">
        <f t="shared" si="156"/>
        <v>0</v>
      </c>
      <c r="AT125" s="2">
        <f t="shared" si="156"/>
        <v>0</v>
      </c>
      <c r="AU125" s="2">
        <f t="shared" si="156"/>
        <v>0</v>
      </c>
      <c r="AV125" s="2">
        <f t="shared" si="157"/>
        <v>0</v>
      </c>
      <c r="AW125" s="2">
        <f t="shared" si="157"/>
        <v>0</v>
      </c>
      <c r="AX125" s="2">
        <f t="shared" si="157"/>
        <v>0</v>
      </c>
      <c r="AY125" s="2">
        <f t="shared" si="157"/>
        <v>0</v>
      </c>
      <c r="AZ125" s="2">
        <f t="shared" si="157"/>
        <v>0</v>
      </c>
      <c r="BA125" s="2">
        <f t="shared" si="157"/>
        <v>0</v>
      </c>
      <c r="BB125" s="2">
        <f t="shared" si="157"/>
        <v>0</v>
      </c>
      <c r="BC125" s="2">
        <f t="shared" si="157"/>
        <v>0</v>
      </c>
      <c r="BD125" s="2">
        <f t="shared" si="157"/>
        <v>0</v>
      </c>
      <c r="BE125" s="2">
        <f t="shared" si="157"/>
        <v>0</v>
      </c>
      <c r="BF125" s="2">
        <f t="shared" si="158"/>
        <v>0</v>
      </c>
      <c r="BG125" s="2">
        <f t="shared" si="158"/>
        <v>0</v>
      </c>
      <c r="BH125" s="2">
        <f t="shared" si="158"/>
        <v>0</v>
      </c>
      <c r="BI125" s="2">
        <f t="shared" si="158"/>
        <v>0</v>
      </c>
      <c r="BJ125" s="2">
        <f t="shared" si="158"/>
        <v>0</v>
      </c>
      <c r="BK125" s="2">
        <f t="shared" si="158"/>
        <v>0</v>
      </c>
      <c r="BL125" s="2">
        <f t="shared" si="158"/>
        <v>0</v>
      </c>
      <c r="BM125" s="2">
        <f t="shared" si="158"/>
        <v>0</v>
      </c>
      <c r="BN125" s="2">
        <f t="shared" si="158"/>
        <v>0</v>
      </c>
      <c r="BO125" s="2">
        <f t="shared" si="158"/>
        <v>0</v>
      </c>
      <c r="BP125" s="2">
        <f t="shared" si="159"/>
        <v>0</v>
      </c>
      <c r="BQ125" s="2">
        <f t="shared" si="159"/>
        <v>0</v>
      </c>
      <c r="BR125" s="2">
        <f t="shared" si="159"/>
        <v>0</v>
      </c>
      <c r="BS125" s="2">
        <f t="shared" si="159"/>
        <v>0</v>
      </c>
      <c r="BT125" s="2">
        <f t="shared" si="152"/>
        <v>0</v>
      </c>
      <c r="BU125" s="2">
        <f t="shared" si="152"/>
        <v>0</v>
      </c>
      <c r="BV125" s="2">
        <f t="shared" si="152"/>
        <v>0</v>
      </c>
      <c r="BW125" s="2">
        <f t="shared" si="152"/>
        <v>0</v>
      </c>
      <c r="BX125" s="2">
        <f t="shared" si="152"/>
        <v>0</v>
      </c>
      <c r="BY125" s="2">
        <f t="shared" si="152"/>
        <v>0</v>
      </c>
      <c r="BZ125" s="2">
        <f t="shared" si="152"/>
        <v>0</v>
      </c>
      <c r="CA125" s="2">
        <f t="shared" si="152"/>
        <v>0</v>
      </c>
      <c r="CB125" s="2">
        <f t="shared" si="152"/>
        <v>0</v>
      </c>
      <c r="CC125" s="2">
        <f t="shared" si="152"/>
        <v>0</v>
      </c>
      <c r="CD125" s="2">
        <f t="shared" si="152"/>
        <v>0</v>
      </c>
    </row>
    <row r="126" spans="2:82" s="2" customFormat="1" x14ac:dyDescent="0.2">
      <c r="F126" s="2" t="s">
        <v>59</v>
      </c>
      <c r="G126" s="2">
        <f>O358</f>
        <v>1</v>
      </c>
      <c r="H126" s="2">
        <f t="shared" si="153"/>
        <v>0</v>
      </c>
      <c r="I126" s="2" t="str">
        <f t="shared" si="153"/>
        <v>emission_co2e_sf6_ippu_production_electronics</v>
      </c>
      <c r="J126" s="2">
        <f t="shared" si="153"/>
        <v>0</v>
      </c>
      <c r="K126" s="2">
        <f t="shared" si="153"/>
        <v>0</v>
      </c>
      <c r="L126" s="2">
        <f t="shared" si="153"/>
        <v>0</v>
      </c>
      <c r="M126" s="2">
        <f t="shared" si="153"/>
        <v>0</v>
      </c>
      <c r="N126" s="2">
        <f t="shared" si="153"/>
        <v>0</v>
      </c>
      <c r="O126" s="2">
        <f t="shared" si="153"/>
        <v>0</v>
      </c>
      <c r="P126" s="2">
        <f t="shared" si="153"/>
        <v>0</v>
      </c>
      <c r="Q126" s="2">
        <f t="shared" si="153"/>
        <v>0</v>
      </c>
      <c r="R126" s="2">
        <f t="shared" si="154"/>
        <v>0</v>
      </c>
      <c r="S126" s="2">
        <f t="shared" si="154"/>
        <v>0</v>
      </c>
      <c r="T126" s="2">
        <f t="shared" si="154"/>
        <v>0</v>
      </c>
      <c r="U126" s="2">
        <f t="shared" si="154"/>
        <v>0</v>
      </c>
      <c r="V126" s="2">
        <f t="shared" si="154"/>
        <v>0</v>
      </c>
      <c r="W126" s="2">
        <f t="shared" si="154"/>
        <v>0</v>
      </c>
      <c r="X126" s="2">
        <f t="shared" si="154"/>
        <v>0</v>
      </c>
      <c r="Y126" s="2">
        <f t="shared" si="154"/>
        <v>0</v>
      </c>
      <c r="Z126" s="2">
        <f t="shared" si="154"/>
        <v>0</v>
      </c>
      <c r="AA126" s="2">
        <f t="shared" si="154"/>
        <v>0</v>
      </c>
      <c r="AB126" s="2">
        <f t="shared" si="155"/>
        <v>0</v>
      </c>
      <c r="AC126" s="2">
        <f t="shared" si="155"/>
        <v>0</v>
      </c>
      <c r="AD126" s="2">
        <f t="shared" si="155"/>
        <v>0</v>
      </c>
      <c r="AE126" s="2">
        <f t="shared" si="155"/>
        <v>0</v>
      </c>
      <c r="AF126" s="2">
        <f t="shared" si="155"/>
        <v>0</v>
      </c>
      <c r="AG126" s="2">
        <f t="shared" si="155"/>
        <v>0</v>
      </c>
      <c r="AH126" s="2">
        <f t="shared" si="155"/>
        <v>0</v>
      </c>
      <c r="AI126" s="2">
        <f t="shared" si="155"/>
        <v>0</v>
      </c>
      <c r="AJ126" s="2">
        <f t="shared" si="155"/>
        <v>0</v>
      </c>
      <c r="AK126" s="2">
        <f t="shared" si="155"/>
        <v>0</v>
      </c>
      <c r="AL126" s="2">
        <f t="shared" si="156"/>
        <v>0</v>
      </c>
      <c r="AM126" s="2">
        <f t="shared" si="156"/>
        <v>0</v>
      </c>
      <c r="AN126" s="2">
        <f t="shared" si="156"/>
        <v>0</v>
      </c>
      <c r="AO126" s="2">
        <f t="shared" si="156"/>
        <v>0</v>
      </c>
      <c r="AP126" s="2">
        <f t="shared" si="156"/>
        <v>0</v>
      </c>
      <c r="AQ126" s="2">
        <f t="shared" si="156"/>
        <v>0</v>
      </c>
      <c r="AR126" s="2">
        <f t="shared" si="156"/>
        <v>0</v>
      </c>
      <c r="AS126" s="2">
        <f t="shared" si="156"/>
        <v>0</v>
      </c>
      <c r="AT126" s="2">
        <f t="shared" si="156"/>
        <v>0</v>
      </c>
      <c r="AU126" s="2">
        <f t="shared" si="156"/>
        <v>0</v>
      </c>
      <c r="AV126" s="2">
        <f t="shared" si="157"/>
        <v>0</v>
      </c>
      <c r="AW126" s="2">
        <f t="shared" si="157"/>
        <v>0</v>
      </c>
      <c r="AX126" s="2">
        <f t="shared" si="157"/>
        <v>0</v>
      </c>
      <c r="AY126" s="2">
        <f t="shared" si="157"/>
        <v>0</v>
      </c>
      <c r="AZ126" s="2">
        <f t="shared" si="157"/>
        <v>0</v>
      </c>
      <c r="BA126" s="2">
        <f t="shared" si="157"/>
        <v>0</v>
      </c>
      <c r="BB126" s="2">
        <f t="shared" si="157"/>
        <v>0</v>
      </c>
      <c r="BC126" s="2">
        <f t="shared" si="157"/>
        <v>0</v>
      </c>
      <c r="BD126" s="2">
        <f t="shared" si="157"/>
        <v>0</v>
      </c>
      <c r="BE126" s="2">
        <f t="shared" si="157"/>
        <v>0</v>
      </c>
      <c r="BF126" s="2">
        <f t="shared" si="158"/>
        <v>0</v>
      </c>
      <c r="BG126" s="2">
        <f t="shared" si="158"/>
        <v>0</v>
      </c>
      <c r="BH126" s="2">
        <f t="shared" si="158"/>
        <v>0</v>
      </c>
      <c r="BI126" s="2">
        <f t="shared" si="158"/>
        <v>0</v>
      </c>
      <c r="BJ126" s="2">
        <f t="shared" si="158"/>
        <v>0</v>
      </c>
      <c r="BK126" s="2">
        <f t="shared" si="158"/>
        <v>0</v>
      </c>
      <c r="BL126" s="2">
        <f t="shared" si="158"/>
        <v>0</v>
      </c>
      <c r="BM126" s="2">
        <f t="shared" si="158"/>
        <v>0</v>
      </c>
      <c r="BN126" s="2">
        <f t="shared" si="158"/>
        <v>0</v>
      </c>
      <c r="BO126" s="2">
        <f t="shared" si="158"/>
        <v>0</v>
      </c>
      <c r="BP126" s="2">
        <f t="shared" si="159"/>
        <v>0</v>
      </c>
      <c r="BQ126" s="2">
        <f t="shared" si="159"/>
        <v>0</v>
      </c>
      <c r="BR126" s="2">
        <f t="shared" si="159"/>
        <v>0</v>
      </c>
      <c r="BS126" s="2">
        <f t="shared" si="159"/>
        <v>0</v>
      </c>
      <c r="BT126" s="2">
        <f t="shared" si="152"/>
        <v>0</v>
      </c>
      <c r="BU126" s="2">
        <f t="shared" si="152"/>
        <v>0</v>
      </c>
      <c r="BV126" s="2">
        <f t="shared" si="152"/>
        <v>0</v>
      </c>
      <c r="BW126" s="2">
        <f t="shared" si="152"/>
        <v>0</v>
      </c>
      <c r="BX126" s="2">
        <f t="shared" si="152"/>
        <v>0</v>
      </c>
      <c r="BY126" s="2">
        <f t="shared" si="152"/>
        <v>0</v>
      </c>
      <c r="BZ126" s="2">
        <f t="shared" si="152"/>
        <v>0</v>
      </c>
      <c r="CA126" s="2">
        <f t="shared" si="152"/>
        <v>0</v>
      </c>
      <c r="CB126" s="2">
        <f t="shared" si="152"/>
        <v>0</v>
      </c>
      <c r="CC126" s="2">
        <f t="shared" si="152"/>
        <v>0</v>
      </c>
      <c r="CD126" s="2">
        <f t="shared" si="152"/>
        <v>0</v>
      </c>
    </row>
    <row r="127" spans="2:82" s="7" customFormat="1" x14ac:dyDescent="0.2">
      <c r="B127" s="7" t="s">
        <v>66</v>
      </c>
      <c r="G127" s="7">
        <f>SUM(G128:G130)</f>
        <v>3</v>
      </c>
      <c r="H127" s="7">
        <f t="shared" ref="H127:BS127" si="160">SUM(H128:H130)</f>
        <v>0</v>
      </c>
      <c r="I127" s="7">
        <f t="shared" si="160"/>
        <v>0</v>
      </c>
      <c r="J127" s="7">
        <f t="shared" si="160"/>
        <v>0</v>
      </c>
      <c r="K127" s="7">
        <f t="shared" si="160"/>
        <v>13.674999999999999</v>
      </c>
      <c r="L127" s="7">
        <f t="shared" si="160"/>
        <v>17.16</v>
      </c>
      <c r="M127" s="7">
        <f t="shared" si="160"/>
        <v>20.297000000000001</v>
      </c>
      <c r="N127" s="7">
        <f t="shared" si="160"/>
        <v>23.152999999999999</v>
      </c>
      <c r="O127" s="7">
        <f t="shared" si="160"/>
        <v>25.768999999999998</v>
      </c>
      <c r="P127" s="7">
        <f t="shared" si="160"/>
        <v>28.184000000000001</v>
      </c>
      <c r="Q127" s="7">
        <f t="shared" si="160"/>
        <v>30.442</v>
      </c>
      <c r="R127" s="7">
        <f t="shared" si="160"/>
        <v>32.405000000000001</v>
      </c>
      <c r="S127" s="7">
        <f t="shared" si="160"/>
        <v>34.115000000000002</v>
      </c>
      <c r="T127" s="7">
        <f t="shared" si="160"/>
        <v>35.615000000000002</v>
      </c>
      <c r="U127" s="7">
        <f t="shared" si="160"/>
        <v>36.937000000000005</v>
      </c>
      <c r="V127" s="7">
        <f t="shared" si="160"/>
        <v>38.111999999999995</v>
      </c>
      <c r="W127" s="7">
        <f t="shared" si="160"/>
        <v>39.784000000000006</v>
      </c>
      <c r="X127" s="7">
        <f t="shared" si="160"/>
        <v>67.272999999999996</v>
      </c>
      <c r="Y127" s="7">
        <f t="shared" si="160"/>
        <v>62.594999999999999</v>
      </c>
      <c r="Z127" s="7">
        <f t="shared" si="160"/>
        <v>234.084</v>
      </c>
      <c r="AA127" s="7">
        <f t="shared" si="160"/>
        <v>59.949999999999996</v>
      </c>
      <c r="AB127" s="7">
        <f t="shared" si="160"/>
        <v>61.296999999999997</v>
      </c>
      <c r="AC127" s="7">
        <f t="shared" si="160"/>
        <v>64.012</v>
      </c>
      <c r="AD127" s="7">
        <f t="shared" si="160"/>
        <v>67.908000000000001</v>
      </c>
      <c r="AE127" s="7">
        <f t="shared" si="160"/>
        <v>72.966999999999999</v>
      </c>
      <c r="AF127" s="7">
        <f t="shared" si="160"/>
        <v>79.914999999999992</v>
      </c>
      <c r="AG127" s="7">
        <f t="shared" si="160"/>
        <v>86.170999999999992</v>
      </c>
      <c r="AH127" s="7">
        <f t="shared" si="160"/>
        <v>91.903999999999996</v>
      </c>
      <c r="AI127" s="7">
        <f t="shared" si="160"/>
        <v>96.424000000000007</v>
      </c>
      <c r="AJ127" s="7">
        <f t="shared" si="160"/>
        <v>0</v>
      </c>
      <c r="AK127" s="7">
        <f t="shared" si="160"/>
        <v>0</v>
      </c>
      <c r="AL127" s="7">
        <f t="shared" si="160"/>
        <v>0</v>
      </c>
      <c r="AM127" s="7">
        <f t="shared" si="160"/>
        <v>0</v>
      </c>
      <c r="AN127" s="7">
        <f t="shared" si="160"/>
        <v>0</v>
      </c>
      <c r="AO127" s="7">
        <f t="shared" si="160"/>
        <v>0</v>
      </c>
      <c r="AP127" s="7">
        <f t="shared" si="160"/>
        <v>0</v>
      </c>
      <c r="AQ127" s="7">
        <f t="shared" si="160"/>
        <v>0</v>
      </c>
      <c r="AR127" s="7">
        <f t="shared" si="160"/>
        <v>0</v>
      </c>
      <c r="AS127" s="7">
        <f t="shared" si="160"/>
        <v>0</v>
      </c>
      <c r="AT127" s="7">
        <f t="shared" si="160"/>
        <v>0</v>
      </c>
      <c r="AU127" s="7">
        <f t="shared" si="160"/>
        <v>0</v>
      </c>
      <c r="AV127" s="7">
        <f t="shared" si="160"/>
        <v>0</v>
      </c>
      <c r="AW127" s="7">
        <f t="shared" si="160"/>
        <v>0</v>
      </c>
      <c r="AX127" s="7">
        <f t="shared" si="160"/>
        <v>0</v>
      </c>
      <c r="AY127" s="7">
        <f t="shared" si="160"/>
        <v>0</v>
      </c>
      <c r="AZ127" s="7">
        <f t="shared" si="160"/>
        <v>0</v>
      </c>
      <c r="BA127" s="7">
        <f t="shared" si="160"/>
        <v>0</v>
      </c>
      <c r="BB127" s="7">
        <f t="shared" si="160"/>
        <v>0</v>
      </c>
      <c r="BC127" s="7">
        <f t="shared" si="160"/>
        <v>0</v>
      </c>
      <c r="BD127" s="7">
        <f t="shared" si="160"/>
        <v>0</v>
      </c>
      <c r="BE127" s="7">
        <f t="shared" si="160"/>
        <v>0</v>
      </c>
      <c r="BF127" s="7">
        <f t="shared" si="160"/>
        <v>0</v>
      </c>
      <c r="BG127" s="7">
        <f t="shared" si="160"/>
        <v>0</v>
      </c>
      <c r="BH127" s="7">
        <f t="shared" si="160"/>
        <v>0</v>
      </c>
      <c r="BI127" s="7">
        <f t="shared" si="160"/>
        <v>0</v>
      </c>
      <c r="BJ127" s="7">
        <f t="shared" si="160"/>
        <v>0</v>
      </c>
      <c r="BK127" s="7">
        <f t="shared" si="160"/>
        <v>0</v>
      </c>
      <c r="BL127" s="7">
        <f t="shared" si="160"/>
        <v>0</v>
      </c>
      <c r="BM127" s="7">
        <f t="shared" si="160"/>
        <v>0</v>
      </c>
      <c r="BN127" s="7">
        <f t="shared" si="160"/>
        <v>0</v>
      </c>
      <c r="BO127" s="7">
        <f t="shared" si="160"/>
        <v>0</v>
      </c>
      <c r="BP127" s="7">
        <f t="shared" si="160"/>
        <v>0</v>
      </c>
      <c r="BQ127" s="7">
        <f t="shared" si="160"/>
        <v>0</v>
      </c>
      <c r="BR127" s="7">
        <f t="shared" si="160"/>
        <v>0</v>
      </c>
      <c r="BS127" s="7">
        <f t="shared" si="160"/>
        <v>0</v>
      </c>
      <c r="BT127" s="7">
        <f t="shared" ref="BT127:CD127" si="161">SUM(BT128:BT130)</f>
        <v>0</v>
      </c>
      <c r="BU127" s="7">
        <f t="shared" si="161"/>
        <v>0</v>
      </c>
      <c r="BV127" s="7">
        <f t="shared" si="161"/>
        <v>0</v>
      </c>
      <c r="BW127" s="7">
        <f t="shared" si="161"/>
        <v>0</v>
      </c>
      <c r="BX127" s="7">
        <f t="shared" si="161"/>
        <v>0</v>
      </c>
      <c r="BY127" s="7">
        <f t="shared" si="161"/>
        <v>0</v>
      </c>
      <c r="BZ127" s="7">
        <f t="shared" si="161"/>
        <v>0</v>
      </c>
      <c r="CA127" s="7">
        <f t="shared" si="161"/>
        <v>0</v>
      </c>
      <c r="CB127" s="7">
        <f t="shared" si="161"/>
        <v>0</v>
      </c>
      <c r="CC127" s="7">
        <f t="shared" si="161"/>
        <v>0</v>
      </c>
      <c r="CD127" s="7">
        <f t="shared" si="161"/>
        <v>0</v>
      </c>
    </row>
    <row r="128" spans="2:82" s="2" customFormat="1" x14ac:dyDescent="0.2">
      <c r="C128" s="2" t="s">
        <v>67</v>
      </c>
      <c r="F128" s="2" t="s">
        <v>56</v>
      </c>
      <c r="G128" s="2">
        <f>O359</f>
        <v>1</v>
      </c>
      <c r="H128" s="2">
        <f t="shared" ref="H128:BR128" si="162">P359</f>
        <v>0</v>
      </c>
      <c r="I128" s="2" t="str">
        <f t="shared" si="162"/>
        <v>emission_co2e_hfcs_ippu_product_use_product_use_ods_refrigeration</v>
      </c>
      <c r="J128" s="2">
        <f t="shared" si="162"/>
        <v>0</v>
      </c>
      <c r="K128" s="2">
        <f t="shared" si="162"/>
        <v>12.494999999999999</v>
      </c>
      <c r="L128" s="2">
        <f t="shared" si="162"/>
        <v>15.680999999999999</v>
      </c>
      <c r="M128" s="2">
        <f t="shared" si="162"/>
        <v>18.548999999999999</v>
      </c>
      <c r="N128" s="2">
        <f t="shared" si="162"/>
        <v>21.16</v>
      </c>
      <c r="O128" s="2">
        <f t="shared" si="162"/>
        <v>23.552</v>
      </c>
      <c r="P128" s="2">
        <f t="shared" si="162"/>
        <v>25.762</v>
      </c>
      <c r="Q128" s="2">
        <f t="shared" si="162"/>
        <v>27.827000000000002</v>
      </c>
      <c r="R128" s="2">
        <f t="shared" si="162"/>
        <v>29.609000000000002</v>
      </c>
      <c r="S128" s="2">
        <f t="shared" si="162"/>
        <v>31.148</v>
      </c>
      <c r="T128" s="2">
        <f t="shared" si="162"/>
        <v>32.484000000000002</v>
      </c>
      <c r="U128" s="2">
        <f t="shared" si="162"/>
        <v>33.648000000000003</v>
      </c>
      <c r="V128" s="2">
        <f t="shared" si="162"/>
        <v>34.668999999999997</v>
      </c>
      <c r="W128" s="2">
        <f t="shared" si="162"/>
        <v>36.191000000000003</v>
      </c>
      <c r="X128" s="2">
        <f t="shared" si="162"/>
        <v>61.344999999999999</v>
      </c>
      <c r="Y128" s="2">
        <f t="shared" si="162"/>
        <v>57.152999999999999</v>
      </c>
      <c r="Z128" s="2">
        <f t="shared" si="162"/>
        <v>54.966000000000001</v>
      </c>
      <c r="AA128" s="2">
        <f t="shared" si="162"/>
        <v>55.043999999999997</v>
      </c>
      <c r="AB128" s="2">
        <f t="shared" si="162"/>
        <v>56.491999999999997</v>
      </c>
      <c r="AC128" s="2">
        <f t="shared" si="162"/>
        <v>59.246000000000002</v>
      </c>
      <c r="AD128" s="2">
        <f t="shared" si="162"/>
        <v>63.134</v>
      </c>
      <c r="AE128" s="2">
        <f t="shared" si="162"/>
        <v>68.143000000000001</v>
      </c>
      <c r="AF128" s="2">
        <f t="shared" si="162"/>
        <v>74.992999999999995</v>
      </c>
      <c r="AG128" s="2">
        <f t="shared" si="162"/>
        <v>81.099999999999994</v>
      </c>
      <c r="AH128" s="2">
        <f t="shared" si="162"/>
        <v>86.685000000000002</v>
      </c>
      <c r="AI128" s="2">
        <f t="shared" si="162"/>
        <v>90.837000000000003</v>
      </c>
      <c r="AJ128" s="2">
        <f t="shared" si="162"/>
        <v>0</v>
      </c>
      <c r="AK128" s="2">
        <f t="shared" si="162"/>
        <v>0</v>
      </c>
      <c r="AL128" s="2">
        <f t="shared" si="162"/>
        <v>0</v>
      </c>
      <c r="AM128" s="2">
        <f t="shared" si="162"/>
        <v>0</v>
      </c>
      <c r="AN128" s="2">
        <f t="shared" si="162"/>
        <v>0</v>
      </c>
      <c r="AO128" s="2">
        <f t="shared" si="162"/>
        <v>0</v>
      </c>
      <c r="AP128" s="2">
        <f t="shared" si="162"/>
        <v>0</v>
      </c>
      <c r="AQ128" s="2">
        <f t="shared" si="162"/>
        <v>0</v>
      </c>
      <c r="AR128" s="2">
        <f t="shared" si="162"/>
        <v>0</v>
      </c>
      <c r="AS128" s="2">
        <f t="shared" si="162"/>
        <v>0</v>
      </c>
      <c r="AT128" s="2">
        <f t="shared" si="162"/>
        <v>0</v>
      </c>
      <c r="AU128" s="2">
        <f t="shared" si="162"/>
        <v>0</v>
      </c>
      <c r="AV128" s="2">
        <f t="shared" si="162"/>
        <v>0</v>
      </c>
      <c r="AW128" s="2">
        <f t="shared" si="162"/>
        <v>0</v>
      </c>
      <c r="AX128" s="2">
        <f t="shared" si="162"/>
        <v>0</v>
      </c>
      <c r="AY128" s="2">
        <f t="shared" si="162"/>
        <v>0</v>
      </c>
      <c r="AZ128" s="2">
        <f t="shared" si="162"/>
        <v>0</v>
      </c>
      <c r="BA128" s="2">
        <f t="shared" si="162"/>
        <v>0</v>
      </c>
      <c r="BB128" s="2">
        <f t="shared" si="162"/>
        <v>0</v>
      </c>
      <c r="BC128" s="2">
        <f t="shared" si="162"/>
        <v>0</v>
      </c>
      <c r="BD128" s="2">
        <f t="shared" si="162"/>
        <v>0</v>
      </c>
      <c r="BE128" s="2">
        <f t="shared" si="162"/>
        <v>0</v>
      </c>
      <c r="BF128" s="2">
        <f t="shared" si="162"/>
        <v>0</v>
      </c>
      <c r="BG128" s="2">
        <f t="shared" si="162"/>
        <v>0</v>
      </c>
      <c r="BH128" s="2">
        <f t="shared" si="162"/>
        <v>0</v>
      </c>
      <c r="BI128" s="2">
        <f t="shared" si="162"/>
        <v>0</v>
      </c>
      <c r="BJ128" s="2">
        <f t="shared" si="162"/>
        <v>0</v>
      </c>
      <c r="BK128" s="2">
        <f t="shared" si="162"/>
        <v>0</v>
      </c>
      <c r="BL128" s="2">
        <f t="shared" si="162"/>
        <v>0</v>
      </c>
      <c r="BM128" s="2">
        <f t="shared" si="162"/>
        <v>0</v>
      </c>
      <c r="BN128" s="2">
        <f t="shared" si="162"/>
        <v>0</v>
      </c>
      <c r="BO128" s="2">
        <f t="shared" si="162"/>
        <v>0</v>
      </c>
      <c r="BP128" s="2">
        <f t="shared" si="162"/>
        <v>0</v>
      </c>
      <c r="BQ128" s="2">
        <f t="shared" si="162"/>
        <v>0</v>
      </c>
      <c r="BR128" s="2">
        <f t="shared" si="162"/>
        <v>0</v>
      </c>
      <c r="BS128" s="2">
        <f t="shared" ref="BS128:CD130" si="163">CA359</f>
        <v>0</v>
      </c>
      <c r="BT128" s="2">
        <f t="shared" si="163"/>
        <v>0</v>
      </c>
      <c r="BU128" s="2">
        <f t="shared" si="163"/>
        <v>0</v>
      </c>
      <c r="BV128" s="2">
        <f t="shared" si="163"/>
        <v>0</v>
      </c>
      <c r="BW128" s="2">
        <f t="shared" si="163"/>
        <v>0</v>
      </c>
      <c r="BX128" s="2">
        <f t="shared" si="163"/>
        <v>0</v>
      </c>
      <c r="BY128" s="2">
        <f t="shared" si="163"/>
        <v>0</v>
      </c>
      <c r="BZ128" s="2">
        <f t="shared" si="163"/>
        <v>0</v>
      </c>
      <c r="CA128" s="2">
        <f t="shared" si="163"/>
        <v>0</v>
      </c>
      <c r="CB128" s="2">
        <f t="shared" si="163"/>
        <v>0</v>
      </c>
      <c r="CC128" s="2">
        <f t="shared" si="163"/>
        <v>0</v>
      </c>
      <c r="CD128" s="2">
        <f t="shared" si="163"/>
        <v>0</v>
      </c>
    </row>
    <row r="129" spans="1:82" s="2" customFormat="1" x14ac:dyDescent="0.2">
      <c r="C129" s="2" t="s">
        <v>68</v>
      </c>
      <c r="F129" s="2" t="s">
        <v>56</v>
      </c>
      <c r="G129" s="2">
        <f>O360</f>
        <v>1</v>
      </c>
      <c r="H129" s="2">
        <f t="shared" ref="H129:Q130" si="164">P360</f>
        <v>0</v>
      </c>
      <c r="I129" s="2" t="str">
        <f t="shared" si="164"/>
        <v>emission_co2e_hfcs_ippu_product_use_product_use_ods_other</v>
      </c>
      <c r="J129" s="2">
        <f t="shared" si="164"/>
        <v>0</v>
      </c>
      <c r="K129" s="2">
        <f t="shared" si="164"/>
        <v>1.18</v>
      </c>
      <c r="L129" s="2">
        <f t="shared" si="164"/>
        <v>1.4790000000000001</v>
      </c>
      <c r="M129" s="2">
        <f t="shared" si="164"/>
        <v>1.748</v>
      </c>
      <c r="N129" s="2">
        <f t="shared" si="164"/>
        <v>1.9930000000000001</v>
      </c>
      <c r="O129" s="2">
        <f t="shared" si="164"/>
        <v>2.2170000000000001</v>
      </c>
      <c r="P129" s="2">
        <f t="shared" si="164"/>
        <v>2.4220000000000002</v>
      </c>
      <c r="Q129" s="2">
        <f t="shared" si="164"/>
        <v>2.6150000000000002</v>
      </c>
      <c r="R129" s="2">
        <f t="shared" ref="R129:AA130" si="165">Z360</f>
        <v>2.7959999999999998</v>
      </c>
      <c r="S129" s="2">
        <f t="shared" si="165"/>
        <v>2.9670000000000001</v>
      </c>
      <c r="T129" s="2">
        <f t="shared" si="165"/>
        <v>3.1309999999999998</v>
      </c>
      <c r="U129" s="2">
        <f t="shared" si="165"/>
        <v>3.2890000000000001</v>
      </c>
      <c r="V129" s="2">
        <f t="shared" si="165"/>
        <v>3.4430000000000001</v>
      </c>
      <c r="W129" s="2">
        <f t="shared" si="165"/>
        <v>3.593</v>
      </c>
      <c r="X129" s="2">
        <f t="shared" si="165"/>
        <v>5.9279999999999999</v>
      </c>
      <c r="Y129" s="2">
        <f t="shared" si="165"/>
        <v>5.4420000000000002</v>
      </c>
      <c r="Z129" s="2">
        <f t="shared" si="165"/>
        <v>5.0979999999999999</v>
      </c>
      <c r="AA129" s="2">
        <f t="shared" si="165"/>
        <v>4.9059999999999997</v>
      </c>
      <c r="AB129" s="2">
        <f t="shared" ref="AB129:AK130" si="166">AJ360</f>
        <v>4.8049999999999997</v>
      </c>
      <c r="AC129" s="2">
        <f t="shared" si="166"/>
        <v>4.766</v>
      </c>
      <c r="AD129" s="2">
        <f t="shared" si="166"/>
        <v>4.774</v>
      </c>
      <c r="AE129" s="2">
        <f t="shared" si="166"/>
        <v>4.8239999999999998</v>
      </c>
      <c r="AF129" s="2">
        <f t="shared" si="166"/>
        <v>4.9219999999999997</v>
      </c>
      <c r="AG129" s="2">
        <f t="shared" si="166"/>
        <v>5.0709999999999997</v>
      </c>
      <c r="AH129" s="2">
        <f t="shared" si="166"/>
        <v>5.2190000000000003</v>
      </c>
      <c r="AI129" s="2">
        <f t="shared" si="166"/>
        <v>5.5869999999999997</v>
      </c>
      <c r="AJ129" s="2">
        <f t="shared" si="166"/>
        <v>0</v>
      </c>
      <c r="AK129" s="2">
        <f t="shared" si="166"/>
        <v>0</v>
      </c>
      <c r="AL129" s="2">
        <f t="shared" ref="AL129:AU130" si="167">AT360</f>
        <v>0</v>
      </c>
      <c r="AM129" s="2">
        <f t="shared" si="167"/>
        <v>0</v>
      </c>
      <c r="AN129" s="2">
        <f t="shared" si="167"/>
        <v>0</v>
      </c>
      <c r="AO129" s="2">
        <f t="shared" si="167"/>
        <v>0</v>
      </c>
      <c r="AP129" s="2">
        <f t="shared" si="167"/>
        <v>0</v>
      </c>
      <c r="AQ129" s="2">
        <f t="shared" si="167"/>
        <v>0</v>
      </c>
      <c r="AR129" s="2">
        <f t="shared" si="167"/>
        <v>0</v>
      </c>
      <c r="AS129" s="2">
        <f t="shared" si="167"/>
        <v>0</v>
      </c>
      <c r="AT129" s="2">
        <f t="shared" si="167"/>
        <v>0</v>
      </c>
      <c r="AU129" s="2">
        <f t="shared" si="167"/>
        <v>0</v>
      </c>
      <c r="AV129" s="2">
        <f t="shared" ref="AV129:BE130" si="168">BD360</f>
        <v>0</v>
      </c>
      <c r="AW129" s="2">
        <f t="shared" si="168"/>
        <v>0</v>
      </c>
      <c r="AX129" s="2">
        <f t="shared" si="168"/>
        <v>0</v>
      </c>
      <c r="AY129" s="2">
        <f t="shared" si="168"/>
        <v>0</v>
      </c>
      <c r="AZ129" s="2">
        <f t="shared" si="168"/>
        <v>0</v>
      </c>
      <c r="BA129" s="2">
        <f t="shared" si="168"/>
        <v>0</v>
      </c>
      <c r="BB129" s="2">
        <f t="shared" si="168"/>
        <v>0</v>
      </c>
      <c r="BC129" s="2">
        <f t="shared" si="168"/>
        <v>0</v>
      </c>
      <c r="BD129" s="2">
        <f t="shared" si="168"/>
        <v>0</v>
      </c>
      <c r="BE129" s="2">
        <f t="shared" si="168"/>
        <v>0</v>
      </c>
      <c r="BF129" s="2">
        <f t="shared" ref="BF129:BO130" si="169">BN360</f>
        <v>0</v>
      </c>
      <c r="BG129" s="2">
        <f t="shared" si="169"/>
        <v>0</v>
      </c>
      <c r="BH129" s="2">
        <f t="shared" si="169"/>
        <v>0</v>
      </c>
      <c r="BI129" s="2">
        <f t="shared" si="169"/>
        <v>0</v>
      </c>
      <c r="BJ129" s="2">
        <f t="shared" si="169"/>
        <v>0</v>
      </c>
      <c r="BK129" s="2">
        <f t="shared" si="169"/>
        <v>0</v>
      </c>
      <c r="BL129" s="2">
        <f t="shared" si="169"/>
        <v>0</v>
      </c>
      <c r="BM129" s="2">
        <f t="shared" si="169"/>
        <v>0</v>
      </c>
      <c r="BN129" s="2">
        <f t="shared" si="169"/>
        <v>0</v>
      </c>
      <c r="BO129" s="2">
        <f t="shared" si="169"/>
        <v>0</v>
      </c>
      <c r="BP129" s="2">
        <f t="shared" ref="BP129:BY130" si="170">BX360</f>
        <v>0</v>
      </c>
      <c r="BQ129" s="2">
        <f t="shared" si="170"/>
        <v>0</v>
      </c>
      <c r="BR129" s="2">
        <f t="shared" si="170"/>
        <v>0</v>
      </c>
      <c r="BS129" s="2">
        <f t="shared" si="163"/>
        <v>0</v>
      </c>
      <c r="BT129" s="2">
        <f t="shared" si="163"/>
        <v>0</v>
      </c>
      <c r="BU129" s="2">
        <f t="shared" si="163"/>
        <v>0</v>
      </c>
      <c r="BV129" s="2">
        <f t="shared" si="163"/>
        <v>0</v>
      </c>
      <c r="BW129" s="2">
        <f t="shared" si="163"/>
        <v>0</v>
      </c>
      <c r="BX129" s="2">
        <f t="shared" si="163"/>
        <v>0</v>
      </c>
      <c r="BY129" s="2">
        <f t="shared" si="163"/>
        <v>0</v>
      </c>
      <c r="BZ129" s="2">
        <f t="shared" si="163"/>
        <v>0</v>
      </c>
      <c r="CA129" s="2">
        <f t="shared" si="163"/>
        <v>0</v>
      </c>
      <c r="CB129" s="2">
        <f t="shared" si="163"/>
        <v>0</v>
      </c>
      <c r="CC129" s="2">
        <f t="shared" si="163"/>
        <v>0</v>
      </c>
      <c r="CD129" s="2">
        <f t="shared" si="163"/>
        <v>0</v>
      </c>
    </row>
    <row r="130" spans="1:82" s="2" customFormat="1" x14ac:dyDescent="0.2">
      <c r="C130" s="2" t="s">
        <v>68</v>
      </c>
      <c r="F130" s="2" t="s">
        <v>58</v>
      </c>
      <c r="G130" s="2">
        <f>O361</f>
        <v>1</v>
      </c>
      <c r="H130" s="2">
        <f t="shared" si="164"/>
        <v>0</v>
      </c>
      <c r="I130" s="2" t="str">
        <f t="shared" si="164"/>
        <v>emission_co2e_pfcs_ippu_product_use_product_use_ods_other</v>
      </c>
      <c r="J130" s="2">
        <f t="shared" si="164"/>
        <v>0</v>
      </c>
      <c r="K130" s="2">
        <f t="shared" si="164"/>
        <v>0</v>
      </c>
      <c r="L130" s="2">
        <f t="shared" si="164"/>
        <v>0</v>
      </c>
      <c r="M130" s="2">
        <f t="shared" si="164"/>
        <v>0</v>
      </c>
      <c r="N130" s="2">
        <f t="shared" si="164"/>
        <v>0</v>
      </c>
      <c r="O130" s="2">
        <f t="shared" si="164"/>
        <v>0</v>
      </c>
      <c r="P130" s="2">
        <f t="shared" si="164"/>
        <v>0</v>
      </c>
      <c r="Q130" s="2">
        <f t="shared" si="164"/>
        <v>0</v>
      </c>
      <c r="R130" s="2">
        <f t="shared" si="165"/>
        <v>0</v>
      </c>
      <c r="S130" s="2">
        <f t="shared" si="165"/>
        <v>0</v>
      </c>
      <c r="T130" s="2">
        <f t="shared" si="165"/>
        <v>0</v>
      </c>
      <c r="U130" s="2">
        <f t="shared" si="165"/>
        <v>0</v>
      </c>
      <c r="V130" s="2">
        <f t="shared" si="165"/>
        <v>0</v>
      </c>
      <c r="W130" s="2">
        <f t="shared" si="165"/>
        <v>0</v>
      </c>
      <c r="X130" s="2">
        <f t="shared" si="165"/>
        <v>0</v>
      </c>
      <c r="Y130" s="2">
        <f t="shared" si="165"/>
        <v>0</v>
      </c>
      <c r="Z130" s="2">
        <f t="shared" si="165"/>
        <v>174.02</v>
      </c>
      <c r="AA130" s="2">
        <f t="shared" si="165"/>
        <v>0</v>
      </c>
      <c r="AB130" s="2">
        <f t="shared" si="166"/>
        <v>0</v>
      </c>
      <c r="AC130" s="2">
        <f t="shared" si="166"/>
        <v>0</v>
      </c>
      <c r="AD130" s="2">
        <f t="shared" si="166"/>
        <v>0</v>
      </c>
      <c r="AE130" s="2">
        <f t="shared" si="166"/>
        <v>0</v>
      </c>
      <c r="AF130" s="2">
        <f t="shared" si="166"/>
        <v>0</v>
      </c>
      <c r="AG130" s="2">
        <f t="shared" si="166"/>
        <v>0</v>
      </c>
      <c r="AH130" s="2">
        <f t="shared" si="166"/>
        <v>0</v>
      </c>
      <c r="AI130" s="2">
        <f t="shared" si="166"/>
        <v>0</v>
      </c>
      <c r="AJ130" s="2">
        <f t="shared" si="166"/>
        <v>0</v>
      </c>
      <c r="AK130" s="2">
        <f t="shared" si="166"/>
        <v>0</v>
      </c>
      <c r="AL130" s="2">
        <f t="shared" si="167"/>
        <v>0</v>
      </c>
      <c r="AM130" s="2">
        <f t="shared" si="167"/>
        <v>0</v>
      </c>
      <c r="AN130" s="2">
        <f t="shared" si="167"/>
        <v>0</v>
      </c>
      <c r="AO130" s="2">
        <f t="shared" si="167"/>
        <v>0</v>
      </c>
      <c r="AP130" s="2">
        <f t="shared" si="167"/>
        <v>0</v>
      </c>
      <c r="AQ130" s="2">
        <f t="shared" si="167"/>
        <v>0</v>
      </c>
      <c r="AR130" s="2">
        <f t="shared" si="167"/>
        <v>0</v>
      </c>
      <c r="AS130" s="2">
        <f t="shared" si="167"/>
        <v>0</v>
      </c>
      <c r="AT130" s="2">
        <f t="shared" si="167"/>
        <v>0</v>
      </c>
      <c r="AU130" s="2">
        <f t="shared" si="167"/>
        <v>0</v>
      </c>
      <c r="AV130" s="2">
        <f t="shared" si="168"/>
        <v>0</v>
      </c>
      <c r="AW130" s="2">
        <f t="shared" si="168"/>
        <v>0</v>
      </c>
      <c r="AX130" s="2">
        <f t="shared" si="168"/>
        <v>0</v>
      </c>
      <c r="AY130" s="2">
        <f t="shared" si="168"/>
        <v>0</v>
      </c>
      <c r="AZ130" s="2">
        <f t="shared" si="168"/>
        <v>0</v>
      </c>
      <c r="BA130" s="2">
        <f t="shared" si="168"/>
        <v>0</v>
      </c>
      <c r="BB130" s="2">
        <f t="shared" si="168"/>
        <v>0</v>
      </c>
      <c r="BC130" s="2">
        <f t="shared" si="168"/>
        <v>0</v>
      </c>
      <c r="BD130" s="2">
        <f t="shared" si="168"/>
        <v>0</v>
      </c>
      <c r="BE130" s="2">
        <f t="shared" si="168"/>
        <v>0</v>
      </c>
      <c r="BF130" s="2">
        <f t="shared" si="169"/>
        <v>0</v>
      </c>
      <c r="BG130" s="2">
        <f t="shared" si="169"/>
        <v>0</v>
      </c>
      <c r="BH130" s="2">
        <f t="shared" si="169"/>
        <v>0</v>
      </c>
      <c r="BI130" s="2">
        <f t="shared" si="169"/>
        <v>0</v>
      </c>
      <c r="BJ130" s="2">
        <f t="shared" si="169"/>
        <v>0</v>
      </c>
      <c r="BK130" s="2">
        <f t="shared" si="169"/>
        <v>0</v>
      </c>
      <c r="BL130" s="2">
        <f t="shared" si="169"/>
        <v>0</v>
      </c>
      <c r="BM130" s="2">
        <f t="shared" si="169"/>
        <v>0</v>
      </c>
      <c r="BN130" s="2">
        <f t="shared" si="169"/>
        <v>0</v>
      </c>
      <c r="BO130" s="2">
        <f t="shared" si="169"/>
        <v>0</v>
      </c>
      <c r="BP130" s="2">
        <f t="shared" si="170"/>
        <v>0</v>
      </c>
      <c r="BQ130" s="2">
        <f t="shared" si="170"/>
        <v>0</v>
      </c>
      <c r="BR130" s="2">
        <f t="shared" si="170"/>
        <v>0</v>
      </c>
      <c r="BS130" s="2">
        <f t="shared" si="163"/>
        <v>0</v>
      </c>
      <c r="BT130" s="2">
        <f t="shared" si="163"/>
        <v>0</v>
      </c>
      <c r="BU130" s="2">
        <f t="shared" si="163"/>
        <v>0</v>
      </c>
      <c r="BV130" s="2">
        <f t="shared" si="163"/>
        <v>0</v>
      </c>
      <c r="BW130" s="2">
        <f t="shared" si="163"/>
        <v>0</v>
      </c>
      <c r="BX130" s="2">
        <f t="shared" si="163"/>
        <v>0</v>
      </c>
      <c r="BY130" s="2">
        <f t="shared" si="163"/>
        <v>0</v>
      </c>
      <c r="BZ130" s="2">
        <f t="shared" si="163"/>
        <v>0</v>
      </c>
      <c r="CA130" s="2">
        <f t="shared" si="163"/>
        <v>0</v>
      </c>
      <c r="CB130" s="2">
        <f t="shared" si="163"/>
        <v>0</v>
      </c>
      <c r="CC130" s="2">
        <f t="shared" si="163"/>
        <v>0</v>
      </c>
      <c r="CD130" s="2">
        <f t="shared" si="163"/>
        <v>0</v>
      </c>
    </row>
    <row r="131" spans="1:82" s="7" customFormat="1" x14ac:dyDescent="0.2">
      <c r="B131" s="7" t="s">
        <v>69</v>
      </c>
      <c r="G131" s="7">
        <f>SUM(G132:G134)</f>
        <v>3</v>
      </c>
      <c r="H131" s="7">
        <f t="shared" ref="H131:BS131" si="171">SUM(H132:H134)</f>
        <v>0</v>
      </c>
      <c r="I131" s="7">
        <f t="shared" si="171"/>
        <v>0</v>
      </c>
      <c r="J131" s="7">
        <f t="shared" si="171"/>
        <v>0</v>
      </c>
      <c r="K131" s="7">
        <f t="shared" si="171"/>
        <v>0</v>
      </c>
      <c r="L131" s="7">
        <f t="shared" si="171"/>
        <v>0</v>
      </c>
      <c r="M131" s="7">
        <f t="shared" si="171"/>
        <v>0</v>
      </c>
      <c r="N131" s="7">
        <f t="shared" si="171"/>
        <v>0</v>
      </c>
      <c r="O131" s="7">
        <f t="shared" si="171"/>
        <v>0</v>
      </c>
      <c r="P131" s="7">
        <f t="shared" si="171"/>
        <v>0</v>
      </c>
      <c r="Q131" s="7">
        <f t="shared" si="171"/>
        <v>0</v>
      </c>
      <c r="R131" s="7">
        <f t="shared" si="171"/>
        <v>0</v>
      </c>
      <c r="S131" s="7">
        <f t="shared" si="171"/>
        <v>0</v>
      </c>
      <c r="T131" s="7">
        <f t="shared" si="171"/>
        <v>0</v>
      </c>
      <c r="U131" s="7">
        <f t="shared" si="171"/>
        <v>0</v>
      </c>
      <c r="V131" s="7">
        <f t="shared" si="171"/>
        <v>0</v>
      </c>
      <c r="W131" s="7">
        <f t="shared" si="171"/>
        <v>0</v>
      </c>
      <c r="X131" s="7">
        <f t="shared" si="171"/>
        <v>0</v>
      </c>
      <c r="Y131" s="7">
        <f t="shared" si="171"/>
        <v>0</v>
      </c>
      <c r="Z131" s="7">
        <f t="shared" si="171"/>
        <v>0</v>
      </c>
      <c r="AA131" s="7">
        <f t="shared" si="171"/>
        <v>0</v>
      </c>
      <c r="AB131" s="7">
        <f t="shared" si="171"/>
        <v>0</v>
      </c>
      <c r="AC131" s="7">
        <f t="shared" si="171"/>
        <v>0</v>
      </c>
      <c r="AD131" s="7">
        <f t="shared" si="171"/>
        <v>0</v>
      </c>
      <c r="AE131" s="7">
        <f t="shared" si="171"/>
        <v>0</v>
      </c>
      <c r="AF131" s="7">
        <f t="shared" si="171"/>
        <v>0</v>
      </c>
      <c r="AG131" s="7">
        <f t="shared" si="171"/>
        <v>0</v>
      </c>
      <c r="AH131" s="7">
        <f t="shared" si="171"/>
        <v>0</v>
      </c>
      <c r="AI131" s="7">
        <f t="shared" si="171"/>
        <v>0</v>
      </c>
      <c r="AJ131" s="7">
        <f t="shared" si="171"/>
        <v>0</v>
      </c>
      <c r="AK131" s="7">
        <f t="shared" si="171"/>
        <v>0</v>
      </c>
      <c r="AL131" s="7">
        <f t="shared" si="171"/>
        <v>0</v>
      </c>
      <c r="AM131" s="7">
        <f t="shared" si="171"/>
        <v>0</v>
      </c>
      <c r="AN131" s="7">
        <f t="shared" si="171"/>
        <v>0</v>
      </c>
      <c r="AO131" s="7">
        <f t="shared" si="171"/>
        <v>0</v>
      </c>
      <c r="AP131" s="7">
        <f t="shared" si="171"/>
        <v>0</v>
      </c>
      <c r="AQ131" s="7">
        <f t="shared" si="171"/>
        <v>0</v>
      </c>
      <c r="AR131" s="7">
        <f t="shared" si="171"/>
        <v>0</v>
      </c>
      <c r="AS131" s="7">
        <f t="shared" si="171"/>
        <v>0</v>
      </c>
      <c r="AT131" s="7">
        <f t="shared" si="171"/>
        <v>0</v>
      </c>
      <c r="AU131" s="7">
        <f t="shared" si="171"/>
        <v>0</v>
      </c>
      <c r="AV131" s="7">
        <f t="shared" si="171"/>
        <v>0</v>
      </c>
      <c r="AW131" s="7">
        <f t="shared" si="171"/>
        <v>0</v>
      </c>
      <c r="AX131" s="7">
        <f t="shared" si="171"/>
        <v>0</v>
      </c>
      <c r="AY131" s="7">
        <f t="shared" si="171"/>
        <v>0</v>
      </c>
      <c r="AZ131" s="7">
        <f t="shared" si="171"/>
        <v>0</v>
      </c>
      <c r="BA131" s="7">
        <f t="shared" si="171"/>
        <v>0</v>
      </c>
      <c r="BB131" s="7">
        <f t="shared" si="171"/>
        <v>0</v>
      </c>
      <c r="BC131" s="7">
        <f t="shared" si="171"/>
        <v>0</v>
      </c>
      <c r="BD131" s="7">
        <f t="shared" si="171"/>
        <v>0</v>
      </c>
      <c r="BE131" s="7">
        <f t="shared" si="171"/>
        <v>0</v>
      </c>
      <c r="BF131" s="7">
        <f t="shared" si="171"/>
        <v>0</v>
      </c>
      <c r="BG131" s="7">
        <f t="shared" si="171"/>
        <v>0</v>
      </c>
      <c r="BH131" s="7">
        <f t="shared" si="171"/>
        <v>0</v>
      </c>
      <c r="BI131" s="7">
        <f t="shared" si="171"/>
        <v>0</v>
      </c>
      <c r="BJ131" s="7">
        <f t="shared" si="171"/>
        <v>0</v>
      </c>
      <c r="BK131" s="7">
        <f t="shared" si="171"/>
        <v>0</v>
      </c>
      <c r="BL131" s="7">
        <f t="shared" si="171"/>
        <v>0</v>
      </c>
      <c r="BM131" s="7">
        <f t="shared" si="171"/>
        <v>0</v>
      </c>
      <c r="BN131" s="7">
        <f t="shared" si="171"/>
        <v>0</v>
      </c>
      <c r="BO131" s="7">
        <f t="shared" si="171"/>
        <v>0</v>
      </c>
      <c r="BP131" s="7">
        <f t="shared" si="171"/>
        <v>0</v>
      </c>
      <c r="BQ131" s="7">
        <f t="shared" si="171"/>
        <v>0</v>
      </c>
      <c r="BR131" s="7">
        <f t="shared" si="171"/>
        <v>0</v>
      </c>
      <c r="BS131" s="7">
        <f t="shared" si="171"/>
        <v>0</v>
      </c>
      <c r="BT131" s="7">
        <f t="shared" ref="BT131:CD131" si="172">SUM(BT132:BT134)</f>
        <v>0</v>
      </c>
      <c r="BU131" s="7">
        <f t="shared" si="172"/>
        <v>0</v>
      </c>
      <c r="BV131" s="7">
        <f t="shared" si="172"/>
        <v>0</v>
      </c>
      <c r="BW131" s="7">
        <f t="shared" si="172"/>
        <v>0</v>
      </c>
      <c r="BX131" s="7">
        <f t="shared" si="172"/>
        <v>0</v>
      </c>
      <c r="BY131" s="7">
        <f t="shared" si="172"/>
        <v>0</v>
      </c>
      <c r="BZ131" s="7">
        <f t="shared" si="172"/>
        <v>0</v>
      </c>
      <c r="CA131" s="7">
        <f t="shared" si="172"/>
        <v>0</v>
      </c>
      <c r="CB131" s="7">
        <f t="shared" si="172"/>
        <v>0</v>
      </c>
      <c r="CC131" s="7">
        <f t="shared" si="172"/>
        <v>0</v>
      </c>
      <c r="CD131" s="7">
        <f t="shared" si="172"/>
        <v>0</v>
      </c>
    </row>
    <row r="132" spans="1:82" s="2" customFormat="1" x14ac:dyDescent="0.2">
      <c r="F132" s="2" t="s">
        <v>59</v>
      </c>
      <c r="G132" s="2">
        <f>O362</f>
        <v>1</v>
      </c>
      <c r="H132" s="2">
        <f t="shared" ref="H132:BS133" si="173">P362</f>
        <v>0</v>
      </c>
      <c r="I132" s="2" t="str">
        <f t="shared" si="173"/>
        <v>emission_co2e_sf6_ippu_production_other_product_manufacturing</v>
      </c>
      <c r="J132" s="2">
        <f t="shared" si="173"/>
        <v>0</v>
      </c>
      <c r="K132" s="2">
        <f t="shared" si="173"/>
        <v>0</v>
      </c>
      <c r="L132" s="2">
        <f t="shared" si="173"/>
        <v>0</v>
      </c>
      <c r="M132" s="2">
        <f t="shared" si="173"/>
        <v>0</v>
      </c>
      <c r="N132" s="2">
        <f t="shared" si="173"/>
        <v>0</v>
      </c>
      <c r="O132" s="2">
        <f t="shared" si="173"/>
        <v>0</v>
      </c>
      <c r="P132" s="2">
        <f t="shared" si="173"/>
        <v>0</v>
      </c>
      <c r="Q132" s="2">
        <f t="shared" si="173"/>
        <v>0</v>
      </c>
      <c r="R132" s="2">
        <f t="shared" si="173"/>
        <v>0</v>
      </c>
      <c r="S132" s="2">
        <f t="shared" si="173"/>
        <v>0</v>
      </c>
      <c r="T132" s="2">
        <f t="shared" si="173"/>
        <v>0</v>
      </c>
      <c r="U132" s="2">
        <f t="shared" si="173"/>
        <v>0</v>
      </c>
      <c r="V132" s="2">
        <f t="shared" si="173"/>
        <v>0</v>
      </c>
      <c r="W132" s="2">
        <f t="shared" si="173"/>
        <v>0</v>
      </c>
      <c r="X132" s="2">
        <f t="shared" si="173"/>
        <v>0</v>
      </c>
      <c r="Y132" s="2">
        <f t="shared" si="173"/>
        <v>0</v>
      </c>
      <c r="Z132" s="2">
        <f t="shared" si="173"/>
        <v>0</v>
      </c>
      <c r="AA132" s="2">
        <f t="shared" si="173"/>
        <v>0</v>
      </c>
      <c r="AB132" s="2">
        <f t="shared" si="173"/>
        <v>0</v>
      </c>
      <c r="AC132" s="2">
        <f t="shared" si="173"/>
        <v>0</v>
      </c>
      <c r="AD132" s="2">
        <f t="shared" si="173"/>
        <v>0</v>
      </c>
      <c r="AE132" s="2">
        <f t="shared" si="173"/>
        <v>0</v>
      </c>
      <c r="AF132" s="2">
        <f t="shared" si="173"/>
        <v>0</v>
      </c>
      <c r="AG132" s="2">
        <f t="shared" si="173"/>
        <v>0</v>
      </c>
      <c r="AH132" s="2">
        <f t="shared" si="173"/>
        <v>0</v>
      </c>
      <c r="AI132" s="2">
        <f t="shared" si="173"/>
        <v>0</v>
      </c>
      <c r="AJ132" s="2">
        <f t="shared" si="173"/>
        <v>0</v>
      </c>
      <c r="AK132" s="2">
        <f t="shared" si="173"/>
        <v>0</v>
      </c>
      <c r="AL132" s="2">
        <f t="shared" si="173"/>
        <v>0</v>
      </c>
      <c r="AM132" s="2">
        <f t="shared" si="173"/>
        <v>0</v>
      </c>
      <c r="AN132" s="2">
        <f t="shared" si="173"/>
        <v>0</v>
      </c>
      <c r="AO132" s="2">
        <f t="shared" si="173"/>
        <v>0</v>
      </c>
      <c r="AP132" s="2">
        <f t="shared" si="173"/>
        <v>0</v>
      </c>
      <c r="AQ132" s="2">
        <f t="shared" si="173"/>
        <v>0</v>
      </c>
      <c r="AR132" s="2">
        <f t="shared" si="173"/>
        <v>0</v>
      </c>
      <c r="AS132" s="2">
        <f t="shared" si="173"/>
        <v>0</v>
      </c>
      <c r="AT132" s="2">
        <f t="shared" si="173"/>
        <v>0</v>
      </c>
      <c r="AU132" s="2">
        <f t="shared" si="173"/>
        <v>0</v>
      </c>
      <c r="AV132" s="2">
        <f t="shared" si="173"/>
        <v>0</v>
      </c>
      <c r="AW132" s="2">
        <f t="shared" si="173"/>
        <v>0</v>
      </c>
      <c r="AX132" s="2">
        <f t="shared" si="173"/>
        <v>0</v>
      </c>
      <c r="AY132" s="2">
        <f t="shared" si="173"/>
        <v>0</v>
      </c>
      <c r="AZ132" s="2">
        <f t="shared" si="173"/>
        <v>0</v>
      </c>
      <c r="BA132" s="2">
        <f t="shared" si="173"/>
        <v>0</v>
      </c>
      <c r="BB132" s="2">
        <f t="shared" si="173"/>
        <v>0</v>
      </c>
      <c r="BC132" s="2">
        <f t="shared" si="173"/>
        <v>0</v>
      </c>
      <c r="BD132" s="2">
        <f t="shared" si="173"/>
        <v>0</v>
      </c>
      <c r="BE132" s="2">
        <f t="shared" si="173"/>
        <v>0</v>
      </c>
      <c r="BF132" s="2">
        <f t="shared" si="173"/>
        <v>0</v>
      </c>
      <c r="BG132" s="2">
        <f t="shared" si="173"/>
        <v>0</v>
      </c>
      <c r="BH132" s="2">
        <f t="shared" si="173"/>
        <v>0</v>
      </c>
      <c r="BI132" s="2">
        <f t="shared" si="173"/>
        <v>0</v>
      </c>
      <c r="BJ132" s="2">
        <f t="shared" si="173"/>
        <v>0</v>
      </c>
      <c r="BK132" s="2">
        <f t="shared" si="173"/>
        <v>0</v>
      </c>
      <c r="BL132" s="2">
        <f t="shared" si="173"/>
        <v>0</v>
      </c>
      <c r="BM132" s="2">
        <f t="shared" si="173"/>
        <v>0</v>
      </c>
      <c r="BN132" s="2">
        <f t="shared" si="173"/>
        <v>0</v>
      </c>
      <c r="BO132" s="2">
        <f t="shared" si="173"/>
        <v>0</v>
      </c>
      <c r="BP132" s="2">
        <f t="shared" si="173"/>
        <v>0</v>
      </c>
      <c r="BQ132" s="2">
        <f t="shared" si="173"/>
        <v>0</v>
      </c>
      <c r="BR132" s="2">
        <f t="shared" si="173"/>
        <v>0</v>
      </c>
      <c r="BS132" s="2">
        <f t="shared" si="173"/>
        <v>0</v>
      </c>
      <c r="BT132" s="2">
        <f t="shared" ref="BT132:CD132" si="174">CB362</f>
        <v>0</v>
      </c>
      <c r="BU132" s="2">
        <f t="shared" si="174"/>
        <v>0</v>
      </c>
      <c r="BV132" s="2">
        <f t="shared" si="174"/>
        <v>0</v>
      </c>
      <c r="BW132" s="2">
        <f t="shared" si="174"/>
        <v>0</v>
      </c>
      <c r="BX132" s="2">
        <f t="shared" si="174"/>
        <v>0</v>
      </c>
      <c r="BY132" s="2">
        <f t="shared" si="174"/>
        <v>0</v>
      </c>
      <c r="BZ132" s="2">
        <f t="shared" si="174"/>
        <v>0</v>
      </c>
      <c r="CA132" s="2">
        <f t="shared" si="174"/>
        <v>0</v>
      </c>
      <c r="CB132" s="2">
        <f t="shared" si="174"/>
        <v>0</v>
      </c>
      <c r="CC132" s="2">
        <f t="shared" si="174"/>
        <v>0</v>
      </c>
      <c r="CD132" s="2">
        <f t="shared" si="174"/>
        <v>0</v>
      </c>
    </row>
    <row r="133" spans="1:82" s="2" customFormat="1" x14ac:dyDescent="0.2">
      <c r="F133" s="2" t="s">
        <v>8</v>
      </c>
      <c r="G133" s="2">
        <f>O363</f>
        <v>1</v>
      </c>
      <c r="H133" s="2">
        <f t="shared" si="173"/>
        <v>0</v>
      </c>
      <c r="I133" s="2" t="str">
        <f t="shared" si="173"/>
        <v>emission_co2e_n2o_ippu_production_other_product_manufacturing</v>
      </c>
      <c r="J133" s="2">
        <f t="shared" si="173"/>
        <v>0</v>
      </c>
      <c r="K133" s="2">
        <f t="shared" si="173"/>
        <v>0</v>
      </c>
      <c r="L133" s="2">
        <f t="shared" si="173"/>
        <v>0</v>
      </c>
      <c r="M133" s="2">
        <f t="shared" si="173"/>
        <v>0</v>
      </c>
      <c r="N133" s="2">
        <f t="shared" si="173"/>
        <v>0</v>
      </c>
      <c r="O133" s="2">
        <f t="shared" si="173"/>
        <v>0</v>
      </c>
      <c r="P133" s="2">
        <f t="shared" si="173"/>
        <v>0</v>
      </c>
      <c r="Q133" s="2">
        <f t="shared" si="173"/>
        <v>0</v>
      </c>
      <c r="R133" s="2">
        <f t="shared" si="173"/>
        <v>0</v>
      </c>
      <c r="S133" s="2">
        <f t="shared" si="173"/>
        <v>0</v>
      </c>
      <c r="T133" s="2">
        <f t="shared" si="173"/>
        <v>0</v>
      </c>
      <c r="U133" s="2">
        <f t="shared" si="173"/>
        <v>0</v>
      </c>
      <c r="V133" s="2">
        <f t="shared" si="173"/>
        <v>0</v>
      </c>
      <c r="W133" s="2">
        <f t="shared" si="173"/>
        <v>0</v>
      </c>
      <c r="X133" s="2">
        <f t="shared" si="173"/>
        <v>0</v>
      </c>
      <c r="Y133" s="2">
        <f t="shared" si="173"/>
        <v>0</v>
      </c>
      <c r="Z133" s="2">
        <f t="shared" si="173"/>
        <v>0</v>
      </c>
      <c r="AA133" s="2">
        <f t="shared" si="173"/>
        <v>0</v>
      </c>
      <c r="AB133" s="2">
        <f t="shared" si="173"/>
        <v>0</v>
      </c>
      <c r="AC133" s="2">
        <f t="shared" si="173"/>
        <v>0</v>
      </c>
      <c r="AD133" s="2">
        <f t="shared" si="173"/>
        <v>0</v>
      </c>
      <c r="AE133" s="2">
        <f t="shared" si="173"/>
        <v>0</v>
      </c>
      <c r="AF133" s="2">
        <f t="shared" si="173"/>
        <v>0</v>
      </c>
      <c r="AG133" s="2">
        <f t="shared" si="173"/>
        <v>0</v>
      </c>
      <c r="AH133" s="2">
        <f t="shared" si="173"/>
        <v>0</v>
      </c>
      <c r="AI133" s="2">
        <f t="shared" si="173"/>
        <v>0</v>
      </c>
      <c r="AJ133" s="2">
        <f t="shared" si="173"/>
        <v>0</v>
      </c>
      <c r="AK133" s="2">
        <f t="shared" si="173"/>
        <v>0</v>
      </c>
      <c r="AL133" s="2">
        <f t="shared" si="173"/>
        <v>0</v>
      </c>
      <c r="AM133" s="2">
        <f t="shared" si="173"/>
        <v>0</v>
      </c>
      <c r="AN133" s="2">
        <f t="shared" si="173"/>
        <v>0</v>
      </c>
      <c r="AO133" s="2">
        <f t="shared" si="173"/>
        <v>0</v>
      </c>
      <c r="AP133" s="2">
        <f t="shared" si="173"/>
        <v>0</v>
      </c>
      <c r="AQ133" s="2">
        <f t="shared" si="173"/>
        <v>0</v>
      </c>
      <c r="AR133" s="2">
        <f t="shared" si="173"/>
        <v>0</v>
      </c>
      <c r="AS133" s="2">
        <f t="shared" si="173"/>
        <v>0</v>
      </c>
      <c r="AT133" s="2">
        <f t="shared" si="173"/>
        <v>0</v>
      </c>
      <c r="AU133" s="2">
        <f t="shared" si="173"/>
        <v>0</v>
      </c>
      <c r="AV133" s="2">
        <f t="shared" si="173"/>
        <v>0</v>
      </c>
      <c r="AW133" s="2">
        <f t="shared" si="173"/>
        <v>0</v>
      </c>
      <c r="AX133" s="2">
        <f t="shared" si="173"/>
        <v>0</v>
      </c>
      <c r="AY133" s="2">
        <f t="shared" si="173"/>
        <v>0</v>
      </c>
      <c r="AZ133" s="2">
        <f t="shared" si="173"/>
        <v>0</v>
      </c>
      <c r="BA133" s="2">
        <f t="shared" si="173"/>
        <v>0</v>
      </c>
      <c r="BB133" s="2">
        <f t="shared" si="173"/>
        <v>0</v>
      </c>
      <c r="BC133" s="2">
        <f t="shared" si="173"/>
        <v>0</v>
      </c>
      <c r="BD133" s="2">
        <f t="shared" si="173"/>
        <v>0</v>
      </c>
      <c r="BE133" s="2">
        <f t="shared" si="173"/>
        <v>0</v>
      </c>
      <c r="BF133" s="2">
        <f t="shared" si="173"/>
        <v>0</v>
      </c>
      <c r="BG133" s="2">
        <f t="shared" si="173"/>
        <v>0</v>
      </c>
      <c r="BH133" s="2">
        <f t="shared" si="173"/>
        <v>0</v>
      </c>
      <c r="BI133" s="2">
        <f t="shared" si="173"/>
        <v>0</v>
      </c>
      <c r="BJ133" s="2">
        <f t="shared" si="173"/>
        <v>0</v>
      </c>
      <c r="BK133" s="2">
        <f t="shared" si="173"/>
        <v>0</v>
      </c>
      <c r="BL133" s="2">
        <f t="shared" si="173"/>
        <v>0</v>
      </c>
      <c r="BM133" s="2">
        <f t="shared" si="173"/>
        <v>0</v>
      </c>
      <c r="BN133" s="2">
        <f t="shared" si="173"/>
        <v>0</v>
      </c>
      <c r="BO133" s="2">
        <f t="shared" si="173"/>
        <v>0</v>
      </c>
      <c r="BP133" s="2">
        <f t="shared" si="173"/>
        <v>0</v>
      </c>
      <c r="BQ133" s="2">
        <f t="shared" si="173"/>
        <v>0</v>
      </c>
      <c r="BR133" s="2">
        <f t="shared" si="173"/>
        <v>0</v>
      </c>
      <c r="BS133" s="2">
        <f t="shared" ref="BS133:CD134" si="175">CA363</f>
        <v>0</v>
      </c>
      <c r="BT133" s="2">
        <f t="shared" si="175"/>
        <v>0</v>
      </c>
      <c r="BU133" s="2">
        <f t="shared" si="175"/>
        <v>0</v>
      </c>
      <c r="BV133" s="2">
        <f t="shared" si="175"/>
        <v>0</v>
      </c>
      <c r="BW133" s="2">
        <f t="shared" si="175"/>
        <v>0</v>
      </c>
      <c r="BX133" s="2">
        <f t="shared" si="175"/>
        <v>0</v>
      </c>
      <c r="BY133" s="2">
        <f t="shared" si="175"/>
        <v>0</v>
      </c>
      <c r="BZ133" s="2">
        <f t="shared" si="175"/>
        <v>0</v>
      </c>
      <c r="CA133" s="2">
        <f t="shared" si="175"/>
        <v>0</v>
      </c>
      <c r="CB133" s="2">
        <f t="shared" si="175"/>
        <v>0</v>
      </c>
      <c r="CC133" s="2">
        <f t="shared" si="175"/>
        <v>0</v>
      </c>
      <c r="CD133" s="2">
        <f t="shared" si="175"/>
        <v>0</v>
      </c>
    </row>
    <row r="134" spans="1:82" s="2" customFormat="1" x14ac:dyDescent="0.2">
      <c r="F134" s="2" t="s">
        <v>58</v>
      </c>
      <c r="G134" s="2">
        <f>O364</f>
        <v>1</v>
      </c>
      <c r="H134" s="2">
        <f t="shared" ref="H134:AM134" si="176">P364</f>
        <v>0</v>
      </c>
      <c r="I134" s="2" t="str">
        <f t="shared" si="176"/>
        <v>emission_co2e_pfcs_ippu_production_other_product_manufacturing</v>
      </c>
      <c r="J134" s="2">
        <f t="shared" si="176"/>
        <v>0</v>
      </c>
      <c r="K134" s="2">
        <f t="shared" si="176"/>
        <v>0</v>
      </c>
      <c r="L134" s="2">
        <f t="shared" si="176"/>
        <v>0</v>
      </c>
      <c r="M134" s="2">
        <f t="shared" si="176"/>
        <v>0</v>
      </c>
      <c r="N134" s="2">
        <f t="shared" si="176"/>
        <v>0</v>
      </c>
      <c r="O134" s="2">
        <f t="shared" si="176"/>
        <v>0</v>
      </c>
      <c r="P134" s="2">
        <f t="shared" si="176"/>
        <v>0</v>
      </c>
      <c r="Q134" s="2">
        <f t="shared" si="176"/>
        <v>0</v>
      </c>
      <c r="R134" s="2">
        <f t="shared" si="176"/>
        <v>0</v>
      </c>
      <c r="S134" s="2">
        <f t="shared" si="176"/>
        <v>0</v>
      </c>
      <c r="T134" s="2">
        <f t="shared" si="176"/>
        <v>0</v>
      </c>
      <c r="U134" s="2">
        <f t="shared" si="176"/>
        <v>0</v>
      </c>
      <c r="V134" s="2">
        <f t="shared" si="176"/>
        <v>0</v>
      </c>
      <c r="W134" s="2">
        <f t="shared" si="176"/>
        <v>0</v>
      </c>
      <c r="X134" s="2">
        <f t="shared" si="176"/>
        <v>0</v>
      </c>
      <c r="Y134" s="2">
        <f t="shared" si="176"/>
        <v>0</v>
      </c>
      <c r="Z134" s="2">
        <f t="shared" si="176"/>
        <v>0</v>
      </c>
      <c r="AA134" s="2">
        <f t="shared" si="176"/>
        <v>0</v>
      </c>
      <c r="AB134" s="2">
        <f t="shared" si="176"/>
        <v>0</v>
      </c>
      <c r="AC134" s="2">
        <f t="shared" si="176"/>
        <v>0</v>
      </c>
      <c r="AD134" s="2">
        <f t="shared" si="176"/>
        <v>0</v>
      </c>
      <c r="AE134" s="2">
        <f t="shared" si="176"/>
        <v>0</v>
      </c>
      <c r="AF134" s="2">
        <f t="shared" si="176"/>
        <v>0</v>
      </c>
      <c r="AG134" s="2">
        <f t="shared" si="176"/>
        <v>0</v>
      </c>
      <c r="AH134" s="2">
        <f t="shared" si="176"/>
        <v>0</v>
      </c>
      <c r="AI134" s="2">
        <f t="shared" si="176"/>
        <v>0</v>
      </c>
      <c r="AJ134" s="2">
        <f t="shared" si="176"/>
        <v>0</v>
      </c>
      <c r="AK134" s="2">
        <f t="shared" si="176"/>
        <v>0</v>
      </c>
      <c r="AL134" s="2">
        <f t="shared" si="176"/>
        <v>0</v>
      </c>
      <c r="AM134" s="2">
        <f t="shared" si="176"/>
        <v>0</v>
      </c>
      <c r="AN134" s="2">
        <f t="shared" ref="AN134:BS134" si="177">AV364</f>
        <v>0</v>
      </c>
      <c r="AO134" s="2">
        <f t="shared" si="177"/>
        <v>0</v>
      </c>
      <c r="AP134" s="2">
        <f t="shared" si="177"/>
        <v>0</v>
      </c>
      <c r="AQ134" s="2">
        <f t="shared" si="177"/>
        <v>0</v>
      </c>
      <c r="AR134" s="2">
        <f t="shared" si="177"/>
        <v>0</v>
      </c>
      <c r="AS134" s="2">
        <f t="shared" si="177"/>
        <v>0</v>
      </c>
      <c r="AT134" s="2">
        <f t="shared" si="177"/>
        <v>0</v>
      </c>
      <c r="AU134" s="2">
        <f t="shared" si="177"/>
        <v>0</v>
      </c>
      <c r="AV134" s="2">
        <f t="shared" si="177"/>
        <v>0</v>
      </c>
      <c r="AW134" s="2">
        <f t="shared" si="177"/>
        <v>0</v>
      </c>
      <c r="AX134" s="2">
        <f t="shared" si="177"/>
        <v>0</v>
      </c>
      <c r="AY134" s="2">
        <f t="shared" si="177"/>
        <v>0</v>
      </c>
      <c r="AZ134" s="2">
        <f t="shared" si="177"/>
        <v>0</v>
      </c>
      <c r="BA134" s="2">
        <f t="shared" si="177"/>
        <v>0</v>
      </c>
      <c r="BB134" s="2">
        <f t="shared" si="177"/>
        <v>0</v>
      </c>
      <c r="BC134" s="2">
        <f t="shared" si="177"/>
        <v>0</v>
      </c>
      <c r="BD134" s="2">
        <f t="shared" si="177"/>
        <v>0</v>
      </c>
      <c r="BE134" s="2">
        <f t="shared" si="177"/>
        <v>0</v>
      </c>
      <c r="BF134" s="2">
        <f t="shared" si="177"/>
        <v>0</v>
      </c>
      <c r="BG134" s="2">
        <f t="shared" si="177"/>
        <v>0</v>
      </c>
      <c r="BH134" s="2">
        <f t="shared" si="177"/>
        <v>0</v>
      </c>
      <c r="BI134" s="2">
        <f t="shared" si="177"/>
        <v>0</v>
      </c>
      <c r="BJ134" s="2">
        <f t="shared" si="177"/>
        <v>0</v>
      </c>
      <c r="BK134" s="2">
        <f t="shared" si="177"/>
        <v>0</v>
      </c>
      <c r="BL134" s="2">
        <f t="shared" si="177"/>
        <v>0</v>
      </c>
      <c r="BM134" s="2">
        <f t="shared" si="177"/>
        <v>0</v>
      </c>
      <c r="BN134" s="2">
        <f t="shared" si="177"/>
        <v>0</v>
      </c>
      <c r="BO134" s="2">
        <f t="shared" si="177"/>
        <v>0</v>
      </c>
      <c r="BP134" s="2">
        <f t="shared" si="177"/>
        <v>0</v>
      </c>
      <c r="BQ134" s="2">
        <f t="shared" si="177"/>
        <v>0</v>
      </c>
      <c r="BR134" s="2">
        <f t="shared" si="177"/>
        <v>0</v>
      </c>
      <c r="BS134" s="2">
        <f t="shared" si="175"/>
        <v>0</v>
      </c>
      <c r="BT134" s="2">
        <f t="shared" si="175"/>
        <v>0</v>
      </c>
      <c r="BU134" s="2">
        <f t="shared" si="175"/>
        <v>0</v>
      </c>
      <c r="BV134" s="2">
        <f t="shared" si="175"/>
        <v>0</v>
      </c>
      <c r="BW134" s="2">
        <f t="shared" si="175"/>
        <v>0</v>
      </c>
      <c r="BX134" s="2">
        <f t="shared" si="175"/>
        <v>0</v>
      </c>
      <c r="BY134" s="2">
        <f t="shared" si="175"/>
        <v>0</v>
      </c>
      <c r="BZ134" s="2">
        <f t="shared" si="175"/>
        <v>0</v>
      </c>
      <c r="CA134" s="2">
        <f t="shared" si="175"/>
        <v>0</v>
      </c>
      <c r="CB134" s="2">
        <f t="shared" si="175"/>
        <v>0</v>
      </c>
      <c r="CC134" s="2">
        <f t="shared" si="175"/>
        <v>0</v>
      </c>
      <c r="CD134" s="2">
        <f t="shared" si="175"/>
        <v>0</v>
      </c>
    </row>
    <row r="135" spans="1:82" s="7" customFormat="1" x14ac:dyDescent="0.2">
      <c r="B135" s="7" t="s">
        <v>70</v>
      </c>
      <c r="G135" s="7">
        <f>SUM(G136:G138)</f>
        <v>3</v>
      </c>
      <c r="H135" s="7">
        <f t="shared" ref="H135:BS135" si="178">SUM(H136:H138)</f>
        <v>0</v>
      </c>
      <c r="I135" s="7">
        <f t="shared" si="178"/>
        <v>0</v>
      </c>
      <c r="J135" s="7">
        <f t="shared" si="178"/>
        <v>0</v>
      </c>
      <c r="K135" s="7">
        <f t="shared" si="178"/>
        <v>0</v>
      </c>
      <c r="L135" s="7">
        <f t="shared" si="178"/>
        <v>0</v>
      </c>
      <c r="M135" s="7">
        <f t="shared" si="178"/>
        <v>0</v>
      </c>
      <c r="N135" s="7">
        <f t="shared" si="178"/>
        <v>0</v>
      </c>
      <c r="O135" s="7">
        <f t="shared" si="178"/>
        <v>0</v>
      </c>
      <c r="P135" s="7">
        <f t="shared" si="178"/>
        <v>0</v>
      </c>
      <c r="Q135" s="7">
        <f t="shared" si="178"/>
        <v>0</v>
      </c>
      <c r="R135" s="7">
        <f t="shared" si="178"/>
        <v>0</v>
      </c>
      <c r="S135" s="7">
        <f t="shared" si="178"/>
        <v>0</v>
      </c>
      <c r="T135" s="7">
        <f t="shared" si="178"/>
        <v>0</v>
      </c>
      <c r="U135" s="7">
        <f t="shared" si="178"/>
        <v>0</v>
      </c>
      <c r="V135" s="7">
        <f t="shared" si="178"/>
        <v>0</v>
      </c>
      <c r="W135" s="7">
        <f t="shared" si="178"/>
        <v>0</v>
      </c>
      <c r="X135" s="7">
        <f t="shared" si="178"/>
        <v>0</v>
      </c>
      <c r="Y135" s="7">
        <f t="shared" si="178"/>
        <v>0</v>
      </c>
      <c r="Z135" s="7">
        <f t="shared" si="178"/>
        <v>0</v>
      </c>
      <c r="AA135" s="7">
        <f t="shared" si="178"/>
        <v>0</v>
      </c>
      <c r="AB135" s="7">
        <f t="shared" si="178"/>
        <v>0</v>
      </c>
      <c r="AC135" s="7">
        <f t="shared" si="178"/>
        <v>0</v>
      </c>
      <c r="AD135" s="7">
        <f t="shared" si="178"/>
        <v>0</v>
      </c>
      <c r="AE135" s="7">
        <f t="shared" si="178"/>
        <v>0</v>
      </c>
      <c r="AF135" s="7">
        <f t="shared" si="178"/>
        <v>0</v>
      </c>
      <c r="AG135" s="7">
        <f t="shared" si="178"/>
        <v>0</v>
      </c>
      <c r="AH135" s="7">
        <f t="shared" si="178"/>
        <v>0</v>
      </c>
      <c r="AI135" s="7">
        <f t="shared" si="178"/>
        <v>0</v>
      </c>
      <c r="AJ135" s="7">
        <f t="shared" si="178"/>
        <v>0</v>
      </c>
      <c r="AK135" s="7">
        <f t="shared" si="178"/>
        <v>0</v>
      </c>
      <c r="AL135" s="7">
        <f t="shared" si="178"/>
        <v>0</v>
      </c>
      <c r="AM135" s="7">
        <f t="shared" si="178"/>
        <v>0</v>
      </c>
      <c r="AN135" s="7">
        <f t="shared" si="178"/>
        <v>0</v>
      </c>
      <c r="AO135" s="7">
        <f t="shared" si="178"/>
        <v>0</v>
      </c>
      <c r="AP135" s="7">
        <f t="shared" si="178"/>
        <v>0</v>
      </c>
      <c r="AQ135" s="7">
        <f t="shared" si="178"/>
        <v>0</v>
      </c>
      <c r="AR135" s="7">
        <f t="shared" si="178"/>
        <v>0</v>
      </c>
      <c r="AS135" s="7">
        <f t="shared" si="178"/>
        <v>0</v>
      </c>
      <c r="AT135" s="7">
        <f t="shared" si="178"/>
        <v>0</v>
      </c>
      <c r="AU135" s="7">
        <f t="shared" si="178"/>
        <v>0</v>
      </c>
      <c r="AV135" s="7">
        <f t="shared" si="178"/>
        <v>0</v>
      </c>
      <c r="AW135" s="7">
        <f t="shared" si="178"/>
        <v>0</v>
      </c>
      <c r="AX135" s="7">
        <f t="shared" si="178"/>
        <v>0</v>
      </c>
      <c r="AY135" s="7">
        <f t="shared" si="178"/>
        <v>0</v>
      </c>
      <c r="AZ135" s="7">
        <f t="shared" si="178"/>
        <v>0</v>
      </c>
      <c r="BA135" s="7">
        <f t="shared" si="178"/>
        <v>0</v>
      </c>
      <c r="BB135" s="7">
        <f t="shared" si="178"/>
        <v>0</v>
      </c>
      <c r="BC135" s="7">
        <f t="shared" si="178"/>
        <v>0</v>
      </c>
      <c r="BD135" s="7">
        <f t="shared" si="178"/>
        <v>0</v>
      </c>
      <c r="BE135" s="7">
        <f t="shared" si="178"/>
        <v>0</v>
      </c>
      <c r="BF135" s="7">
        <f t="shared" si="178"/>
        <v>0</v>
      </c>
      <c r="BG135" s="7">
        <f t="shared" si="178"/>
        <v>0</v>
      </c>
      <c r="BH135" s="7">
        <f t="shared" si="178"/>
        <v>0</v>
      </c>
      <c r="BI135" s="7">
        <f t="shared" si="178"/>
        <v>0</v>
      </c>
      <c r="BJ135" s="7">
        <f t="shared" si="178"/>
        <v>0</v>
      </c>
      <c r="BK135" s="7">
        <f t="shared" si="178"/>
        <v>0</v>
      </c>
      <c r="BL135" s="7">
        <f t="shared" si="178"/>
        <v>0</v>
      </c>
      <c r="BM135" s="7">
        <f t="shared" si="178"/>
        <v>0</v>
      </c>
      <c r="BN135" s="7">
        <f t="shared" si="178"/>
        <v>0</v>
      </c>
      <c r="BO135" s="7">
        <f t="shared" si="178"/>
        <v>0</v>
      </c>
      <c r="BP135" s="7">
        <f t="shared" si="178"/>
        <v>0</v>
      </c>
      <c r="BQ135" s="7">
        <f t="shared" si="178"/>
        <v>0</v>
      </c>
      <c r="BR135" s="7">
        <f t="shared" si="178"/>
        <v>0</v>
      </c>
      <c r="BS135" s="7">
        <f t="shared" si="178"/>
        <v>0</v>
      </c>
      <c r="BT135" s="7">
        <f t="shared" ref="BT135:CD135" si="179">SUM(BT136:BT138)</f>
        <v>0</v>
      </c>
      <c r="BU135" s="7">
        <f t="shared" si="179"/>
        <v>0</v>
      </c>
      <c r="BV135" s="7">
        <f t="shared" si="179"/>
        <v>0</v>
      </c>
      <c r="BW135" s="7">
        <f t="shared" si="179"/>
        <v>0</v>
      </c>
      <c r="BX135" s="7">
        <f t="shared" si="179"/>
        <v>0</v>
      </c>
      <c r="BY135" s="7">
        <f t="shared" si="179"/>
        <v>0</v>
      </c>
      <c r="BZ135" s="7">
        <f t="shared" si="179"/>
        <v>0</v>
      </c>
      <c r="CA135" s="7">
        <f t="shared" si="179"/>
        <v>0</v>
      </c>
      <c r="CB135" s="7">
        <f t="shared" si="179"/>
        <v>0</v>
      </c>
      <c r="CC135" s="7">
        <f t="shared" si="179"/>
        <v>0</v>
      </c>
      <c r="CD135" s="7">
        <f t="shared" si="179"/>
        <v>0</v>
      </c>
    </row>
    <row r="136" spans="1:82" s="2" customFormat="1" x14ac:dyDescent="0.2">
      <c r="C136" s="2" t="s">
        <v>71</v>
      </c>
      <c r="F136" s="2" t="s">
        <v>6</v>
      </c>
      <c r="G136" s="2">
        <f>O365</f>
        <v>1</v>
      </c>
      <c r="H136" s="2">
        <f t="shared" ref="H136:BS138" si="180">P365</f>
        <v>0</v>
      </c>
      <c r="I136" s="2" t="str">
        <f t="shared" si="180"/>
        <v>emission_co2e_ch4_ippu_production_paper</v>
      </c>
      <c r="J136" s="2">
        <f t="shared" si="180"/>
        <v>0</v>
      </c>
      <c r="K136" s="2">
        <f t="shared" si="180"/>
        <v>0</v>
      </c>
      <c r="L136" s="2">
        <f t="shared" si="180"/>
        <v>0</v>
      </c>
      <c r="M136" s="2">
        <f t="shared" si="180"/>
        <v>0</v>
      </c>
      <c r="N136" s="2">
        <f t="shared" si="180"/>
        <v>0</v>
      </c>
      <c r="O136" s="2">
        <f t="shared" si="180"/>
        <v>0</v>
      </c>
      <c r="P136" s="2">
        <f t="shared" si="180"/>
        <v>0</v>
      </c>
      <c r="Q136" s="2">
        <f t="shared" si="180"/>
        <v>0</v>
      </c>
      <c r="R136" s="2">
        <f t="shared" si="180"/>
        <v>0</v>
      </c>
      <c r="S136" s="2">
        <f t="shared" si="180"/>
        <v>0</v>
      </c>
      <c r="T136" s="2">
        <f t="shared" si="180"/>
        <v>0</v>
      </c>
      <c r="U136" s="2">
        <f t="shared" si="180"/>
        <v>0</v>
      </c>
      <c r="V136" s="2">
        <f t="shared" si="180"/>
        <v>0</v>
      </c>
      <c r="W136" s="2">
        <f t="shared" si="180"/>
        <v>0</v>
      </c>
      <c r="X136" s="2">
        <f t="shared" si="180"/>
        <v>0</v>
      </c>
      <c r="Y136" s="2">
        <f t="shared" si="180"/>
        <v>0</v>
      </c>
      <c r="Z136" s="2">
        <f t="shared" si="180"/>
        <v>0</v>
      </c>
      <c r="AA136" s="2">
        <f t="shared" si="180"/>
        <v>0</v>
      </c>
      <c r="AB136" s="2">
        <f t="shared" si="180"/>
        <v>0</v>
      </c>
      <c r="AC136" s="2">
        <f t="shared" si="180"/>
        <v>0</v>
      </c>
      <c r="AD136" s="2">
        <f t="shared" si="180"/>
        <v>0</v>
      </c>
      <c r="AE136" s="2">
        <f t="shared" si="180"/>
        <v>0</v>
      </c>
      <c r="AF136" s="2">
        <f t="shared" si="180"/>
        <v>0</v>
      </c>
      <c r="AG136" s="2">
        <f t="shared" si="180"/>
        <v>0</v>
      </c>
      <c r="AH136" s="2">
        <f t="shared" si="180"/>
        <v>0</v>
      </c>
      <c r="AI136" s="2">
        <f t="shared" si="180"/>
        <v>0</v>
      </c>
      <c r="AJ136" s="2">
        <f t="shared" si="180"/>
        <v>0</v>
      </c>
      <c r="AK136" s="2">
        <f t="shared" si="180"/>
        <v>0</v>
      </c>
      <c r="AL136" s="2">
        <f t="shared" si="180"/>
        <v>0</v>
      </c>
      <c r="AM136" s="2">
        <f t="shared" si="180"/>
        <v>0</v>
      </c>
      <c r="AN136" s="2">
        <f t="shared" si="180"/>
        <v>0</v>
      </c>
      <c r="AO136" s="2">
        <f t="shared" si="180"/>
        <v>0</v>
      </c>
      <c r="AP136" s="2">
        <f t="shared" si="180"/>
        <v>0</v>
      </c>
      <c r="AQ136" s="2">
        <f t="shared" si="180"/>
        <v>0</v>
      </c>
      <c r="AR136" s="2">
        <f t="shared" si="180"/>
        <v>0</v>
      </c>
      <c r="AS136" s="2">
        <f t="shared" si="180"/>
        <v>0</v>
      </c>
      <c r="AT136" s="2">
        <f t="shared" si="180"/>
        <v>0</v>
      </c>
      <c r="AU136" s="2">
        <f t="shared" si="180"/>
        <v>0</v>
      </c>
      <c r="AV136" s="2">
        <f t="shared" si="180"/>
        <v>0</v>
      </c>
      <c r="AW136" s="2">
        <f t="shared" si="180"/>
        <v>0</v>
      </c>
      <c r="AX136" s="2">
        <f t="shared" si="180"/>
        <v>0</v>
      </c>
      <c r="AY136" s="2">
        <f t="shared" si="180"/>
        <v>0</v>
      </c>
      <c r="AZ136" s="2">
        <f t="shared" si="180"/>
        <v>0</v>
      </c>
      <c r="BA136" s="2">
        <f t="shared" si="180"/>
        <v>0</v>
      </c>
      <c r="BB136" s="2">
        <f t="shared" si="180"/>
        <v>0</v>
      </c>
      <c r="BC136" s="2">
        <f t="shared" si="180"/>
        <v>0</v>
      </c>
      <c r="BD136" s="2">
        <f t="shared" si="180"/>
        <v>0</v>
      </c>
      <c r="BE136" s="2">
        <f t="shared" si="180"/>
        <v>0</v>
      </c>
      <c r="BF136" s="2">
        <f t="shared" si="180"/>
        <v>0</v>
      </c>
      <c r="BG136" s="2">
        <f t="shared" si="180"/>
        <v>0</v>
      </c>
      <c r="BH136" s="2">
        <f t="shared" si="180"/>
        <v>0</v>
      </c>
      <c r="BI136" s="2">
        <f t="shared" si="180"/>
        <v>0</v>
      </c>
      <c r="BJ136" s="2">
        <f t="shared" si="180"/>
        <v>0</v>
      </c>
      <c r="BK136" s="2">
        <f t="shared" si="180"/>
        <v>0</v>
      </c>
      <c r="BL136" s="2">
        <f t="shared" si="180"/>
        <v>0</v>
      </c>
      <c r="BM136" s="2">
        <f t="shared" si="180"/>
        <v>0</v>
      </c>
      <c r="BN136" s="2">
        <f t="shared" si="180"/>
        <v>0</v>
      </c>
      <c r="BO136" s="2">
        <f t="shared" si="180"/>
        <v>0</v>
      </c>
      <c r="BP136" s="2">
        <f t="shared" si="180"/>
        <v>0</v>
      </c>
      <c r="BQ136" s="2">
        <f t="shared" si="180"/>
        <v>0</v>
      </c>
      <c r="BR136" s="2">
        <f t="shared" si="180"/>
        <v>0</v>
      </c>
      <c r="BS136" s="2">
        <f t="shared" si="180"/>
        <v>0</v>
      </c>
      <c r="BT136" s="2">
        <f t="shared" ref="BT136:CD137" si="181">CB365</f>
        <v>0</v>
      </c>
      <c r="BU136" s="2">
        <f t="shared" si="181"/>
        <v>0</v>
      </c>
      <c r="BV136" s="2">
        <f t="shared" si="181"/>
        <v>0</v>
      </c>
      <c r="BW136" s="2">
        <f t="shared" si="181"/>
        <v>0</v>
      </c>
      <c r="BX136" s="2">
        <f t="shared" si="181"/>
        <v>0</v>
      </c>
      <c r="BY136" s="2">
        <f t="shared" si="181"/>
        <v>0</v>
      </c>
      <c r="BZ136" s="2">
        <f t="shared" si="181"/>
        <v>0</v>
      </c>
      <c r="CA136" s="2">
        <f t="shared" si="181"/>
        <v>0</v>
      </c>
      <c r="CB136" s="2">
        <f t="shared" si="181"/>
        <v>0</v>
      </c>
      <c r="CC136" s="2">
        <f t="shared" si="181"/>
        <v>0</v>
      </c>
      <c r="CD136" s="2">
        <f t="shared" si="181"/>
        <v>0</v>
      </c>
    </row>
    <row r="137" spans="1:82" s="2" customFormat="1" x14ac:dyDescent="0.2">
      <c r="C137" s="2" t="s">
        <v>71</v>
      </c>
      <c r="F137" s="2" t="s">
        <v>7</v>
      </c>
      <c r="G137" s="2">
        <f>O366</f>
        <v>1</v>
      </c>
      <c r="H137" s="2">
        <f t="shared" si="180"/>
        <v>0</v>
      </c>
      <c r="I137" s="2" t="str">
        <f t="shared" si="180"/>
        <v>emission_co2e_co2_ippu_production_paper</v>
      </c>
      <c r="J137" s="2">
        <f t="shared" si="180"/>
        <v>0</v>
      </c>
      <c r="K137" s="2">
        <f t="shared" si="180"/>
        <v>0</v>
      </c>
      <c r="L137" s="2">
        <f t="shared" si="180"/>
        <v>0</v>
      </c>
      <c r="M137" s="2">
        <f t="shared" si="180"/>
        <v>0</v>
      </c>
      <c r="N137" s="2">
        <f t="shared" si="180"/>
        <v>0</v>
      </c>
      <c r="O137" s="2">
        <f t="shared" si="180"/>
        <v>0</v>
      </c>
      <c r="P137" s="2">
        <f t="shared" si="180"/>
        <v>0</v>
      </c>
      <c r="Q137" s="2">
        <f t="shared" si="180"/>
        <v>0</v>
      </c>
      <c r="R137" s="2">
        <f t="shared" si="180"/>
        <v>0</v>
      </c>
      <c r="S137" s="2">
        <f t="shared" si="180"/>
        <v>0</v>
      </c>
      <c r="T137" s="2">
        <f t="shared" si="180"/>
        <v>0</v>
      </c>
      <c r="U137" s="2">
        <f t="shared" si="180"/>
        <v>0</v>
      </c>
      <c r="V137" s="2">
        <f t="shared" si="180"/>
        <v>0</v>
      </c>
      <c r="W137" s="2">
        <f t="shared" si="180"/>
        <v>0</v>
      </c>
      <c r="X137" s="2">
        <f t="shared" si="180"/>
        <v>0</v>
      </c>
      <c r="Y137" s="2">
        <f t="shared" si="180"/>
        <v>0</v>
      </c>
      <c r="Z137" s="2">
        <f t="shared" si="180"/>
        <v>0</v>
      </c>
      <c r="AA137" s="2">
        <f t="shared" si="180"/>
        <v>0</v>
      </c>
      <c r="AB137" s="2">
        <f t="shared" si="180"/>
        <v>0</v>
      </c>
      <c r="AC137" s="2">
        <f t="shared" si="180"/>
        <v>0</v>
      </c>
      <c r="AD137" s="2">
        <f t="shared" si="180"/>
        <v>0</v>
      </c>
      <c r="AE137" s="2">
        <f t="shared" si="180"/>
        <v>0</v>
      </c>
      <c r="AF137" s="2">
        <f t="shared" si="180"/>
        <v>0</v>
      </c>
      <c r="AG137" s="2">
        <f t="shared" si="180"/>
        <v>0</v>
      </c>
      <c r="AH137" s="2">
        <f t="shared" si="180"/>
        <v>0</v>
      </c>
      <c r="AI137" s="2">
        <f t="shared" si="180"/>
        <v>0</v>
      </c>
      <c r="AJ137" s="2">
        <f t="shared" si="180"/>
        <v>0</v>
      </c>
      <c r="AK137" s="2">
        <f t="shared" si="180"/>
        <v>0</v>
      </c>
      <c r="AL137" s="2">
        <f t="shared" si="180"/>
        <v>0</v>
      </c>
      <c r="AM137" s="2">
        <f t="shared" si="180"/>
        <v>0</v>
      </c>
      <c r="AN137" s="2">
        <f t="shared" si="180"/>
        <v>0</v>
      </c>
      <c r="AO137" s="2">
        <f t="shared" si="180"/>
        <v>0</v>
      </c>
      <c r="AP137" s="2">
        <f t="shared" si="180"/>
        <v>0</v>
      </c>
      <c r="AQ137" s="2">
        <f t="shared" si="180"/>
        <v>0</v>
      </c>
      <c r="AR137" s="2">
        <f t="shared" si="180"/>
        <v>0</v>
      </c>
      <c r="AS137" s="2">
        <f t="shared" si="180"/>
        <v>0</v>
      </c>
      <c r="AT137" s="2">
        <f t="shared" si="180"/>
        <v>0</v>
      </c>
      <c r="AU137" s="2">
        <f t="shared" si="180"/>
        <v>0</v>
      </c>
      <c r="AV137" s="2">
        <f t="shared" si="180"/>
        <v>0</v>
      </c>
      <c r="AW137" s="2">
        <f t="shared" si="180"/>
        <v>0</v>
      </c>
      <c r="AX137" s="2">
        <f t="shared" si="180"/>
        <v>0</v>
      </c>
      <c r="AY137" s="2">
        <f t="shared" si="180"/>
        <v>0</v>
      </c>
      <c r="AZ137" s="2">
        <f t="shared" si="180"/>
        <v>0</v>
      </c>
      <c r="BA137" s="2">
        <f t="shared" si="180"/>
        <v>0</v>
      </c>
      <c r="BB137" s="2">
        <f t="shared" si="180"/>
        <v>0</v>
      </c>
      <c r="BC137" s="2">
        <f t="shared" si="180"/>
        <v>0</v>
      </c>
      <c r="BD137" s="2">
        <f t="shared" si="180"/>
        <v>0</v>
      </c>
      <c r="BE137" s="2">
        <f t="shared" si="180"/>
        <v>0</v>
      </c>
      <c r="BF137" s="2">
        <f t="shared" si="180"/>
        <v>0</v>
      </c>
      <c r="BG137" s="2">
        <f t="shared" si="180"/>
        <v>0</v>
      </c>
      <c r="BH137" s="2">
        <f t="shared" si="180"/>
        <v>0</v>
      </c>
      <c r="BI137" s="2">
        <f t="shared" si="180"/>
        <v>0</v>
      </c>
      <c r="BJ137" s="2">
        <f t="shared" si="180"/>
        <v>0</v>
      </c>
      <c r="BK137" s="2">
        <f t="shared" si="180"/>
        <v>0</v>
      </c>
      <c r="BL137" s="2">
        <f t="shared" si="180"/>
        <v>0</v>
      </c>
      <c r="BM137" s="2">
        <f t="shared" si="180"/>
        <v>0</v>
      </c>
      <c r="BN137" s="2">
        <f t="shared" si="180"/>
        <v>0</v>
      </c>
      <c r="BO137" s="2">
        <f t="shared" si="180"/>
        <v>0</v>
      </c>
      <c r="BP137" s="2">
        <f t="shared" si="180"/>
        <v>0</v>
      </c>
      <c r="BQ137" s="2">
        <f t="shared" si="180"/>
        <v>0</v>
      </c>
      <c r="BR137" s="2">
        <f t="shared" si="180"/>
        <v>0</v>
      </c>
      <c r="BS137" s="2">
        <f t="shared" si="180"/>
        <v>0</v>
      </c>
      <c r="BT137" s="2">
        <f t="shared" si="181"/>
        <v>0</v>
      </c>
      <c r="BU137" s="2">
        <f t="shared" si="181"/>
        <v>0</v>
      </c>
      <c r="BV137" s="2">
        <f t="shared" si="181"/>
        <v>0</v>
      </c>
      <c r="BW137" s="2">
        <f t="shared" si="181"/>
        <v>0</v>
      </c>
      <c r="BX137" s="2">
        <f t="shared" si="181"/>
        <v>0</v>
      </c>
      <c r="BY137" s="2">
        <f t="shared" si="181"/>
        <v>0</v>
      </c>
      <c r="BZ137" s="2">
        <f t="shared" si="181"/>
        <v>0</v>
      </c>
      <c r="CA137" s="2">
        <f t="shared" si="181"/>
        <v>0</v>
      </c>
      <c r="CB137" s="2">
        <f t="shared" si="181"/>
        <v>0</v>
      </c>
      <c r="CC137" s="2">
        <f t="shared" si="181"/>
        <v>0</v>
      </c>
      <c r="CD137" s="2">
        <f t="shared" si="181"/>
        <v>0</v>
      </c>
    </row>
    <row r="138" spans="1:82" s="2" customFormat="1" x14ac:dyDescent="0.2">
      <c r="C138" s="2" t="s">
        <v>71</v>
      </c>
      <c r="F138" s="2" t="s">
        <v>8</v>
      </c>
      <c r="G138" s="2">
        <f>O367</f>
        <v>1</v>
      </c>
      <c r="H138" s="2">
        <f t="shared" si="180"/>
        <v>0</v>
      </c>
      <c r="I138" s="2" t="str">
        <f t="shared" si="180"/>
        <v>emission_co2e_n2o_ippu_production_paper</v>
      </c>
      <c r="J138" s="2">
        <f t="shared" si="180"/>
        <v>0</v>
      </c>
      <c r="K138" s="2">
        <f t="shared" si="180"/>
        <v>0</v>
      </c>
      <c r="L138" s="2">
        <f t="shared" si="180"/>
        <v>0</v>
      </c>
      <c r="M138" s="2">
        <f t="shared" si="180"/>
        <v>0</v>
      </c>
      <c r="N138" s="2">
        <f t="shared" si="180"/>
        <v>0</v>
      </c>
      <c r="O138" s="2">
        <f t="shared" si="180"/>
        <v>0</v>
      </c>
      <c r="P138" s="2">
        <f t="shared" si="180"/>
        <v>0</v>
      </c>
      <c r="Q138" s="2">
        <f t="shared" si="180"/>
        <v>0</v>
      </c>
      <c r="R138" s="2">
        <f t="shared" si="180"/>
        <v>0</v>
      </c>
      <c r="S138" s="2">
        <f t="shared" si="180"/>
        <v>0</v>
      </c>
      <c r="T138" s="2">
        <f t="shared" si="180"/>
        <v>0</v>
      </c>
      <c r="U138" s="2">
        <f t="shared" si="180"/>
        <v>0</v>
      </c>
      <c r="V138" s="2">
        <f t="shared" si="180"/>
        <v>0</v>
      </c>
      <c r="W138" s="2">
        <f t="shared" si="180"/>
        <v>0</v>
      </c>
      <c r="X138" s="2">
        <f t="shared" si="180"/>
        <v>0</v>
      </c>
      <c r="Y138" s="2">
        <f t="shared" si="180"/>
        <v>0</v>
      </c>
      <c r="Z138" s="2">
        <f t="shared" si="180"/>
        <v>0</v>
      </c>
      <c r="AA138" s="2">
        <f t="shared" si="180"/>
        <v>0</v>
      </c>
      <c r="AB138" s="2">
        <f t="shared" si="180"/>
        <v>0</v>
      </c>
      <c r="AC138" s="2">
        <f t="shared" si="180"/>
        <v>0</v>
      </c>
      <c r="AD138" s="2">
        <f t="shared" si="180"/>
        <v>0</v>
      </c>
      <c r="AE138" s="2">
        <f t="shared" si="180"/>
        <v>0</v>
      </c>
      <c r="AF138" s="2">
        <f t="shared" si="180"/>
        <v>0</v>
      </c>
      <c r="AG138" s="2">
        <f t="shared" si="180"/>
        <v>0</v>
      </c>
      <c r="AH138" s="2">
        <f t="shared" si="180"/>
        <v>0</v>
      </c>
      <c r="AI138" s="2">
        <f t="shared" si="180"/>
        <v>0</v>
      </c>
      <c r="AJ138" s="2">
        <f t="shared" si="180"/>
        <v>0</v>
      </c>
      <c r="AK138" s="2">
        <f t="shared" si="180"/>
        <v>0</v>
      </c>
      <c r="AL138" s="2">
        <f t="shared" si="180"/>
        <v>0</v>
      </c>
      <c r="AM138" s="2">
        <f t="shared" si="180"/>
        <v>0</v>
      </c>
      <c r="AN138" s="2">
        <f t="shared" si="180"/>
        <v>0</v>
      </c>
      <c r="AO138" s="2">
        <f t="shared" si="180"/>
        <v>0</v>
      </c>
      <c r="AP138" s="2">
        <f t="shared" si="180"/>
        <v>0</v>
      </c>
      <c r="AQ138" s="2">
        <f t="shared" si="180"/>
        <v>0</v>
      </c>
      <c r="AR138" s="2">
        <f t="shared" si="180"/>
        <v>0</v>
      </c>
      <c r="AS138" s="2">
        <f t="shared" si="180"/>
        <v>0</v>
      </c>
      <c r="AT138" s="2">
        <f t="shared" si="180"/>
        <v>0</v>
      </c>
      <c r="AU138" s="2">
        <f t="shared" si="180"/>
        <v>0</v>
      </c>
      <c r="AV138" s="2">
        <f t="shared" si="180"/>
        <v>0</v>
      </c>
      <c r="AW138" s="2">
        <f t="shared" si="180"/>
        <v>0</v>
      </c>
      <c r="AX138" s="2">
        <f t="shared" si="180"/>
        <v>0</v>
      </c>
      <c r="AY138" s="2">
        <f t="shared" si="180"/>
        <v>0</v>
      </c>
      <c r="AZ138" s="2">
        <f t="shared" si="180"/>
        <v>0</v>
      </c>
      <c r="BA138" s="2">
        <f t="shared" si="180"/>
        <v>0</v>
      </c>
      <c r="BB138" s="2">
        <f t="shared" si="180"/>
        <v>0</v>
      </c>
      <c r="BC138" s="2">
        <f t="shared" si="180"/>
        <v>0</v>
      </c>
      <c r="BD138" s="2">
        <f t="shared" si="180"/>
        <v>0</v>
      </c>
      <c r="BE138" s="2">
        <f t="shared" si="180"/>
        <v>0</v>
      </c>
      <c r="BF138" s="2">
        <f t="shared" si="180"/>
        <v>0</v>
      </c>
      <c r="BG138" s="2">
        <f t="shared" si="180"/>
        <v>0</v>
      </c>
      <c r="BH138" s="2">
        <f t="shared" si="180"/>
        <v>0</v>
      </c>
      <c r="BI138" s="2">
        <f t="shared" si="180"/>
        <v>0</v>
      </c>
      <c r="BJ138" s="2">
        <f t="shared" si="180"/>
        <v>0</v>
      </c>
      <c r="BK138" s="2">
        <f t="shared" si="180"/>
        <v>0</v>
      </c>
      <c r="BL138" s="2">
        <f t="shared" si="180"/>
        <v>0</v>
      </c>
      <c r="BM138" s="2">
        <f t="shared" si="180"/>
        <v>0</v>
      </c>
      <c r="BN138" s="2">
        <f t="shared" si="180"/>
        <v>0</v>
      </c>
      <c r="BO138" s="2">
        <f t="shared" si="180"/>
        <v>0</v>
      </c>
      <c r="BP138" s="2">
        <f t="shared" si="180"/>
        <v>0</v>
      </c>
      <c r="BQ138" s="2">
        <f t="shared" si="180"/>
        <v>0</v>
      </c>
      <c r="BR138" s="2">
        <f t="shared" si="180"/>
        <v>0</v>
      </c>
      <c r="BS138" s="2">
        <f t="shared" ref="BS138:CD138" si="182">CA367</f>
        <v>0</v>
      </c>
      <c r="BT138" s="2">
        <f t="shared" si="182"/>
        <v>0</v>
      </c>
      <c r="BU138" s="2">
        <f t="shared" si="182"/>
        <v>0</v>
      </c>
      <c r="BV138" s="2">
        <f t="shared" si="182"/>
        <v>0</v>
      </c>
      <c r="BW138" s="2">
        <f t="shared" si="182"/>
        <v>0</v>
      </c>
      <c r="BX138" s="2">
        <f t="shared" si="182"/>
        <v>0</v>
      </c>
      <c r="BY138" s="2">
        <f t="shared" si="182"/>
        <v>0</v>
      </c>
      <c r="BZ138" s="2">
        <f t="shared" si="182"/>
        <v>0</v>
      </c>
      <c r="CA138" s="2">
        <f t="shared" si="182"/>
        <v>0</v>
      </c>
      <c r="CB138" s="2">
        <f t="shared" si="182"/>
        <v>0</v>
      </c>
      <c r="CC138" s="2">
        <f t="shared" si="182"/>
        <v>0</v>
      </c>
      <c r="CD138" s="2">
        <f t="shared" si="182"/>
        <v>0</v>
      </c>
    </row>
    <row r="139" spans="1:82" s="1" customFormat="1" ht="22" x14ac:dyDescent="0.3">
      <c r="A139" s="1" t="s">
        <v>72</v>
      </c>
      <c r="G139" s="1">
        <f>SUM(G140,G155,G204,G215)</f>
        <v>27</v>
      </c>
      <c r="H139" s="1">
        <f t="shared" ref="H139:BS139" si="183">SUM(H140,H155,H204,H215)</f>
        <v>10</v>
      </c>
      <c r="I139" s="1" t="e">
        <f t="shared" si="183"/>
        <v>#VALUE!</v>
      </c>
      <c r="J139" s="1">
        <f t="shared" si="183"/>
        <v>0</v>
      </c>
      <c r="K139" s="1">
        <f t="shared" si="183"/>
        <v>23800.747900000002</v>
      </c>
      <c r="L139" s="1">
        <f t="shared" si="183"/>
        <v>28228.720000000005</v>
      </c>
      <c r="M139" s="1">
        <f t="shared" si="183"/>
        <v>31036.9015</v>
      </c>
      <c r="N139" s="1">
        <f t="shared" si="183"/>
        <v>35977.746800000001</v>
      </c>
      <c r="O139" s="1">
        <f t="shared" si="183"/>
        <v>47803.456499999993</v>
      </c>
      <c r="P139" s="1">
        <f t="shared" si="183"/>
        <v>48896.977399999996</v>
      </c>
      <c r="Q139" s="1">
        <f t="shared" si="183"/>
        <v>58727.446799999998</v>
      </c>
      <c r="R139" s="1">
        <f t="shared" si="183"/>
        <v>49596.797199999994</v>
      </c>
      <c r="S139" s="1">
        <f t="shared" si="183"/>
        <v>54666.059100000006</v>
      </c>
      <c r="T139" s="1">
        <f t="shared" si="183"/>
        <v>55643.546000000002</v>
      </c>
      <c r="U139" s="1">
        <f t="shared" si="183"/>
        <v>67352.559799999988</v>
      </c>
      <c r="V139" s="1">
        <f t="shared" si="183"/>
        <v>80308.775499999989</v>
      </c>
      <c r="W139" s="1">
        <f t="shared" si="183"/>
        <v>83774.993699999992</v>
      </c>
      <c r="X139" s="1">
        <f t="shared" si="183"/>
        <v>89891.745500000005</v>
      </c>
      <c r="Y139" s="1">
        <f t="shared" si="183"/>
        <v>94684.247500000012</v>
      </c>
      <c r="Z139" s="1">
        <f t="shared" si="183"/>
        <v>99684.239700000006</v>
      </c>
      <c r="AA139" s="1">
        <f t="shared" si="183"/>
        <v>105996.81420000001</v>
      </c>
      <c r="AB139" s="1">
        <f t="shared" si="183"/>
        <v>108776.7959</v>
      </c>
      <c r="AC139" s="1">
        <f t="shared" si="183"/>
        <v>121759.9486</v>
      </c>
      <c r="AD139" s="1">
        <f t="shared" si="183"/>
        <v>129554.48090000001</v>
      </c>
      <c r="AE139" s="1">
        <f t="shared" si="183"/>
        <v>130316.8193</v>
      </c>
      <c r="AF139" s="1">
        <f t="shared" si="183"/>
        <v>-2552648.7223</v>
      </c>
      <c r="AG139" s="1">
        <f t="shared" si="183"/>
        <v>-2550111.9489999996</v>
      </c>
      <c r="AH139" s="1">
        <f t="shared" si="183"/>
        <v>-2545977.4916999997</v>
      </c>
      <c r="AI139" s="1">
        <f t="shared" si="183"/>
        <v>-2541861.8189999997</v>
      </c>
      <c r="AJ139" s="1">
        <f t="shared" si="183"/>
        <v>128754.7553023277</v>
      </c>
      <c r="AK139" s="1">
        <f t="shared" si="183"/>
        <v>125709.39425600883</v>
      </c>
      <c r="AL139" s="1">
        <f t="shared" si="183"/>
        <v>127784.23538331427</v>
      </c>
      <c r="AM139" s="1">
        <f t="shared" si="183"/>
        <v>129843.254666033</v>
      </c>
      <c r="AN139" s="1">
        <f t="shared" si="183"/>
        <v>134206.37216340585</v>
      </c>
      <c r="AO139" s="1">
        <f t="shared" si="183"/>
        <v>139189.75652544704</v>
      </c>
      <c r="AP139" s="1">
        <f t="shared" si="183"/>
        <v>143487.76974574951</v>
      </c>
      <c r="AQ139" s="1">
        <f t="shared" si="183"/>
        <v>148668.26870867464</v>
      </c>
      <c r="AR139" s="1">
        <f t="shared" si="183"/>
        <v>155583.71488793884</v>
      </c>
      <c r="AS139" s="1">
        <f t="shared" si="183"/>
        <v>162634.66479576667</v>
      </c>
      <c r="AT139" s="1">
        <f t="shared" si="183"/>
        <v>168690.87716484774</v>
      </c>
      <c r="AU139" s="1">
        <f t="shared" si="183"/>
        <v>171710.12456663011</v>
      </c>
      <c r="AV139" s="1">
        <f t="shared" si="183"/>
        <v>172139.33623331061</v>
      </c>
      <c r="AW139" s="1">
        <f t="shared" si="183"/>
        <v>169186.40734501963</v>
      </c>
      <c r="AX139" s="1">
        <f t="shared" si="183"/>
        <v>162405.5523618584</v>
      </c>
      <c r="AY139" s="1">
        <f t="shared" si="183"/>
        <v>152017.17968071703</v>
      </c>
      <c r="AZ139" s="1">
        <f t="shared" si="183"/>
        <v>138973.09506677886</v>
      </c>
      <c r="BA139" s="1">
        <f t="shared" si="183"/>
        <v>124821.45343152503</v>
      </c>
      <c r="BB139" s="1">
        <f t="shared" si="183"/>
        <v>111216.98387064398</v>
      </c>
      <c r="BC139" s="1">
        <f t="shared" si="183"/>
        <v>99350.803780776012</v>
      </c>
      <c r="BD139" s="1">
        <f t="shared" si="183"/>
        <v>89763.096709913036</v>
      </c>
      <c r="BE139" s="1">
        <f t="shared" si="183"/>
        <v>82517.539232578521</v>
      </c>
      <c r="BF139" s="1">
        <f t="shared" si="183"/>
        <v>77382.889719732077</v>
      </c>
      <c r="BG139" s="1">
        <f t="shared" si="183"/>
        <v>73985.319041785377</v>
      </c>
      <c r="BH139" s="1">
        <f t="shared" si="183"/>
        <v>71804.841916134188</v>
      </c>
      <c r="BI139" s="1">
        <f t="shared" si="183"/>
        <v>70043.600619602003</v>
      </c>
      <c r="BJ139" s="1">
        <f t="shared" si="183"/>
        <v>70598.000468038663</v>
      </c>
      <c r="BK139" s="1">
        <f t="shared" si="183"/>
        <v>72913.247522644495</v>
      </c>
      <c r="BL139" s="1">
        <f t="shared" si="183"/>
        <v>75638.145352016669</v>
      </c>
      <c r="BM139" s="1">
        <f t="shared" si="183"/>
        <v>78450.732716100189</v>
      </c>
      <c r="BN139" s="1">
        <f t="shared" si="183"/>
        <v>81281.587176832822</v>
      </c>
      <c r="BO139" s="1">
        <f t="shared" si="183"/>
        <v>83931.129047327107</v>
      </c>
      <c r="BP139" s="1">
        <f t="shared" si="183"/>
        <v>86456.678041529114</v>
      </c>
      <c r="BQ139" s="1">
        <f t="shared" si="183"/>
        <v>88857.917156677344</v>
      </c>
      <c r="BR139" s="1">
        <f t="shared" si="183"/>
        <v>91043.245480943311</v>
      </c>
      <c r="BS139" s="1">
        <f t="shared" si="183"/>
        <v>93025.318909927155</v>
      </c>
      <c r="BT139" s="1">
        <f t="shared" ref="BT139:CD139" si="184">SUM(BT140,BT155,BT204,BT215)</f>
        <v>94884.1416679596</v>
      </c>
      <c r="BU139" s="1">
        <f t="shared" si="184"/>
        <v>96708.753237581841</v>
      </c>
      <c r="BV139" s="1">
        <f t="shared" si="184"/>
        <v>98481.265519685388</v>
      </c>
      <c r="BW139" s="1">
        <f t="shared" si="184"/>
        <v>100161.6849184708</v>
      </c>
      <c r="BX139" s="1">
        <f t="shared" si="184"/>
        <v>101396.40242956862</v>
      </c>
      <c r="BY139" s="1">
        <f t="shared" si="184"/>
        <v>101634.09251002206</v>
      </c>
      <c r="BZ139" s="1">
        <f t="shared" si="184"/>
        <v>103076.29233199859</v>
      </c>
      <c r="CA139" s="1">
        <f t="shared" si="184"/>
        <v>104435.06467516096</v>
      </c>
      <c r="CB139" s="1">
        <f t="shared" si="184"/>
        <v>105710.66804188963</v>
      </c>
      <c r="CC139" s="1">
        <f t="shared" si="184"/>
        <v>106908.63230882048</v>
      </c>
      <c r="CD139" s="1">
        <f t="shared" si="184"/>
        <v>111136.0030979155</v>
      </c>
    </row>
    <row r="140" spans="1:82" s="7" customFormat="1" x14ac:dyDescent="0.2">
      <c r="B140" s="7" t="s">
        <v>73</v>
      </c>
      <c r="G140" s="7">
        <f>SUM(G141,G152)</f>
        <v>11</v>
      </c>
      <c r="H140" s="7">
        <f t="shared" ref="H140:BS140" si="185">SUM(H141,H152)</f>
        <v>0</v>
      </c>
      <c r="I140" s="7">
        <f t="shared" si="185"/>
        <v>0</v>
      </c>
      <c r="J140" s="7">
        <f t="shared" si="185"/>
        <v>0</v>
      </c>
      <c r="K140" s="7">
        <f t="shared" si="185"/>
        <v>14610.947100000003</v>
      </c>
      <c r="L140" s="7">
        <f t="shared" si="185"/>
        <v>14610.947100000003</v>
      </c>
      <c r="M140" s="7">
        <f t="shared" si="185"/>
        <v>15504.1044</v>
      </c>
      <c r="N140" s="7">
        <f t="shared" si="185"/>
        <v>15951.078600000001</v>
      </c>
      <c r="O140" s="7">
        <f t="shared" si="185"/>
        <v>16399.3122</v>
      </c>
      <c r="P140" s="7">
        <f t="shared" si="185"/>
        <v>16847.490000000002</v>
      </c>
      <c r="Q140" s="7">
        <f t="shared" si="185"/>
        <v>17295.835200000001</v>
      </c>
      <c r="R140" s="7">
        <f t="shared" si="185"/>
        <v>17745.714899999999</v>
      </c>
      <c r="S140" s="7">
        <f t="shared" si="185"/>
        <v>18198.607800000002</v>
      </c>
      <c r="T140" s="7">
        <f t="shared" si="185"/>
        <v>18652.951499999999</v>
      </c>
      <c r="U140" s="7">
        <f t="shared" si="185"/>
        <v>19109.549099999997</v>
      </c>
      <c r="V140" s="7">
        <f t="shared" si="185"/>
        <v>19568.378700000001</v>
      </c>
      <c r="W140" s="7">
        <f t="shared" si="185"/>
        <v>20027.939699999999</v>
      </c>
      <c r="X140" s="7">
        <f t="shared" si="185"/>
        <v>21750.4002</v>
      </c>
      <c r="Y140" s="7">
        <f t="shared" si="185"/>
        <v>22255.640100000004</v>
      </c>
      <c r="Z140" s="7">
        <f t="shared" si="185"/>
        <v>22760.852099999996</v>
      </c>
      <c r="AA140" s="7">
        <f t="shared" si="185"/>
        <v>23265.980399999997</v>
      </c>
      <c r="AB140" s="7">
        <f t="shared" si="185"/>
        <v>23771.220300000004</v>
      </c>
      <c r="AC140" s="7">
        <f t="shared" si="185"/>
        <v>24276.432299999997</v>
      </c>
      <c r="AD140" s="7">
        <f t="shared" si="185"/>
        <v>24781.560600000001</v>
      </c>
      <c r="AE140" s="7">
        <f t="shared" si="185"/>
        <v>25286.744699999996</v>
      </c>
      <c r="AF140" s="7">
        <f t="shared" si="185"/>
        <v>25791.900900000004</v>
      </c>
      <c r="AG140" s="7">
        <f t="shared" si="185"/>
        <v>26297.140799999997</v>
      </c>
      <c r="AH140" s="7">
        <f t="shared" si="185"/>
        <v>26299.826999999997</v>
      </c>
      <c r="AI140" s="7">
        <f t="shared" si="185"/>
        <v>27307.481100000001</v>
      </c>
      <c r="AJ140" s="7">
        <f t="shared" si="185"/>
        <v>27255.09280086889</v>
      </c>
      <c r="AK140" s="7">
        <f t="shared" si="185"/>
        <v>27057.339362148785</v>
      </c>
      <c r="AL140" s="7">
        <f t="shared" si="185"/>
        <v>27108.915179951349</v>
      </c>
      <c r="AM140" s="7">
        <f t="shared" si="185"/>
        <v>27169.078952068943</v>
      </c>
      <c r="AN140" s="7">
        <f t="shared" si="185"/>
        <v>27935.252814966567</v>
      </c>
      <c r="AO140" s="7">
        <f t="shared" si="185"/>
        <v>28773.963807344393</v>
      </c>
      <c r="AP140" s="7">
        <f t="shared" si="185"/>
        <v>29834.186421486655</v>
      </c>
      <c r="AQ140" s="7">
        <f t="shared" si="185"/>
        <v>31111.81126972627</v>
      </c>
      <c r="AR140" s="7">
        <f t="shared" si="185"/>
        <v>32586.860289528158</v>
      </c>
      <c r="AS140" s="7">
        <f t="shared" si="185"/>
        <v>34288.454269236994</v>
      </c>
      <c r="AT140" s="7">
        <f t="shared" si="185"/>
        <v>36174.627116400203</v>
      </c>
      <c r="AU140" s="7">
        <f t="shared" si="185"/>
        <v>38181.962468914622</v>
      </c>
      <c r="AV140" s="7">
        <f t="shared" si="185"/>
        <v>40277.499424947309</v>
      </c>
      <c r="AW140" s="7">
        <f t="shared" si="185"/>
        <v>42411.079996108936</v>
      </c>
      <c r="AX140" s="7">
        <f t="shared" si="185"/>
        <v>44535.661202465839</v>
      </c>
      <c r="AY140" s="7">
        <f t="shared" si="185"/>
        <v>46611.315629904413</v>
      </c>
      <c r="AZ140" s="7">
        <f t="shared" si="185"/>
        <v>48608.275858671564</v>
      </c>
      <c r="BA140" s="7">
        <f t="shared" si="185"/>
        <v>50508.539261311795</v>
      </c>
      <c r="BB140" s="7">
        <f t="shared" si="185"/>
        <v>52305.853312842359</v>
      </c>
      <c r="BC140" s="7">
        <f t="shared" si="185"/>
        <v>54004.273592270634</v>
      </c>
      <c r="BD140" s="7">
        <f t="shared" si="185"/>
        <v>55596.978886082798</v>
      </c>
      <c r="BE140" s="7">
        <f t="shared" si="185"/>
        <v>57088.963480895603</v>
      </c>
      <c r="BF140" s="7">
        <f t="shared" si="185"/>
        <v>58478.689003177184</v>
      </c>
      <c r="BG140" s="7">
        <f t="shared" si="185"/>
        <v>59777.100214930746</v>
      </c>
      <c r="BH140" s="7">
        <f t="shared" si="185"/>
        <v>60876.46443823578</v>
      </c>
      <c r="BI140" s="7">
        <f t="shared" si="185"/>
        <v>61515.227881661456</v>
      </c>
      <c r="BJ140" s="7">
        <f t="shared" si="185"/>
        <v>62289.487716865828</v>
      </c>
      <c r="BK140" s="7">
        <f t="shared" si="185"/>
        <v>63183.575364604214</v>
      </c>
      <c r="BL140" s="7">
        <f t="shared" si="185"/>
        <v>64155.77168945939</v>
      </c>
      <c r="BM140" s="7">
        <f t="shared" si="185"/>
        <v>65168.613182841633</v>
      </c>
      <c r="BN140" s="7">
        <f t="shared" si="185"/>
        <v>66192.835867117581</v>
      </c>
      <c r="BO140" s="7">
        <f t="shared" si="185"/>
        <v>67206.225802519606</v>
      </c>
      <c r="BP140" s="7">
        <f t="shared" si="185"/>
        <v>68194.441719131719</v>
      </c>
      <c r="BQ140" s="7">
        <f t="shared" si="185"/>
        <v>69149.011867256646</v>
      </c>
      <c r="BR140" s="7">
        <f t="shared" si="185"/>
        <v>70064.885796545626</v>
      </c>
      <c r="BS140" s="7">
        <f t="shared" si="185"/>
        <v>70939.811461110687</v>
      </c>
      <c r="BT140" s="7">
        <f t="shared" ref="BT140:CD140" si="186">SUM(BT141,BT152)</f>
        <v>71774.180260358102</v>
      </c>
      <c r="BU140" s="7">
        <f t="shared" si="186"/>
        <v>72589.731891822114</v>
      </c>
      <c r="BV140" s="7">
        <f t="shared" si="186"/>
        <v>73398.680850789926</v>
      </c>
      <c r="BW140" s="7">
        <f t="shared" si="186"/>
        <v>74209.473593851828</v>
      </c>
      <c r="BX140" s="7">
        <f t="shared" si="186"/>
        <v>75028.143712437697</v>
      </c>
      <c r="BY140" s="7">
        <f t="shared" si="186"/>
        <v>75861.191359253906</v>
      </c>
      <c r="BZ140" s="7">
        <f t="shared" si="186"/>
        <v>76712.808675029111</v>
      </c>
      <c r="CA140" s="7">
        <f t="shared" si="186"/>
        <v>77582.550579483723</v>
      </c>
      <c r="CB140" s="7">
        <f t="shared" si="186"/>
        <v>78475.335368248052</v>
      </c>
      <c r="CC140" s="7">
        <f t="shared" si="186"/>
        <v>79394.384694402281</v>
      </c>
      <c r="CD140" s="7">
        <f t="shared" si="186"/>
        <v>80342.331757261753</v>
      </c>
    </row>
    <row r="141" spans="1:82" s="3" customFormat="1" x14ac:dyDescent="0.2">
      <c r="C141" s="3" t="s">
        <v>74</v>
      </c>
      <c r="G141" s="3">
        <f>SUM(G143:G151)</f>
        <v>9</v>
      </c>
      <c r="H141" s="3">
        <f t="shared" ref="H141:BS141" si="187">SUM(H143:H151)</f>
        <v>0</v>
      </c>
      <c r="I141" s="3">
        <f t="shared" si="187"/>
        <v>0</v>
      </c>
      <c r="J141" s="3">
        <f t="shared" si="187"/>
        <v>0</v>
      </c>
      <c r="K141" s="3">
        <f t="shared" si="187"/>
        <v>12672.096300000003</v>
      </c>
      <c r="L141" s="3">
        <f t="shared" si="187"/>
        <v>12672.096300000003</v>
      </c>
      <c r="M141" s="3">
        <f t="shared" si="187"/>
        <v>13455.333000000001</v>
      </c>
      <c r="N141" s="3">
        <f t="shared" si="187"/>
        <v>13846.9095</v>
      </c>
      <c r="O141" s="3">
        <f t="shared" si="187"/>
        <v>14238.541800000001</v>
      </c>
      <c r="P141" s="3">
        <f t="shared" si="187"/>
        <v>14630.118300000002</v>
      </c>
      <c r="Q141" s="3">
        <f t="shared" si="187"/>
        <v>15021.806399999999</v>
      </c>
      <c r="R141" s="3">
        <f t="shared" si="187"/>
        <v>15414.415199999999</v>
      </c>
      <c r="S141" s="3">
        <f t="shared" si="187"/>
        <v>15808.837500000001</v>
      </c>
      <c r="T141" s="3">
        <f t="shared" si="187"/>
        <v>16204.096799999999</v>
      </c>
      <c r="U141" s="3">
        <f t="shared" si="187"/>
        <v>16600.555799999995</v>
      </c>
      <c r="V141" s="3">
        <f t="shared" si="187"/>
        <v>16998.353999999999</v>
      </c>
      <c r="W141" s="3">
        <f t="shared" si="187"/>
        <v>17396.766</v>
      </c>
      <c r="X141" s="3">
        <f t="shared" si="187"/>
        <v>18884.672999999999</v>
      </c>
      <c r="Y141" s="3">
        <f t="shared" si="187"/>
        <v>19335.760200000004</v>
      </c>
      <c r="Z141" s="3">
        <f t="shared" si="187"/>
        <v>19786.847399999995</v>
      </c>
      <c r="AA141" s="3">
        <f t="shared" si="187"/>
        <v>20237.850899999998</v>
      </c>
      <c r="AB141" s="3">
        <f t="shared" si="187"/>
        <v>20688.938100000003</v>
      </c>
      <c r="AC141" s="3">
        <f t="shared" si="187"/>
        <v>21140.025299999998</v>
      </c>
      <c r="AD141" s="3">
        <f t="shared" si="187"/>
        <v>21591.0288</v>
      </c>
      <c r="AE141" s="3">
        <f t="shared" si="187"/>
        <v>22042.088099999994</v>
      </c>
      <c r="AF141" s="3">
        <f t="shared" si="187"/>
        <v>22493.091600000003</v>
      </c>
      <c r="AG141" s="3">
        <f t="shared" si="187"/>
        <v>22944.206699999999</v>
      </c>
      <c r="AH141" s="3">
        <f t="shared" si="187"/>
        <v>22944.206699999999</v>
      </c>
      <c r="AI141" s="3">
        <f t="shared" si="187"/>
        <v>23846.269500000002</v>
      </c>
      <c r="AJ141" s="3">
        <f t="shared" si="187"/>
        <v>23205.257604299743</v>
      </c>
      <c r="AK141" s="3">
        <f t="shared" si="187"/>
        <v>23068.450749472577</v>
      </c>
      <c r="AL141" s="3">
        <f t="shared" si="187"/>
        <v>23081.93714272901</v>
      </c>
      <c r="AM141" s="3">
        <f t="shared" si="187"/>
        <v>23098.390692515048</v>
      </c>
      <c r="AN141" s="3">
        <f t="shared" si="187"/>
        <v>23735.413261732643</v>
      </c>
      <c r="AO141" s="3">
        <f t="shared" si="187"/>
        <v>24432.414416398089</v>
      </c>
      <c r="AP141" s="3">
        <f t="shared" si="187"/>
        <v>25319.873978831805</v>
      </c>
      <c r="AQ141" s="3">
        <f t="shared" si="187"/>
        <v>26388.36319171347</v>
      </c>
      <c r="AR141" s="3">
        <f t="shared" si="187"/>
        <v>27623.871076627991</v>
      </c>
      <c r="AS141" s="3">
        <f t="shared" si="187"/>
        <v>29052.695313877612</v>
      </c>
      <c r="AT141" s="3">
        <f t="shared" si="187"/>
        <v>30641.677441262764</v>
      </c>
      <c r="AU141" s="3">
        <f t="shared" si="187"/>
        <v>32345.657185572029</v>
      </c>
      <c r="AV141" s="3">
        <f t="shared" si="187"/>
        <v>34124.422521121254</v>
      </c>
      <c r="AW141" s="3">
        <f t="shared" si="187"/>
        <v>35933.376185424109</v>
      </c>
      <c r="AX141" s="3">
        <f t="shared" si="187"/>
        <v>37730.668125117663</v>
      </c>
      <c r="AY141" s="3">
        <f t="shared" si="187"/>
        <v>39480.726171043658</v>
      </c>
      <c r="AZ141" s="3">
        <f t="shared" si="187"/>
        <v>41156.99235536137</v>
      </c>
      <c r="BA141" s="3">
        <f t="shared" si="187"/>
        <v>42743.332475504991</v>
      </c>
      <c r="BB141" s="3">
        <f t="shared" si="187"/>
        <v>44234.02984849675</v>
      </c>
      <c r="BC141" s="3">
        <f t="shared" si="187"/>
        <v>45632.507285823274</v>
      </c>
      <c r="BD141" s="3">
        <f t="shared" si="187"/>
        <v>46938.407545872906</v>
      </c>
      <c r="BE141" s="3">
        <f t="shared" si="187"/>
        <v>48156.865674742665</v>
      </c>
      <c r="BF141" s="3">
        <f t="shared" si="187"/>
        <v>49289.688876504944</v>
      </c>
      <c r="BG141" s="3">
        <f t="shared" si="187"/>
        <v>50345.032331219329</v>
      </c>
      <c r="BH141" s="3">
        <f t="shared" si="187"/>
        <v>51228.081732474435</v>
      </c>
      <c r="BI141" s="3">
        <f t="shared" si="187"/>
        <v>51707.487034373531</v>
      </c>
      <c r="BJ141" s="3">
        <f t="shared" si="187"/>
        <v>52309.398768879044</v>
      </c>
      <c r="BK141" s="3">
        <f t="shared" si="187"/>
        <v>53018.264551256092</v>
      </c>
      <c r="BL141" s="3">
        <f t="shared" si="187"/>
        <v>53797.29516147008</v>
      </c>
      <c r="BM141" s="3">
        <f t="shared" si="187"/>
        <v>54613.594567072323</v>
      </c>
      <c r="BN141" s="3">
        <f t="shared" si="187"/>
        <v>55441.397704755982</v>
      </c>
      <c r="BO141" s="3">
        <f t="shared" si="187"/>
        <v>56261.11747026696</v>
      </c>
      <c r="BP141" s="3">
        <f t="shared" si="187"/>
        <v>57060.176544657479</v>
      </c>
      <c r="BQ141" s="3">
        <f t="shared" si="187"/>
        <v>57831.229293946119</v>
      </c>
      <c r="BR141" s="3">
        <f t="shared" si="187"/>
        <v>58570.114036059516</v>
      </c>
      <c r="BS141" s="3">
        <f t="shared" si="187"/>
        <v>59275.117088788771</v>
      </c>
      <c r="BT141" s="3">
        <f t="shared" ref="BT141:CD141" si="188">SUM(BT143:BT151)</f>
        <v>59946.755139708839</v>
      </c>
      <c r="BU141" s="3">
        <f t="shared" si="188"/>
        <v>60600.916136212785</v>
      </c>
      <c r="BV141" s="3">
        <f t="shared" si="188"/>
        <v>61248.434517913156</v>
      </c>
      <c r="BW141" s="3">
        <f t="shared" si="188"/>
        <v>61896.892046611909</v>
      </c>
      <c r="BX141" s="3">
        <f t="shared" si="188"/>
        <v>62551.749507240711</v>
      </c>
      <c r="BY141" s="3">
        <f t="shared" si="188"/>
        <v>63218.579675148394</v>
      </c>
      <c r="BZ141" s="3">
        <f t="shared" si="188"/>
        <v>63901.050560481221</v>
      </c>
      <c r="CA141" s="3">
        <f t="shared" si="188"/>
        <v>64598.986536861368</v>
      </c>
      <c r="CB141" s="3">
        <f t="shared" si="188"/>
        <v>65316.679044883502</v>
      </c>
      <c r="CC141" s="3">
        <f t="shared" si="188"/>
        <v>66057.032766698525</v>
      </c>
      <c r="CD141" s="3">
        <f t="shared" si="188"/>
        <v>66822.370455720651</v>
      </c>
    </row>
    <row r="142" spans="1:82" s="4" customFormat="1" x14ac:dyDescent="0.2">
      <c r="D142" s="4" t="s">
        <v>75</v>
      </c>
    </row>
    <row r="143" spans="1:82" s="2" customFormat="1" x14ac:dyDescent="0.2">
      <c r="E143" s="2" t="s">
        <v>76</v>
      </c>
      <c r="F143" s="2" t="s">
        <v>6</v>
      </c>
      <c r="G143" s="2">
        <f t="shared" ref="G143:G151" si="189">O368</f>
        <v>1</v>
      </c>
      <c r="H143" s="2">
        <f t="shared" ref="H143:BS146" si="190">P368</f>
        <v>0</v>
      </c>
      <c r="I143" s="2" t="str">
        <f t="shared" si="190"/>
        <v>emission_co2e_ch4_lvst_entferm_cattle_dairy</v>
      </c>
      <c r="J143" s="2">
        <f t="shared" si="190"/>
        <v>0</v>
      </c>
      <c r="K143" s="2">
        <f t="shared" si="190"/>
        <v>214.27199999999999</v>
      </c>
      <c r="L143" s="2">
        <f t="shared" si="190"/>
        <v>214.27199999999999</v>
      </c>
      <c r="M143" s="2">
        <f t="shared" si="190"/>
        <v>226.85489999999999</v>
      </c>
      <c r="N143" s="2">
        <f t="shared" si="190"/>
        <v>233.13239999999999</v>
      </c>
      <c r="O143" s="2">
        <f t="shared" si="190"/>
        <v>239.43780000000001</v>
      </c>
      <c r="P143" s="2">
        <f t="shared" si="190"/>
        <v>245.71530000000001</v>
      </c>
      <c r="Q143" s="2">
        <f t="shared" si="190"/>
        <v>252.02070000000001</v>
      </c>
      <c r="R143" s="2">
        <f t="shared" si="190"/>
        <v>258.29820000000001</v>
      </c>
      <c r="S143" s="2">
        <f t="shared" si="190"/>
        <v>264.60359999999997</v>
      </c>
      <c r="T143" s="2">
        <f t="shared" si="190"/>
        <v>270.8811</v>
      </c>
      <c r="U143" s="2">
        <f t="shared" si="190"/>
        <v>277.18650000000002</v>
      </c>
      <c r="V143" s="2">
        <f t="shared" si="190"/>
        <v>283.464</v>
      </c>
      <c r="W143" s="2">
        <f t="shared" si="190"/>
        <v>289.76940000000002</v>
      </c>
      <c r="X143" s="2">
        <f t="shared" si="190"/>
        <v>316.86029999999988</v>
      </c>
      <c r="Y143" s="2">
        <f t="shared" si="190"/>
        <v>411.02280000000002</v>
      </c>
      <c r="Z143" s="2">
        <f t="shared" si="190"/>
        <v>505.21319999999997</v>
      </c>
      <c r="AA143" s="2">
        <f t="shared" si="190"/>
        <v>599.34780000000001</v>
      </c>
      <c r="AB143" s="2">
        <f t="shared" si="190"/>
        <v>693.51029999999992</v>
      </c>
      <c r="AC143" s="2">
        <f t="shared" si="190"/>
        <v>787.70069999999998</v>
      </c>
      <c r="AD143" s="2">
        <f t="shared" si="190"/>
        <v>881.83529999999996</v>
      </c>
      <c r="AE143" s="2">
        <f t="shared" si="190"/>
        <v>976.02569999999992</v>
      </c>
      <c r="AF143" s="2">
        <f t="shared" si="190"/>
        <v>1070.1603</v>
      </c>
      <c r="AG143" s="2">
        <f t="shared" si="190"/>
        <v>1164.3507</v>
      </c>
      <c r="AH143" s="2">
        <f t="shared" si="190"/>
        <v>1164.3507</v>
      </c>
      <c r="AI143" s="2">
        <f t="shared" si="190"/>
        <v>1352.6757</v>
      </c>
      <c r="AJ143" s="2">
        <f t="shared" si="190"/>
        <v>5326.3952154943299</v>
      </c>
      <c r="AK143" s="2">
        <f t="shared" si="190"/>
        <v>5256.88546097366</v>
      </c>
      <c r="AL143" s="2">
        <f t="shared" si="190"/>
        <v>5246.0540624850901</v>
      </c>
      <c r="AM143" s="2">
        <f t="shared" si="190"/>
        <v>5234.8322793852103</v>
      </c>
      <c r="AN143" s="2">
        <f t="shared" si="190"/>
        <v>5364.01409622135</v>
      </c>
      <c r="AO143" s="2">
        <f t="shared" si="190"/>
        <v>5505.2641209737303</v>
      </c>
      <c r="AP143" s="2">
        <f t="shared" si="190"/>
        <v>5687.7014966956604</v>
      </c>
      <c r="AQ143" s="2">
        <f t="shared" si="190"/>
        <v>5907.5412671328804</v>
      </c>
      <c r="AR143" s="2">
        <f t="shared" si="190"/>
        <v>6162.2228641302299</v>
      </c>
      <c r="AS143" s="2">
        <f t="shared" si="190"/>
        <v>6457.4600988170096</v>
      </c>
      <c r="AT143" s="2">
        <f t="shared" si="190"/>
        <v>6786.2988016852196</v>
      </c>
      <c r="AU143" s="2">
        <f t="shared" si="190"/>
        <v>7140.5639640787904</v>
      </c>
      <c r="AV143" s="2">
        <f t="shared" si="190"/>
        <v>7508.73214206179</v>
      </c>
      <c r="AW143" s="2">
        <f t="shared" si="190"/>
        <v>7880.7243147601903</v>
      </c>
      <c r="AX143" s="2">
        <f t="shared" si="190"/>
        <v>8247.1960941594698</v>
      </c>
      <c r="AY143" s="2">
        <f t="shared" si="190"/>
        <v>8600.2972006211003</v>
      </c>
      <c r="AZ143" s="2">
        <f t="shared" si="190"/>
        <v>8934.2641377016298</v>
      </c>
      <c r="BA143" s="2">
        <f t="shared" si="190"/>
        <v>9245.6810400520189</v>
      </c>
      <c r="BB143" s="2">
        <f t="shared" si="190"/>
        <v>9533.4566052361006</v>
      </c>
      <c r="BC143" s="2">
        <f t="shared" si="190"/>
        <v>9798.4904923354006</v>
      </c>
      <c r="BD143" s="2">
        <f t="shared" si="190"/>
        <v>10041.836739800499</v>
      </c>
      <c r="BE143" s="2">
        <f t="shared" si="190"/>
        <v>10264.8173318833</v>
      </c>
      <c r="BF143" s="2">
        <f t="shared" si="190"/>
        <v>10468.1651269678</v>
      </c>
      <c r="BG143" s="2">
        <f t="shared" si="190"/>
        <v>10653.6687963642</v>
      </c>
      <c r="BH143" s="2">
        <f t="shared" si="190"/>
        <v>10801.289188183</v>
      </c>
      <c r="BI143" s="2">
        <f t="shared" si="190"/>
        <v>10862.238872862799</v>
      </c>
      <c r="BJ143" s="2">
        <f t="shared" si="190"/>
        <v>10981.824326162499</v>
      </c>
      <c r="BK143" s="2">
        <f t="shared" si="190"/>
        <v>11124.417628873</v>
      </c>
      <c r="BL143" s="2">
        <f t="shared" si="190"/>
        <v>11282.191569537201</v>
      </c>
      <c r="BM143" s="2">
        <f t="shared" si="190"/>
        <v>11448.167135989999</v>
      </c>
      <c r="BN143" s="2">
        <f t="shared" si="190"/>
        <v>11616.8789436731</v>
      </c>
      <c r="BO143" s="2">
        <f t="shared" si="190"/>
        <v>11784.172945426901</v>
      </c>
      <c r="BP143" s="2">
        <f t="shared" si="190"/>
        <v>11947.390976943499</v>
      </c>
      <c r="BQ143" s="2">
        <f t="shared" si="190"/>
        <v>12104.980372155</v>
      </c>
      <c r="BR143" s="2">
        <f t="shared" si="190"/>
        <v>12256.0769614901</v>
      </c>
      <c r="BS143" s="2">
        <f t="shared" si="190"/>
        <v>12400.3311732742</v>
      </c>
      <c r="BT143" s="2">
        <f t="shared" ref="BT143:CD145" si="191">CB368</f>
        <v>12537.860122890501</v>
      </c>
      <c r="BU143" s="2">
        <f t="shared" si="191"/>
        <v>12671.6484781402</v>
      </c>
      <c r="BV143" s="2">
        <f t="shared" si="191"/>
        <v>12803.992410327999</v>
      </c>
      <c r="BW143" s="2">
        <f t="shared" si="191"/>
        <v>12936.5102411154</v>
      </c>
      <c r="BX143" s="2">
        <f t="shared" si="191"/>
        <v>13070.362477483301</v>
      </c>
      <c r="BY143" s="2">
        <f t="shared" si="191"/>
        <v>13206.720273265701</v>
      </c>
      <c r="BZ143" s="2">
        <f t="shared" si="191"/>
        <v>13346.355525307599</v>
      </c>
      <c r="CA143" s="2">
        <f t="shared" si="191"/>
        <v>13489.246939903</v>
      </c>
      <c r="CB143" s="2">
        <f t="shared" si="191"/>
        <v>13636.29949956</v>
      </c>
      <c r="CC143" s="2">
        <f t="shared" si="191"/>
        <v>13788.132496230201</v>
      </c>
      <c r="CD143" s="2">
        <f t="shared" si="191"/>
        <v>13945.235685153</v>
      </c>
    </row>
    <row r="144" spans="1:82" s="2" customFormat="1" x14ac:dyDescent="0.2">
      <c r="E144" s="2" t="s">
        <v>78</v>
      </c>
      <c r="F144" s="2" t="s">
        <v>6</v>
      </c>
      <c r="G144" s="2">
        <f t="shared" si="189"/>
        <v>1</v>
      </c>
      <c r="H144" s="2">
        <f t="shared" si="190"/>
        <v>0</v>
      </c>
      <c r="I144" s="2" t="str">
        <f t="shared" si="190"/>
        <v>emission_co2e_ch4_lvst_entferm_cattle_nondairy</v>
      </c>
      <c r="J144" s="2">
        <f t="shared" si="190"/>
        <v>0</v>
      </c>
      <c r="K144" s="2">
        <f t="shared" si="190"/>
        <v>10981.3284</v>
      </c>
      <c r="L144" s="2">
        <f t="shared" si="190"/>
        <v>10981.3284</v>
      </c>
      <c r="M144" s="2">
        <f t="shared" si="190"/>
        <v>11626.320599999999</v>
      </c>
      <c r="N144" s="2">
        <f t="shared" si="190"/>
        <v>11948.816699999999</v>
      </c>
      <c r="O144" s="2">
        <f t="shared" si="190"/>
        <v>12271.3128</v>
      </c>
      <c r="P144" s="2">
        <f t="shared" si="190"/>
        <v>12593.8089</v>
      </c>
      <c r="Q144" s="2">
        <f t="shared" si="190"/>
        <v>12916.305</v>
      </c>
      <c r="R144" s="2">
        <f t="shared" si="190"/>
        <v>13238.801100000001</v>
      </c>
      <c r="S144" s="2">
        <f t="shared" si="190"/>
        <v>13561.297200000001</v>
      </c>
      <c r="T144" s="2">
        <f t="shared" si="190"/>
        <v>13883.793299999999</v>
      </c>
      <c r="U144" s="2">
        <f t="shared" si="190"/>
        <v>14206.2894</v>
      </c>
      <c r="V144" s="2">
        <f t="shared" si="190"/>
        <v>14528.7855</v>
      </c>
      <c r="W144" s="2">
        <f t="shared" si="190"/>
        <v>14851.253699999999</v>
      </c>
      <c r="X144" s="2">
        <f t="shared" si="190"/>
        <v>16240.5342</v>
      </c>
      <c r="Y144" s="2">
        <f t="shared" si="190"/>
        <v>16525.895400000001</v>
      </c>
      <c r="Z144" s="2">
        <f t="shared" si="190"/>
        <v>16811.2287</v>
      </c>
      <c r="AA144" s="2">
        <f t="shared" si="190"/>
        <v>17096.589899999999</v>
      </c>
      <c r="AB144" s="2">
        <f t="shared" si="190"/>
        <v>17381.951099999998</v>
      </c>
      <c r="AC144" s="2">
        <f t="shared" si="190"/>
        <v>17667.2844</v>
      </c>
      <c r="AD144" s="2">
        <f t="shared" si="190"/>
        <v>17952.6456</v>
      </c>
      <c r="AE144" s="2">
        <f t="shared" si="190"/>
        <v>18237.978899999998</v>
      </c>
      <c r="AF144" s="2">
        <f t="shared" si="190"/>
        <v>18523.340100000001</v>
      </c>
      <c r="AG144" s="2">
        <f t="shared" si="190"/>
        <v>18808.6734</v>
      </c>
      <c r="AH144" s="2">
        <f t="shared" si="190"/>
        <v>18808.6734</v>
      </c>
      <c r="AI144" s="2">
        <f t="shared" si="190"/>
        <v>19379.367900000001</v>
      </c>
      <c r="AJ144" s="2">
        <f t="shared" si="190"/>
        <v>13985.6751413935</v>
      </c>
      <c r="AK144" s="2">
        <f t="shared" si="190"/>
        <v>13815.4404601525</v>
      </c>
      <c r="AL144" s="2">
        <f t="shared" si="190"/>
        <v>13793.3290010527</v>
      </c>
      <c r="AM144" s="2">
        <f t="shared" si="190"/>
        <v>13770.803528799301</v>
      </c>
      <c r="AN144" s="2">
        <f t="shared" si="190"/>
        <v>14118.387604125901</v>
      </c>
      <c r="AO144" s="2">
        <f t="shared" si="190"/>
        <v>14498.4358956215</v>
      </c>
      <c r="AP144" s="2">
        <f t="shared" si="190"/>
        <v>14987.877146503901</v>
      </c>
      <c r="AQ144" s="2">
        <f t="shared" si="190"/>
        <v>15577.8908126066</v>
      </c>
      <c r="AR144" s="2">
        <f t="shared" si="190"/>
        <v>16260.894746879299</v>
      </c>
      <c r="AS144" s="2">
        <f t="shared" si="190"/>
        <v>17051.854128592098</v>
      </c>
      <c r="AT144" s="2">
        <f t="shared" si="190"/>
        <v>17931.770489043301</v>
      </c>
      <c r="AU144" s="2">
        <f t="shared" si="190"/>
        <v>18877.463948091601</v>
      </c>
      <c r="AV144" s="2">
        <f t="shared" si="190"/>
        <v>19860.351814647202</v>
      </c>
      <c r="AW144" s="2">
        <f t="shared" si="190"/>
        <v>20853.778197839401</v>
      </c>
      <c r="AX144" s="2">
        <f t="shared" si="190"/>
        <v>21832.976369457399</v>
      </c>
      <c r="AY144" s="2">
        <f t="shared" si="190"/>
        <v>22777.108476847301</v>
      </c>
      <c r="AZ144" s="2">
        <f t="shared" si="190"/>
        <v>23670.818395767201</v>
      </c>
      <c r="BA144" s="2">
        <f t="shared" si="190"/>
        <v>24504.980839230899</v>
      </c>
      <c r="BB144" s="2">
        <f t="shared" si="190"/>
        <v>25276.5993718629</v>
      </c>
      <c r="BC144" s="2">
        <f t="shared" si="190"/>
        <v>25987.995381198802</v>
      </c>
      <c r="BD144" s="2">
        <f t="shared" si="190"/>
        <v>26641.220721284099</v>
      </c>
      <c r="BE144" s="2">
        <f t="shared" si="190"/>
        <v>27239.723478207401</v>
      </c>
      <c r="BF144" s="2">
        <f t="shared" si="190"/>
        <v>27784.564788321401</v>
      </c>
      <c r="BG144" s="2">
        <f t="shared" si="190"/>
        <v>28281.27737286</v>
      </c>
      <c r="BH144" s="2">
        <f t="shared" si="190"/>
        <v>28676.561591230398</v>
      </c>
      <c r="BI144" s="2">
        <f t="shared" si="190"/>
        <v>28840.7900464575</v>
      </c>
      <c r="BJ144" s="2">
        <f t="shared" si="190"/>
        <v>29167.924785872699</v>
      </c>
      <c r="BK144" s="2">
        <f t="shared" si="190"/>
        <v>29555.887891879102</v>
      </c>
      <c r="BL144" s="2">
        <f t="shared" si="190"/>
        <v>29983.922857516001</v>
      </c>
      <c r="BM144" s="2">
        <f t="shared" si="190"/>
        <v>30433.4695095317</v>
      </c>
      <c r="BN144" s="2">
        <f t="shared" si="190"/>
        <v>30890.0082487951</v>
      </c>
      <c r="BO144" s="2">
        <f t="shared" si="190"/>
        <v>31342.511270397201</v>
      </c>
      <c r="BP144" s="2">
        <f t="shared" si="190"/>
        <v>31783.895428478801</v>
      </c>
      <c r="BQ144" s="2">
        <f t="shared" si="190"/>
        <v>32210.026662077998</v>
      </c>
      <c r="BR144" s="2">
        <f t="shared" si="190"/>
        <v>32618.553230788999</v>
      </c>
      <c r="BS144" s="2">
        <f t="shared" si="190"/>
        <v>33008.505056870403</v>
      </c>
      <c r="BT144" s="2">
        <f t="shared" si="191"/>
        <v>33380.169885534699</v>
      </c>
      <c r="BU144" s="2">
        <f t="shared" si="191"/>
        <v>33741.857118609099</v>
      </c>
      <c r="BV144" s="2">
        <f t="shared" si="191"/>
        <v>34099.685894786002</v>
      </c>
      <c r="BW144" s="2">
        <f t="shared" si="191"/>
        <v>34457.935968805301</v>
      </c>
      <c r="BX144" s="2">
        <f t="shared" si="191"/>
        <v>34819.700905228201</v>
      </c>
      <c r="BY144" s="2">
        <f t="shared" si="191"/>
        <v>35188.130117897497</v>
      </c>
      <c r="BZ144" s="2">
        <f t="shared" si="191"/>
        <v>35565.300957269901</v>
      </c>
      <c r="CA144" s="2">
        <f t="shared" si="191"/>
        <v>35951.128435308303</v>
      </c>
      <c r="CB144" s="2">
        <f t="shared" si="191"/>
        <v>36348.041995766798</v>
      </c>
      <c r="CC144" s="2">
        <f t="shared" si="191"/>
        <v>36757.691620686201</v>
      </c>
      <c r="CD144" s="2">
        <f t="shared" si="191"/>
        <v>37181.399481105</v>
      </c>
    </row>
    <row r="145" spans="2:82" s="2" customFormat="1" x14ac:dyDescent="0.2">
      <c r="D145" s="2" t="s">
        <v>79</v>
      </c>
      <c r="F145" s="2" t="s">
        <v>6</v>
      </c>
      <c r="G145" s="2">
        <f t="shared" si="189"/>
        <v>1</v>
      </c>
      <c r="H145" s="2">
        <f t="shared" si="190"/>
        <v>0</v>
      </c>
      <c r="I145" s="2" t="str">
        <f t="shared" si="190"/>
        <v>emission_co2e_ch4_lvst_entferm_buffalo</v>
      </c>
      <c r="J145" s="2">
        <f t="shared" si="190"/>
        <v>0</v>
      </c>
      <c r="K145" s="2">
        <f t="shared" si="190"/>
        <v>0</v>
      </c>
      <c r="L145" s="2">
        <f t="shared" si="190"/>
        <v>0</v>
      </c>
      <c r="M145" s="2">
        <f t="shared" si="190"/>
        <v>0</v>
      </c>
      <c r="N145" s="2">
        <f t="shared" si="190"/>
        <v>0</v>
      </c>
      <c r="O145" s="2">
        <f t="shared" si="190"/>
        <v>0</v>
      </c>
      <c r="P145" s="2">
        <f t="shared" si="190"/>
        <v>0</v>
      </c>
      <c r="Q145" s="2">
        <f t="shared" si="190"/>
        <v>0</v>
      </c>
      <c r="R145" s="2">
        <f t="shared" si="190"/>
        <v>0</v>
      </c>
      <c r="S145" s="2">
        <f t="shared" si="190"/>
        <v>0</v>
      </c>
      <c r="T145" s="2">
        <f t="shared" si="190"/>
        <v>0</v>
      </c>
      <c r="U145" s="2">
        <f t="shared" si="190"/>
        <v>0</v>
      </c>
      <c r="V145" s="2">
        <f t="shared" si="190"/>
        <v>0</v>
      </c>
      <c r="W145" s="2">
        <f t="shared" si="190"/>
        <v>0</v>
      </c>
      <c r="X145" s="2">
        <f t="shared" si="190"/>
        <v>0</v>
      </c>
      <c r="Y145" s="2">
        <f t="shared" si="190"/>
        <v>0</v>
      </c>
      <c r="Z145" s="2">
        <f t="shared" si="190"/>
        <v>0</v>
      </c>
      <c r="AA145" s="2">
        <f t="shared" si="190"/>
        <v>0</v>
      </c>
      <c r="AB145" s="2">
        <f t="shared" si="190"/>
        <v>0</v>
      </c>
      <c r="AC145" s="2">
        <f t="shared" si="190"/>
        <v>0</v>
      </c>
      <c r="AD145" s="2">
        <f t="shared" si="190"/>
        <v>0</v>
      </c>
      <c r="AE145" s="2">
        <f t="shared" si="190"/>
        <v>0</v>
      </c>
      <c r="AF145" s="2">
        <f t="shared" si="190"/>
        <v>0</v>
      </c>
      <c r="AG145" s="2">
        <f t="shared" si="190"/>
        <v>0</v>
      </c>
      <c r="AH145" s="2">
        <f t="shared" si="190"/>
        <v>0</v>
      </c>
      <c r="AI145" s="2">
        <f t="shared" si="190"/>
        <v>0</v>
      </c>
      <c r="AJ145" s="2">
        <f t="shared" si="190"/>
        <v>0</v>
      </c>
      <c r="AK145" s="2">
        <f t="shared" si="190"/>
        <v>0</v>
      </c>
      <c r="AL145" s="2">
        <f t="shared" si="190"/>
        <v>0</v>
      </c>
      <c r="AM145" s="2">
        <f t="shared" si="190"/>
        <v>0</v>
      </c>
      <c r="AN145" s="2">
        <f t="shared" si="190"/>
        <v>0</v>
      </c>
      <c r="AO145" s="2">
        <f t="shared" si="190"/>
        <v>0</v>
      </c>
      <c r="AP145" s="2">
        <f t="shared" si="190"/>
        <v>0</v>
      </c>
      <c r="AQ145" s="2">
        <f t="shared" si="190"/>
        <v>0</v>
      </c>
      <c r="AR145" s="2">
        <f t="shared" si="190"/>
        <v>0</v>
      </c>
      <c r="AS145" s="2">
        <f t="shared" si="190"/>
        <v>0</v>
      </c>
      <c r="AT145" s="2">
        <f t="shared" si="190"/>
        <v>0</v>
      </c>
      <c r="AU145" s="2">
        <f t="shared" si="190"/>
        <v>0</v>
      </c>
      <c r="AV145" s="2">
        <f t="shared" si="190"/>
        <v>0</v>
      </c>
      <c r="AW145" s="2">
        <f t="shared" si="190"/>
        <v>0</v>
      </c>
      <c r="AX145" s="2">
        <f t="shared" si="190"/>
        <v>0</v>
      </c>
      <c r="AY145" s="2">
        <f t="shared" si="190"/>
        <v>0</v>
      </c>
      <c r="AZ145" s="2">
        <f t="shared" si="190"/>
        <v>0</v>
      </c>
      <c r="BA145" s="2">
        <f t="shared" si="190"/>
        <v>0</v>
      </c>
      <c r="BB145" s="2">
        <f t="shared" si="190"/>
        <v>0</v>
      </c>
      <c r="BC145" s="2">
        <f t="shared" si="190"/>
        <v>0</v>
      </c>
      <c r="BD145" s="2">
        <f t="shared" si="190"/>
        <v>0</v>
      </c>
      <c r="BE145" s="2">
        <f t="shared" si="190"/>
        <v>0</v>
      </c>
      <c r="BF145" s="2">
        <f t="shared" si="190"/>
        <v>0</v>
      </c>
      <c r="BG145" s="2">
        <f t="shared" si="190"/>
        <v>0</v>
      </c>
      <c r="BH145" s="2">
        <f t="shared" si="190"/>
        <v>0</v>
      </c>
      <c r="BI145" s="2">
        <f t="shared" si="190"/>
        <v>0</v>
      </c>
      <c r="BJ145" s="2">
        <f t="shared" si="190"/>
        <v>0</v>
      </c>
      <c r="BK145" s="2">
        <f t="shared" si="190"/>
        <v>0</v>
      </c>
      <c r="BL145" s="2">
        <f t="shared" si="190"/>
        <v>0</v>
      </c>
      <c r="BM145" s="2">
        <f t="shared" si="190"/>
        <v>0</v>
      </c>
      <c r="BN145" s="2">
        <f t="shared" si="190"/>
        <v>0</v>
      </c>
      <c r="BO145" s="2">
        <f t="shared" si="190"/>
        <v>0</v>
      </c>
      <c r="BP145" s="2">
        <f t="shared" si="190"/>
        <v>0</v>
      </c>
      <c r="BQ145" s="2">
        <f t="shared" si="190"/>
        <v>0</v>
      </c>
      <c r="BR145" s="2">
        <f t="shared" si="190"/>
        <v>0</v>
      </c>
      <c r="BS145" s="2">
        <f t="shared" si="190"/>
        <v>0</v>
      </c>
      <c r="BT145" s="2">
        <f t="shared" si="191"/>
        <v>0</v>
      </c>
      <c r="BU145" s="2">
        <f t="shared" si="191"/>
        <v>0</v>
      </c>
      <c r="BV145" s="2">
        <f t="shared" si="191"/>
        <v>0</v>
      </c>
      <c r="BW145" s="2">
        <f t="shared" si="191"/>
        <v>0</v>
      </c>
      <c r="BX145" s="2">
        <f t="shared" si="191"/>
        <v>0</v>
      </c>
      <c r="BY145" s="2">
        <f t="shared" si="191"/>
        <v>0</v>
      </c>
      <c r="BZ145" s="2">
        <f t="shared" si="191"/>
        <v>0</v>
      </c>
      <c r="CA145" s="2">
        <f t="shared" si="191"/>
        <v>0</v>
      </c>
      <c r="CB145" s="2">
        <f t="shared" si="191"/>
        <v>0</v>
      </c>
      <c r="CC145" s="2">
        <f t="shared" si="191"/>
        <v>0</v>
      </c>
      <c r="CD145" s="2">
        <f t="shared" si="191"/>
        <v>0</v>
      </c>
    </row>
    <row r="146" spans="2:82" s="2" customFormat="1" x14ac:dyDescent="0.2">
      <c r="D146" s="2" t="s">
        <v>80</v>
      </c>
      <c r="F146" s="2" t="s">
        <v>6</v>
      </c>
      <c r="G146" s="2">
        <f t="shared" si="189"/>
        <v>1</v>
      </c>
      <c r="H146" s="2">
        <f t="shared" si="190"/>
        <v>0</v>
      </c>
      <c r="I146" s="2" t="str">
        <f t="shared" si="190"/>
        <v>emission_co2e_ch4_lvst_entferm_sheep</v>
      </c>
      <c r="J146" s="2">
        <f t="shared" si="190"/>
        <v>0</v>
      </c>
      <c r="K146" s="2">
        <f t="shared" si="190"/>
        <v>344.45339999999999</v>
      </c>
      <c r="L146" s="2">
        <f t="shared" si="190"/>
        <v>344.45339999999999</v>
      </c>
      <c r="M146" s="2">
        <f t="shared" si="190"/>
        <v>365.04360000000003</v>
      </c>
      <c r="N146" s="2">
        <f t="shared" si="190"/>
        <v>375.31079999999997</v>
      </c>
      <c r="O146" s="2">
        <f t="shared" si="190"/>
        <v>385.60590000000002</v>
      </c>
      <c r="P146" s="2">
        <f t="shared" si="190"/>
        <v>395.87310000000002</v>
      </c>
      <c r="Q146" s="2">
        <f t="shared" si="190"/>
        <v>406.16820000000001</v>
      </c>
      <c r="R146" s="2">
        <f t="shared" si="190"/>
        <v>416.43540000000002</v>
      </c>
      <c r="S146" s="2">
        <f t="shared" si="190"/>
        <v>426.73049999999989</v>
      </c>
      <c r="T146" s="2">
        <f t="shared" si="190"/>
        <v>436.99770000000001</v>
      </c>
      <c r="U146" s="2">
        <f t="shared" si="190"/>
        <v>447.2928</v>
      </c>
      <c r="V146" s="2">
        <f t="shared" si="190"/>
        <v>457.55999999999989</v>
      </c>
      <c r="W146" s="2">
        <f t="shared" si="190"/>
        <v>467.85509999999988</v>
      </c>
      <c r="X146" s="2">
        <f t="shared" si="190"/>
        <v>478.56869999999992</v>
      </c>
      <c r="Y146" s="2">
        <f t="shared" si="190"/>
        <v>489.22649999999999</v>
      </c>
      <c r="Z146" s="2">
        <f t="shared" si="190"/>
        <v>499.91219999999993</v>
      </c>
      <c r="AA146" s="2">
        <f t="shared" si="190"/>
        <v>510.57</v>
      </c>
      <c r="AB146" s="2">
        <f t="shared" si="190"/>
        <v>521.25569999999993</v>
      </c>
      <c r="AC146" s="2">
        <f t="shared" si="190"/>
        <v>531.94139999999993</v>
      </c>
      <c r="AD146" s="2">
        <f t="shared" si="190"/>
        <v>542.5992</v>
      </c>
      <c r="AE146" s="2">
        <f t="shared" si="190"/>
        <v>553.28489999999999</v>
      </c>
      <c r="AF146" s="2">
        <f t="shared" si="190"/>
        <v>563.94269999999995</v>
      </c>
      <c r="AG146" s="2">
        <f t="shared" si="190"/>
        <v>574.62839999999994</v>
      </c>
      <c r="AH146" s="2">
        <f t="shared" si="190"/>
        <v>574.62839999999994</v>
      </c>
      <c r="AI146" s="2">
        <f t="shared" si="190"/>
        <v>595.97190000000001</v>
      </c>
      <c r="AJ146" s="2">
        <f t="shared" si="190"/>
        <v>770.66073612924004</v>
      </c>
      <c r="AK146" s="2">
        <f t="shared" si="190"/>
        <v>830.25042542384597</v>
      </c>
      <c r="AL146" s="2">
        <f t="shared" si="190"/>
        <v>838.89027661743</v>
      </c>
      <c r="AM146" s="2">
        <f t="shared" si="190"/>
        <v>848.14106104903692</v>
      </c>
      <c r="AN146" s="2">
        <f t="shared" si="190"/>
        <v>881.12475492241606</v>
      </c>
      <c r="AO146" s="2">
        <f t="shared" si="190"/>
        <v>917.27474350425393</v>
      </c>
      <c r="AP146" s="2">
        <f t="shared" si="190"/>
        <v>961.84034561178703</v>
      </c>
      <c r="AQ146" s="2">
        <f t="shared" si="190"/>
        <v>1015.25058739531</v>
      </c>
      <c r="AR146" s="2">
        <f t="shared" si="190"/>
        <v>1076.8291602034301</v>
      </c>
      <c r="AS146" s="2">
        <f t="shared" si="190"/>
        <v>1147.8198312756699</v>
      </c>
      <c r="AT146" s="2">
        <f t="shared" si="190"/>
        <v>1226.8341902703901</v>
      </c>
      <c r="AU146" s="2">
        <f t="shared" si="190"/>
        <v>1311.3634556992099</v>
      </c>
      <c r="AV146" s="2">
        <f t="shared" si="190"/>
        <v>1400.8883833413499</v>
      </c>
      <c r="AW146" s="2">
        <f t="shared" si="190"/>
        <v>1493.6907438946901</v>
      </c>
      <c r="AX146" s="2">
        <f t="shared" si="190"/>
        <v>1588.07878509953</v>
      </c>
      <c r="AY146" s="2">
        <f t="shared" si="190"/>
        <v>1682.5459305545601</v>
      </c>
      <c r="AZ146" s="2">
        <f t="shared" si="190"/>
        <v>1775.9010402280201</v>
      </c>
      <c r="BA146" s="2">
        <f t="shared" si="190"/>
        <v>1867.35470600336</v>
      </c>
      <c r="BB146" s="2">
        <f t="shared" si="190"/>
        <v>1956.544911529</v>
      </c>
      <c r="BC146" s="2">
        <f t="shared" si="190"/>
        <v>2043.5085939135099</v>
      </c>
      <c r="BD146" s="2">
        <f t="shared" si="190"/>
        <v>2127.7480828225098</v>
      </c>
      <c r="BE146" s="2">
        <f t="shared" si="190"/>
        <v>2209.3750067743899</v>
      </c>
      <c r="BF146" s="2">
        <f t="shared" si="190"/>
        <v>2288.53253792442</v>
      </c>
      <c r="BG146" s="2">
        <f t="shared" si="190"/>
        <v>2365.3354101230698</v>
      </c>
      <c r="BH146" s="2">
        <f t="shared" si="190"/>
        <v>2435.1421324590201</v>
      </c>
      <c r="BI146" s="2">
        <f t="shared" si="190"/>
        <v>2486.46085133004</v>
      </c>
      <c r="BJ146" s="2">
        <f t="shared" si="190"/>
        <v>2516.46326291481</v>
      </c>
      <c r="BK146" s="2">
        <f t="shared" si="190"/>
        <v>2551.5280196345698</v>
      </c>
      <c r="BL146" s="2">
        <f t="shared" si="190"/>
        <v>2589.87870806927</v>
      </c>
      <c r="BM146" s="2">
        <f t="shared" si="190"/>
        <v>2629.9286669362</v>
      </c>
      <c r="BN146" s="2">
        <f t="shared" si="190"/>
        <v>2670.4285720857201</v>
      </c>
      <c r="BO146" s="2">
        <f t="shared" si="190"/>
        <v>2710.42443279808</v>
      </c>
      <c r="BP146" s="2">
        <f t="shared" si="190"/>
        <v>2749.3056427123502</v>
      </c>
      <c r="BQ146" s="2">
        <f t="shared" si="190"/>
        <v>2786.71868428066</v>
      </c>
      <c r="BR146" s="2">
        <f t="shared" si="190"/>
        <v>2822.4715172262299</v>
      </c>
      <c r="BS146" s="2">
        <f t="shared" ref="BS146:CD149" si="192">CA371</f>
        <v>2856.49108452459</v>
      </c>
      <c r="BT146" s="2">
        <f t="shared" si="192"/>
        <v>2888.8092566897699</v>
      </c>
      <c r="BU146" s="2">
        <f t="shared" si="192"/>
        <v>2920.2742797103701</v>
      </c>
      <c r="BV146" s="2">
        <f t="shared" si="192"/>
        <v>2951.4124256640598</v>
      </c>
      <c r="BW146" s="2">
        <f t="shared" si="192"/>
        <v>2982.5943731447301</v>
      </c>
      <c r="BX146" s="2">
        <f t="shared" si="192"/>
        <v>3014.0876710316102</v>
      </c>
      <c r="BY146" s="2">
        <f t="shared" si="192"/>
        <v>3046.1562725562198</v>
      </c>
      <c r="BZ146" s="2">
        <f t="shared" si="192"/>
        <v>3078.9762010190798</v>
      </c>
      <c r="CA146" s="2">
        <f t="shared" si="192"/>
        <v>3112.5418995100699</v>
      </c>
      <c r="CB146" s="2">
        <f t="shared" si="192"/>
        <v>3147.0588102657098</v>
      </c>
      <c r="CC146" s="2">
        <f t="shared" si="192"/>
        <v>3182.6671635477001</v>
      </c>
      <c r="CD146" s="2">
        <f t="shared" si="192"/>
        <v>3219.4777706817299</v>
      </c>
    </row>
    <row r="147" spans="2:82" s="2" customFormat="1" x14ac:dyDescent="0.2">
      <c r="D147" s="2" t="s">
        <v>81</v>
      </c>
      <c r="F147" s="2" t="s">
        <v>6</v>
      </c>
      <c r="G147" s="2">
        <f t="shared" si="189"/>
        <v>1</v>
      </c>
      <c r="H147" s="2">
        <f t="shared" ref="H147:BS150" si="193">P372</f>
        <v>0</v>
      </c>
      <c r="I147" s="2" t="str">
        <f t="shared" si="193"/>
        <v>emission_co2e_ch4_lvst_entferm_goats</v>
      </c>
      <c r="J147" s="2">
        <f t="shared" si="193"/>
        <v>0</v>
      </c>
      <c r="K147" s="2">
        <f t="shared" si="193"/>
        <v>1056.7125000000001</v>
      </c>
      <c r="L147" s="2">
        <f t="shared" si="193"/>
        <v>1056.7125000000001</v>
      </c>
      <c r="M147" s="2">
        <f t="shared" si="193"/>
        <v>1163.5137</v>
      </c>
      <c r="N147" s="2">
        <f t="shared" si="193"/>
        <v>1216.9142999999999</v>
      </c>
      <c r="O147" s="2">
        <f t="shared" si="193"/>
        <v>1270.3149000000001</v>
      </c>
      <c r="P147" s="2">
        <f t="shared" si="193"/>
        <v>1323.7155</v>
      </c>
      <c r="Q147" s="2">
        <f t="shared" si="193"/>
        <v>1377.1161</v>
      </c>
      <c r="R147" s="2">
        <f t="shared" si="193"/>
        <v>1430.5445999999999</v>
      </c>
      <c r="S147" s="2">
        <f t="shared" si="193"/>
        <v>1483.9452000000001</v>
      </c>
      <c r="T147" s="2">
        <f t="shared" si="193"/>
        <v>1537.3458000000001</v>
      </c>
      <c r="U147" s="2">
        <f t="shared" si="193"/>
        <v>1590.7464</v>
      </c>
      <c r="V147" s="2">
        <f t="shared" si="193"/>
        <v>1644.1469999999999</v>
      </c>
      <c r="W147" s="2">
        <f t="shared" si="193"/>
        <v>1697.5476000000001</v>
      </c>
      <c r="X147" s="2">
        <f t="shared" si="193"/>
        <v>1750.9482</v>
      </c>
      <c r="Y147" s="2">
        <f t="shared" si="193"/>
        <v>1806.7203</v>
      </c>
      <c r="Z147" s="2">
        <f t="shared" si="193"/>
        <v>1862.4924000000001</v>
      </c>
      <c r="AA147" s="2">
        <f t="shared" si="193"/>
        <v>1918.2645</v>
      </c>
      <c r="AB147" s="2">
        <f t="shared" si="193"/>
        <v>1974.0645</v>
      </c>
      <c r="AC147" s="2">
        <f t="shared" si="193"/>
        <v>2029.8366000000001</v>
      </c>
      <c r="AD147" s="2">
        <f t="shared" si="193"/>
        <v>2085.6087000000002</v>
      </c>
      <c r="AE147" s="2">
        <f t="shared" si="193"/>
        <v>2141.3807999999999</v>
      </c>
      <c r="AF147" s="2">
        <f t="shared" si="193"/>
        <v>2197.1529</v>
      </c>
      <c r="AG147" s="2">
        <f t="shared" si="193"/>
        <v>2252.9529000000002</v>
      </c>
      <c r="AH147" s="2">
        <f t="shared" si="193"/>
        <v>2252.9529000000002</v>
      </c>
      <c r="AI147" s="2">
        <f t="shared" si="193"/>
        <v>2364.4971</v>
      </c>
      <c r="AJ147" s="2">
        <f t="shared" si="193"/>
        <v>2929.35214617359</v>
      </c>
      <c r="AK147" s="2">
        <f t="shared" si="193"/>
        <v>2982.9318737162898</v>
      </c>
      <c r="AL147" s="2">
        <f t="shared" si="193"/>
        <v>3013.9142627476299</v>
      </c>
      <c r="AM147" s="2">
        <f t="shared" si="193"/>
        <v>3047.0849303032601</v>
      </c>
      <c r="AN147" s="2">
        <f t="shared" si="193"/>
        <v>3165.5106938147501</v>
      </c>
      <c r="AO147" s="2">
        <f t="shared" si="193"/>
        <v>3295.3044245201199</v>
      </c>
      <c r="AP147" s="2">
        <f t="shared" si="193"/>
        <v>3455.3194110065401</v>
      </c>
      <c r="AQ147" s="2">
        <f t="shared" si="193"/>
        <v>3647.0875626480401</v>
      </c>
      <c r="AR147" s="2">
        <f t="shared" si="193"/>
        <v>3868.1842688009001</v>
      </c>
      <c r="AS147" s="2">
        <f t="shared" si="193"/>
        <v>4123.0784292851804</v>
      </c>
      <c r="AT147" s="2">
        <f t="shared" si="193"/>
        <v>4406.7887644784814</v>
      </c>
      <c r="AU147" s="2">
        <f t="shared" si="193"/>
        <v>4710.3183099916396</v>
      </c>
      <c r="AV147" s="2">
        <f t="shared" si="193"/>
        <v>5031.7842539193598</v>
      </c>
      <c r="AW147" s="2">
        <f t="shared" si="193"/>
        <v>5365.0143400460302</v>
      </c>
      <c r="AX147" s="2">
        <f t="shared" si="193"/>
        <v>5703.9325774522385</v>
      </c>
      <c r="AY147" s="2">
        <f t="shared" si="193"/>
        <v>6043.1284969267799</v>
      </c>
      <c r="AZ147" s="2">
        <f t="shared" si="193"/>
        <v>6378.3244217337397</v>
      </c>
      <c r="BA147" s="2">
        <f t="shared" si="193"/>
        <v>6706.6855105104996</v>
      </c>
      <c r="BB147" s="2">
        <f t="shared" si="193"/>
        <v>7026.9130806703006</v>
      </c>
      <c r="BC147" s="2">
        <f t="shared" si="193"/>
        <v>7339.1396808637401</v>
      </c>
      <c r="BD147" s="2">
        <f t="shared" si="193"/>
        <v>7641.5853020230898</v>
      </c>
      <c r="BE147" s="2">
        <f t="shared" si="193"/>
        <v>7934.6513491864698</v>
      </c>
      <c r="BF147" s="2">
        <f t="shared" si="193"/>
        <v>8218.8551053122483</v>
      </c>
      <c r="BG147" s="2">
        <f t="shared" si="193"/>
        <v>8494.6058204881811</v>
      </c>
      <c r="BH147" s="2">
        <f t="shared" si="193"/>
        <v>8745.2368502660393</v>
      </c>
      <c r="BI147" s="2">
        <f t="shared" si="193"/>
        <v>8929.4778402496413</v>
      </c>
      <c r="BJ147" s="2">
        <f t="shared" si="193"/>
        <v>9037.1732102862297</v>
      </c>
      <c r="BK147" s="2">
        <f t="shared" si="193"/>
        <v>9163.0507902916797</v>
      </c>
      <c r="BL147" s="2">
        <f t="shared" si="193"/>
        <v>9300.7307571129113</v>
      </c>
      <c r="BM147" s="2">
        <f t="shared" si="193"/>
        <v>9444.5154800354285</v>
      </c>
      <c r="BN147" s="2">
        <f t="shared" si="193"/>
        <v>9589.9174272464006</v>
      </c>
      <c r="BO147" s="2">
        <f t="shared" si="193"/>
        <v>9733.5120711545205</v>
      </c>
      <c r="BP147" s="2">
        <f t="shared" si="193"/>
        <v>9873.1054128868091</v>
      </c>
      <c r="BQ147" s="2">
        <f t="shared" si="193"/>
        <v>10007.4276984769</v>
      </c>
      <c r="BR147" s="2">
        <f t="shared" si="193"/>
        <v>10135.7906882605</v>
      </c>
      <c r="BS147" s="2">
        <f t="shared" si="193"/>
        <v>10257.931573075801</v>
      </c>
      <c r="BT147" s="2">
        <f t="shared" si="192"/>
        <v>10373.964923334601</v>
      </c>
      <c r="BU147" s="2">
        <f t="shared" si="192"/>
        <v>10486.933964530001</v>
      </c>
      <c r="BV147" s="2">
        <f t="shared" si="192"/>
        <v>10598.730007370799</v>
      </c>
      <c r="BW147" s="2">
        <f t="shared" si="192"/>
        <v>10710.6832780806</v>
      </c>
      <c r="BX147" s="2">
        <f t="shared" si="192"/>
        <v>10823.7543049209</v>
      </c>
      <c r="BY147" s="2">
        <f t="shared" si="192"/>
        <v>10938.891358262401</v>
      </c>
      <c r="BZ147" s="2">
        <f t="shared" si="192"/>
        <v>11056.726291475399</v>
      </c>
      <c r="CA147" s="2">
        <f t="shared" si="192"/>
        <v>11177.240145690201</v>
      </c>
      <c r="CB147" s="2">
        <f t="shared" si="192"/>
        <v>11301.169374938399</v>
      </c>
      <c r="CC147" s="2">
        <f t="shared" si="192"/>
        <v>11429.018350534299</v>
      </c>
      <c r="CD147" s="2">
        <f t="shared" si="192"/>
        <v>11561.1842281142</v>
      </c>
    </row>
    <row r="148" spans="2:82" s="2" customFormat="1" x14ac:dyDescent="0.2">
      <c r="D148" s="2" t="s">
        <v>82</v>
      </c>
      <c r="F148" s="2" t="s">
        <v>6</v>
      </c>
      <c r="G148" s="2">
        <f t="shared" si="189"/>
        <v>1</v>
      </c>
      <c r="H148" s="2">
        <f t="shared" si="193"/>
        <v>0</v>
      </c>
      <c r="I148" s="2" t="str">
        <f t="shared" si="193"/>
        <v>emission_co2e_ch4_lvst_entferm_horses</v>
      </c>
      <c r="J148" s="2">
        <f t="shared" si="193"/>
        <v>0</v>
      </c>
      <c r="K148" s="2">
        <f t="shared" si="193"/>
        <v>42.184800000000003</v>
      </c>
      <c r="L148" s="2">
        <f t="shared" si="193"/>
        <v>42.184800000000003</v>
      </c>
      <c r="M148" s="2">
        <f t="shared" si="193"/>
        <v>42.184800000000003</v>
      </c>
      <c r="N148" s="2">
        <f t="shared" si="193"/>
        <v>42.184800000000003</v>
      </c>
      <c r="O148" s="2">
        <f t="shared" si="193"/>
        <v>42.184800000000003</v>
      </c>
      <c r="P148" s="2">
        <f t="shared" si="193"/>
        <v>42.184800000000003</v>
      </c>
      <c r="Q148" s="2">
        <f t="shared" si="193"/>
        <v>42.184800000000003</v>
      </c>
      <c r="R148" s="2">
        <f t="shared" si="193"/>
        <v>42.184800000000003</v>
      </c>
      <c r="S148" s="2">
        <f t="shared" si="193"/>
        <v>42.184800000000003</v>
      </c>
      <c r="T148" s="2">
        <f t="shared" si="193"/>
        <v>42.184800000000003</v>
      </c>
      <c r="U148" s="2">
        <f t="shared" si="193"/>
        <v>42.184800000000003</v>
      </c>
      <c r="V148" s="2">
        <f t="shared" si="193"/>
        <v>42.184800000000003</v>
      </c>
      <c r="W148" s="2">
        <f t="shared" si="193"/>
        <v>42.184800000000003</v>
      </c>
      <c r="X148" s="2">
        <f t="shared" si="193"/>
        <v>42.993899999999996</v>
      </c>
      <c r="Y148" s="2">
        <f t="shared" si="193"/>
        <v>41.5152</v>
      </c>
      <c r="Z148" s="2">
        <f t="shared" si="193"/>
        <v>39.980699999999999</v>
      </c>
      <c r="AA148" s="2">
        <f t="shared" si="193"/>
        <v>38.446199999999997</v>
      </c>
      <c r="AB148" s="2">
        <f t="shared" si="193"/>
        <v>36.883800000000001</v>
      </c>
      <c r="AC148" s="2">
        <f t="shared" si="193"/>
        <v>35.377200000000002</v>
      </c>
      <c r="AD148" s="2">
        <f t="shared" si="193"/>
        <v>33.842700000000001</v>
      </c>
      <c r="AE148" s="2">
        <f t="shared" si="193"/>
        <v>32.280299999999997</v>
      </c>
      <c r="AF148" s="2">
        <f t="shared" si="193"/>
        <v>30.745799999999999</v>
      </c>
      <c r="AG148" s="2">
        <f t="shared" si="193"/>
        <v>29.211300000000001</v>
      </c>
      <c r="AH148" s="2">
        <f t="shared" si="193"/>
        <v>29.211300000000001</v>
      </c>
      <c r="AI148" s="2">
        <f t="shared" si="193"/>
        <v>26.142299999999999</v>
      </c>
      <c r="AJ148" s="2">
        <f t="shared" si="193"/>
        <v>0</v>
      </c>
      <c r="AK148" s="2">
        <f t="shared" si="193"/>
        <v>0</v>
      </c>
      <c r="AL148" s="2">
        <f t="shared" si="193"/>
        <v>0</v>
      </c>
      <c r="AM148" s="2">
        <f t="shared" si="193"/>
        <v>0</v>
      </c>
      <c r="AN148" s="2">
        <f t="shared" si="193"/>
        <v>0</v>
      </c>
      <c r="AO148" s="2">
        <f t="shared" si="193"/>
        <v>0</v>
      </c>
      <c r="AP148" s="2">
        <f t="shared" si="193"/>
        <v>0</v>
      </c>
      <c r="AQ148" s="2">
        <f t="shared" si="193"/>
        <v>0</v>
      </c>
      <c r="AR148" s="2">
        <f t="shared" si="193"/>
        <v>0</v>
      </c>
      <c r="AS148" s="2">
        <f t="shared" si="193"/>
        <v>0</v>
      </c>
      <c r="AT148" s="2">
        <f t="shared" si="193"/>
        <v>0</v>
      </c>
      <c r="AU148" s="2">
        <f t="shared" si="193"/>
        <v>0</v>
      </c>
      <c r="AV148" s="2">
        <f t="shared" si="193"/>
        <v>0</v>
      </c>
      <c r="AW148" s="2">
        <f t="shared" si="193"/>
        <v>0</v>
      </c>
      <c r="AX148" s="2">
        <f t="shared" si="193"/>
        <v>0</v>
      </c>
      <c r="AY148" s="2">
        <f t="shared" si="193"/>
        <v>0</v>
      </c>
      <c r="AZ148" s="2">
        <f t="shared" si="193"/>
        <v>0</v>
      </c>
      <c r="BA148" s="2">
        <f t="shared" si="193"/>
        <v>0</v>
      </c>
      <c r="BB148" s="2">
        <f t="shared" si="193"/>
        <v>0</v>
      </c>
      <c r="BC148" s="2">
        <f t="shared" si="193"/>
        <v>0</v>
      </c>
      <c r="BD148" s="2">
        <f t="shared" si="193"/>
        <v>0</v>
      </c>
      <c r="BE148" s="2">
        <f t="shared" si="193"/>
        <v>0</v>
      </c>
      <c r="BF148" s="2">
        <f t="shared" si="193"/>
        <v>0</v>
      </c>
      <c r="BG148" s="2">
        <f t="shared" si="193"/>
        <v>0</v>
      </c>
      <c r="BH148" s="2">
        <f t="shared" si="193"/>
        <v>0</v>
      </c>
      <c r="BI148" s="2">
        <f t="shared" si="193"/>
        <v>0</v>
      </c>
      <c r="BJ148" s="2">
        <f t="shared" si="193"/>
        <v>0</v>
      </c>
      <c r="BK148" s="2">
        <f t="shared" si="193"/>
        <v>0</v>
      </c>
      <c r="BL148" s="2">
        <f t="shared" si="193"/>
        <v>0</v>
      </c>
      <c r="BM148" s="2">
        <f t="shared" si="193"/>
        <v>0</v>
      </c>
      <c r="BN148" s="2">
        <f t="shared" si="193"/>
        <v>0</v>
      </c>
      <c r="BO148" s="2">
        <f t="shared" si="193"/>
        <v>0</v>
      </c>
      <c r="BP148" s="2">
        <f t="shared" si="193"/>
        <v>0</v>
      </c>
      <c r="BQ148" s="2">
        <f t="shared" si="193"/>
        <v>0</v>
      </c>
      <c r="BR148" s="2">
        <f t="shared" si="193"/>
        <v>0</v>
      </c>
      <c r="BS148" s="2">
        <f t="shared" si="193"/>
        <v>0</v>
      </c>
      <c r="BT148" s="2">
        <f t="shared" si="192"/>
        <v>0</v>
      </c>
      <c r="BU148" s="2">
        <f t="shared" si="192"/>
        <v>0</v>
      </c>
      <c r="BV148" s="2">
        <f t="shared" si="192"/>
        <v>0</v>
      </c>
      <c r="BW148" s="2">
        <f t="shared" si="192"/>
        <v>0</v>
      </c>
      <c r="BX148" s="2">
        <f t="shared" si="192"/>
        <v>0</v>
      </c>
      <c r="BY148" s="2">
        <f t="shared" si="192"/>
        <v>0</v>
      </c>
      <c r="BZ148" s="2">
        <f t="shared" si="192"/>
        <v>0</v>
      </c>
      <c r="CA148" s="2">
        <f t="shared" si="192"/>
        <v>0</v>
      </c>
      <c r="CB148" s="2">
        <f t="shared" si="192"/>
        <v>0</v>
      </c>
      <c r="CC148" s="2">
        <f t="shared" si="192"/>
        <v>0</v>
      </c>
      <c r="CD148" s="2">
        <f t="shared" si="192"/>
        <v>0</v>
      </c>
    </row>
    <row r="149" spans="2:82" s="2" customFormat="1" x14ac:dyDescent="0.2">
      <c r="D149" s="2" t="s">
        <v>83</v>
      </c>
      <c r="F149" s="2" t="s">
        <v>6</v>
      </c>
      <c r="G149" s="2">
        <f t="shared" si="189"/>
        <v>1</v>
      </c>
      <c r="H149" s="2">
        <f t="shared" si="193"/>
        <v>0</v>
      </c>
      <c r="I149" s="2" t="str">
        <f t="shared" si="193"/>
        <v>emission_co2e_ch4_lvst_entferm_mules</v>
      </c>
      <c r="J149" s="2">
        <f t="shared" si="193"/>
        <v>0</v>
      </c>
      <c r="K149" s="2">
        <f t="shared" si="193"/>
        <v>0</v>
      </c>
      <c r="L149" s="2">
        <f t="shared" si="193"/>
        <v>0</v>
      </c>
      <c r="M149" s="2">
        <f t="shared" si="193"/>
        <v>0</v>
      </c>
      <c r="N149" s="2">
        <f t="shared" si="193"/>
        <v>0</v>
      </c>
      <c r="O149" s="2">
        <f t="shared" si="193"/>
        <v>0</v>
      </c>
      <c r="P149" s="2">
        <f t="shared" si="193"/>
        <v>0</v>
      </c>
      <c r="Q149" s="2">
        <f t="shared" si="193"/>
        <v>0</v>
      </c>
      <c r="R149" s="2">
        <f t="shared" si="193"/>
        <v>0</v>
      </c>
      <c r="S149" s="2">
        <f t="shared" si="193"/>
        <v>0</v>
      </c>
      <c r="T149" s="2">
        <f t="shared" si="193"/>
        <v>0</v>
      </c>
      <c r="U149" s="2">
        <f t="shared" si="193"/>
        <v>0</v>
      </c>
      <c r="V149" s="2">
        <f t="shared" si="193"/>
        <v>0</v>
      </c>
      <c r="W149" s="2">
        <f t="shared" si="193"/>
        <v>0</v>
      </c>
      <c r="X149" s="2">
        <f t="shared" si="193"/>
        <v>0</v>
      </c>
      <c r="Y149" s="2">
        <f t="shared" si="193"/>
        <v>0</v>
      </c>
      <c r="Z149" s="2">
        <f t="shared" si="193"/>
        <v>0</v>
      </c>
      <c r="AA149" s="2">
        <f t="shared" si="193"/>
        <v>0</v>
      </c>
      <c r="AB149" s="2">
        <f t="shared" si="193"/>
        <v>0</v>
      </c>
      <c r="AC149" s="2">
        <f t="shared" si="193"/>
        <v>0</v>
      </c>
      <c r="AD149" s="2">
        <f t="shared" si="193"/>
        <v>0</v>
      </c>
      <c r="AE149" s="2">
        <f t="shared" si="193"/>
        <v>0</v>
      </c>
      <c r="AF149" s="2">
        <f t="shared" si="193"/>
        <v>0</v>
      </c>
      <c r="AG149" s="2">
        <f t="shared" si="193"/>
        <v>0</v>
      </c>
      <c r="AH149" s="2">
        <f t="shared" si="193"/>
        <v>0</v>
      </c>
      <c r="AI149" s="2">
        <f t="shared" si="193"/>
        <v>0</v>
      </c>
      <c r="AJ149" s="2">
        <f t="shared" si="193"/>
        <v>0</v>
      </c>
      <c r="AK149" s="2">
        <f t="shared" si="193"/>
        <v>0</v>
      </c>
      <c r="AL149" s="2">
        <f t="shared" si="193"/>
        <v>0</v>
      </c>
      <c r="AM149" s="2">
        <f t="shared" si="193"/>
        <v>0</v>
      </c>
      <c r="AN149" s="2">
        <f t="shared" si="193"/>
        <v>0</v>
      </c>
      <c r="AO149" s="2">
        <f t="shared" si="193"/>
        <v>0</v>
      </c>
      <c r="AP149" s="2">
        <f t="shared" si="193"/>
        <v>0</v>
      </c>
      <c r="AQ149" s="2">
        <f t="shared" si="193"/>
        <v>0</v>
      </c>
      <c r="AR149" s="2">
        <f t="shared" si="193"/>
        <v>0</v>
      </c>
      <c r="AS149" s="2">
        <f t="shared" si="193"/>
        <v>0</v>
      </c>
      <c r="AT149" s="2">
        <f t="shared" si="193"/>
        <v>0</v>
      </c>
      <c r="AU149" s="2">
        <f t="shared" si="193"/>
        <v>0</v>
      </c>
      <c r="AV149" s="2">
        <f t="shared" si="193"/>
        <v>0</v>
      </c>
      <c r="AW149" s="2">
        <f t="shared" si="193"/>
        <v>0</v>
      </c>
      <c r="AX149" s="2">
        <f t="shared" si="193"/>
        <v>0</v>
      </c>
      <c r="AY149" s="2">
        <f t="shared" si="193"/>
        <v>0</v>
      </c>
      <c r="AZ149" s="2">
        <f t="shared" si="193"/>
        <v>0</v>
      </c>
      <c r="BA149" s="2">
        <f t="shared" si="193"/>
        <v>0</v>
      </c>
      <c r="BB149" s="2">
        <f t="shared" si="193"/>
        <v>0</v>
      </c>
      <c r="BC149" s="2">
        <f t="shared" si="193"/>
        <v>0</v>
      </c>
      <c r="BD149" s="2">
        <f t="shared" si="193"/>
        <v>0</v>
      </c>
      <c r="BE149" s="2">
        <f t="shared" si="193"/>
        <v>0</v>
      </c>
      <c r="BF149" s="2">
        <f t="shared" si="193"/>
        <v>0</v>
      </c>
      <c r="BG149" s="2">
        <f t="shared" si="193"/>
        <v>0</v>
      </c>
      <c r="BH149" s="2">
        <f t="shared" si="193"/>
        <v>0</v>
      </c>
      <c r="BI149" s="2">
        <f t="shared" si="193"/>
        <v>0</v>
      </c>
      <c r="BJ149" s="2">
        <f t="shared" si="193"/>
        <v>0</v>
      </c>
      <c r="BK149" s="2">
        <f t="shared" si="193"/>
        <v>0</v>
      </c>
      <c r="BL149" s="2">
        <f t="shared" si="193"/>
        <v>0</v>
      </c>
      <c r="BM149" s="2">
        <f t="shared" si="193"/>
        <v>0</v>
      </c>
      <c r="BN149" s="2">
        <f t="shared" si="193"/>
        <v>0</v>
      </c>
      <c r="BO149" s="2">
        <f t="shared" si="193"/>
        <v>0</v>
      </c>
      <c r="BP149" s="2">
        <f t="shared" si="193"/>
        <v>0</v>
      </c>
      <c r="BQ149" s="2">
        <f t="shared" si="193"/>
        <v>0</v>
      </c>
      <c r="BR149" s="2">
        <f t="shared" si="193"/>
        <v>0</v>
      </c>
      <c r="BS149" s="2">
        <f t="shared" si="193"/>
        <v>0</v>
      </c>
      <c r="BT149" s="2">
        <f t="shared" si="192"/>
        <v>0</v>
      </c>
      <c r="BU149" s="2">
        <f t="shared" si="192"/>
        <v>0</v>
      </c>
      <c r="BV149" s="2">
        <f t="shared" si="192"/>
        <v>0</v>
      </c>
      <c r="BW149" s="2">
        <f t="shared" si="192"/>
        <v>0</v>
      </c>
      <c r="BX149" s="2">
        <f t="shared" si="192"/>
        <v>0</v>
      </c>
      <c r="BY149" s="2">
        <f t="shared" si="192"/>
        <v>0</v>
      </c>
      <c r="BZ149" s="2">
        <f t="shared" si="192"/>
        <v>0</v>
      </c>
      <c r="CA149" s="2">
        <f t="shared" si="192"/>
        <v>0</v>
      </c>
      <c r="CB149" s="2">
        <f t="shared" si="192"/>
        <v>0</v>
      </c>
      <c r="CC149" s="2">
        <f t="shared" si="192"/>
        <v>0</v>
      </c>
      <c r="CD149" s="2">
        <f t="shared" si="192"/>
        <v>0</v>
      </c>
    </row>
    <row r="150" spans="2:82" s="2" customFormat="1" x14ac:dyDescent="0.2">
      <c r="D150" s="2" t="s">
        <v>84</v>
      </c>
      <c r="F150" s="2" t="s">
        <v>6</v>
      </c>
      <c r="G150" s="2">
        <f t="shared" si="189"/>
        <v>1</v>
      </c>
      <c r="H150" s="2">
        <f t="shared" si="193"/>
        <v>0</v>
      </c>
      <c r="I150" s="2" t="str">
        <f t="shared" si="193"/>
        <v>emission_co2e_ch4_lvst_entferm_pigs</v>
      </c>
      <c r="J150" s="2">
        <f t="shared" si="193"/>
        <v>0</v>
      </c>
      <c r="K150" s="2">
        <f t="shared" si="193"/>
        <v>33.145200000000003</v>
      </c>
      <c r="L150" s="2">
        <f t="shared" si="193"/>
        <v>33.145200000000003</v>
      </c>
      <c r="M150" s="2">
        <f t="shared" si="193"/>
        <v>31.415399999999991</v>
      </c>
      <c r="N150" s="2">
        <f t="shared" si="193"/>
        <v>30.5505</v>
      </c>
      <c r="O150" s="2">
        <f t="shared" si="193"/>
        <v>29.685600000000001</v>
      </c>
      <c r="P150" s="2">
        <f t="shared" si="193"/>
        <v>28.820699999999999</v>
      </c>
      <c r="Q150" s="2">
        <f t="shared" si="193"/>
        <v>28.011600000000001</v>
      </c>
      <c r="R150" s="2">
        <f t="shared" si="193"/>
        <v>28.1511</v>
      </c>
      <c r="S150" s="2">
        <f t="shared" si="193"/>
        <v>30.0762</v>
      </c>
      <c r="T150" s="2">
        <f t="shared" si="193"/>
        <v>32.894100000000002</v>
      </c>
      <c r="U150" s="2">
        <f t="shared" si="193"/>
        <v>36.855899999999998</v>
      </c>
      <c r="V150" s="2">
        <f t="shared" si="193"/>
        <v>42.212699999999998</v>
      </c>
      <c r="W150" s="2">
        <f t="shared" si="193"/>
        <v>48.1554</v>
      </c>
      <c r="X150" s="2">
        <f t="shared" si="193"/>
        <v>54.767699999999998</v>
      </c>
      <c r="Y150" s="2">
        <f t="shared" si="193"/>
        <v>61.38</v>
      </c>
      <c r="Z150" s="2">
        <f t="shared" si="193"/>
        <v>68.020200000000003</v>
      </c>
      <c r="AA150" s="2">
        <f t="shared" si="193"/>
        <v>74.632499999999993</v>
      </c>
      <c r="AB150" s="2">
        <f t="shared" si="193"/>
        <v>81.272699999999986</v>
      </c>
      <c r="AC150" s="2">
        <f t="shared" si="193"/>
        <v>87.884999999999991</v>
      </c>
      <c r="AD150" s="2">
        <f t="shared" si="193"/>
        <v>94.497299999999996</v>
      </c>
      <c r="AE150" s="2">
        <f t="shared" si="193"/>
        <v>101.1375</v>
      </c>
      <c r="AF150" s="2">
        <f t="shared" si="193"/>
        <v>107.74979999999999</v>
      </c>
      <c r="AG150" s="2">
        <f t="shared" si="193"/>
        <v>114.39</v>
      </c>
      <c r="AH150" s="2">
        <f t="shared" si="193"/>
        <v>114.39</v>
      </c>
      <c r="AI150" s="2">
        <f t="shared" si="193"/>
        <v>127.6146</v>
      </c>
      <c r="AJ150" s="2">
        <f t="shared" si="193"/>
        <v>193.17436510908101</v>
      </c>
      <c r="AK150" s="2">
        <f t="shared" si="193"/>
        <v>182.94252920628099</v>
      </c>
      <c r="AL150" s="2">
        <f t="shared" si="193"/>
        <v>189.74953982616199</v>
      </c>
      <c r="AM150" s="2">
        <f t="shared" si="193"/>
        <v>197.52889297824001</v>
      </c>
      <c r="AN150" s="2">
        <f t="shared" si="193"/>
        <v>206.37611264822499</v>
      </c>
      <c r="AO150" s="2">
        <f t="shared" si="193"/>
        <v>216.13523177848501</v>
      </c>
      <c r="AP150" s="2">
        <f t="shared" si="193"/>
        <v>227.135579013914</v>
      </c>
      <c r="AQ150" s="2">
        <f t="shared" si="193"/>
        <v>240.59296193063901</v>
      </c>
      <c r="AR150" s="2">
        <f t="shared" si="193"/>
        <v>255.74003661413099</v>
      </c>
      <c r="AS150" s="2">
        <f t="shared" si="193"/>
        <v>272.48282590765501</v>
      </c>
      <c r="AT150" s="2">
        <f t="shared" si="193"/>
        <v>289.98519578537201</v>
      </c>
      <c r="AU150" s="2">
        <f t="shared" si="193"/>
        <v>305.94750771078498</v>
      </c>
      <c r="AV150" s="2">
        <f t="shared" si="193"/>
        <v>322.66592715155502</v>
      </c>
      <c r="AW150" s="2">
        <f t="shared" si="193"/>
        <v>340.16858888379801</v>
      </c>
      <c r="AX150" s="2">
        <f t="shared" si="193"/>
        <v>358.48429894903001</v>
      </c>
      <c r="AY150" s="2">
        <f t="shared" si="193"/>
        <v>377.646066093922</v>
      </c>
      <c r="AZ150" s="2">
        <f t="shared" si="193"/>
        <v>397.68435993077702</v>
      </c>
      <c r="BA150" s="2">
        <f t="shared" si="193"/>
        <v>418.63037970821199</v>
      </c>
      <c r="BB150" s="2">
        <f t="shared" si="193"/>
        <v>440.51587919844201</v>
      </c>
      <c r="BC150" s="2">
        <f t="shared" si="193"/>
        <v>463.37313751182103</v>
      </c>
      <c r="BD150" s="2">
        <f t="shared" si="193"/>
        <v>486.01669994271901</v>
      </c>
      <c r="BE150" s="2">
        <f t="shared" si="193"/>
        <v>508.29850869110402</v>
      </c>
      <c r="BF150" s="2">
        <f t="shared" si="193"/>
        <v>529.57131797907698</v>
      </c>
      <c r="BG150" s="2">
        <f t="shared" si="193"/>
        <v>550.14493138387297</v>
      </c>
      <c r="BH150" s="2">
        <f t="shared" si="193"/>
        <v>569.85197033597501</v>
      </c>
      <c r="BI150" s="2">
        <f t="shared" si="193"/>
        <v>588.51942347354804</v>
      </c>
      <c r="BJ150" s="2">
        <f t="shared" si="193"/>
        <v>606.01318364280803</v>
      </c>
      <c r="BK150" s="2">
        <f t="shared" si="193"/>
        <v>623.38022057774106</v>
      </c>
      <c r="BL150" s="2">
        <f t="shared" si="193"/>
        <v>640.571269234694</v>
      </c>
      <c r="BM150" s="2">
        <f t="shared" si="193"/>
        <v>657.51377457900094</v>
      </c>
      <c r="BN150" s="2">
        <f t="shared" si="193"/>
        <v>674.16451295565309</v>
      </c>
      <c r="BO150" s="2">
        <f t="shared" si="193"/>
        <v>690.49675049025007</v>
      </c>
      <c r="BP150" s="2">
        <f t="shared" si="193"/>
        <v>706.47908363600993</v>
      </c>
      <c r="BQ150" s="2">
        <f t="shared" si="193"/>
        <v>722.07587695555094</v>
      </c>
      <c r="BR150" s="2">
        <f t="shared" si="193"/>
        <v>737.22163829368503</v>
      </c>
      <c r="BS150" s="2">
        <f t="shared" ref="BS150:CD151" si="194">CA375</f>
        <v>751.85820104377399</v>
      </c>
      <c r="BT150" s="2">
        <f t="shared" si="194"/>
        <v>765.95095125927401</v>
      </c>
      <c r="BU150" s="2">
        <f t="shared" si="194"/>
        <v>780.20229522312002</v>
      </c>
      <c r="BV150" s="2">
        <f t="shared" si="194"/>
        <v>794.61377976429299</v>
      </c>
      <c r="BW150" s="2">
        <f t="shared" si="194"/>
        <v>809.16818546587297</v>
      </c>
      <c r="BX150" s="2">
        <f t="shared" si="194"/>
        <v>823.84414857670401</v>
      </c>
      <c r="BY150" s="2">
        <f t="shared" si="194"/>
        <v>838.68165316657689</v>
      </c>
      <c r="BZ150" s="2">
        <f t="shared" si="194"/>
        <v>853.69158540923399</v>
      </c>
      <c r="CA150" s="2">
        <f t="shared" si="194"/>
        <v>868.82911644979004</v>
      </c>
      <c r="CB150" s="2">
        <f t="shared" si="194"/>
        <v>884.10936435258805</v>
      </c>
      <c r="CC150" s="2">
        <f t="shared" si="194"/>
        <v>899.523135700122</v>
      </c>
      <c r="CD150" s="2">
        <f t="shared" si="194"/>
        <v>915.07329066672503</v>
      </c>
    </row>
    <row r="151" spans="2:82" s="2" customFormat="1" x14ac:dyDescent="0.2">
      <c r="D151" s="2" t="s">
        <v>85</v>
      </c>
      <c r="F151" s="2" t="s">
        <v>6</v>
      </c>
      <c r="G151" s="2">
        <f t="shared" si="189"/>
        <v>1</v>
      </c>
      <c r="H151" s="2">
        <f t="shared" ref="H151:AM151" si="195">P376</f>
        <v>0</v>
      </c>
      <c r="I151" s="2" t="str">
        <f t="shared" si="195"/>
        <v>emission_co2e_ch4_lvst_entferm_chickens</v>
      </c>
      <c r="J151" s="2">
        <f t="shared" si="195"/>
        <v>0</v>
      </c>
      <c r="K151" s="2">
        <f t="shared" si="195"/>
        <v>0</v>
      </c>
      <c r="L151" s="2">
        <f t="shared" si="195"/>
        <v>0</v>
      </c>
      <c r="M151" s="2">
        <f t="shared" si="195"/>
        <v>0</v>
      </c>
      <c r="N151" s="2">
        <f t="shared" si="195"/>
        <v>0</v>
      </c>
      <c r="O151" s="2">
        <f t="shared" si="195"/>
        <v>0</v>
      </c>
      <c r="P151" s="2">
        <f t="shared" si="195"/>
        <v>0</v>
      </c>
      <c r="Q151" s="2">
        <f t="shared" si="195"/>
        <v>0</v>
      </c>
      <c r="R151" s="2">
        <f t="shared" si="195"/>
        <v>0</v>
      </c>
      <c r="S151" s="2">
        <f t="shared" si="195"/>
        <v>0</v>
      </c>
      <c r="T151" s="2">
        <f t="shared" si="195"/>
        <v>0</v>
      </c>
      <c r="U151" s="2">
        <f t="shared" si="195"/>
        <v>0</v>
      </c>
      <c r="V151" s="2">
        <f t="shared" si="195"/>
        <v>0</v>
      </c>
      <c r="W151" s="2">
        <f t="shared" si="195"/>
        <v>0</v>
      </c>
      <c r="X151" s="2">
        <f t="shared" si="195"/>
        <v>0</v>
      </c>
      <c r="Y151" s="2">
        <f t="shared" si="195"/>
        <v>0</v>
      </c>
      <c r="Z151" s="2">
        <f t="shared" si="195"/>
        <v>0</v>
      </c>
      <c r="AA151" s="2">
        <f t="shared" si="195"/>
        <v>0</v>
      </c>
      <c r="AB151" s="2">
        <f t="shared" si="195"/>
        <v>0</v>
      </c>
      <c r="AC151" s="2">
        <f t="shared" si="195"/>
        <v>0</v>
      </c>
      <c r="AD151" s="2">
        <f t="shared" si="195"/>
        <v>0</v>
      </c>
      <c r="AE151" s="2">
        <f t="shared" si="195"/>
        <v>0</v>
      </c>
      <c r="AF151" s="2">
        <f t="shared" si="195"/>
        <v>0</v>
      </c>
      <c r="AG151" s="2">
        <f t="shared" si="195"/>
        <v>0</v>
      </c>
      <c r="AH151" s="2">
        <f t="shared" si="195"/>
        <v>0</v>
      </c>
      <c r="AI151" s="2">
        <f t="shared" si="195"/>
        <v>0</v>
      </c>
      <c r="AJ151" s="2">
        <f t="shared" si="195"/>
        <v>0</v>
      </c>
      <c r="AK151" s="2">
        <f t="shared" si="195"/>
        <v>0</v>
      </c>
      <c r="AL151" s="2">
        <f t="shared" si="195"/>
        <v>0</v>
      </c>
      <c r="AM151" s="2">
        <f t="shared" si="195"/>
        <v>0</v>
      </c>
      <c r="AN151" s="2">
        <f t="shared" ref="AN151:BS151" si="196">AV376</f>
        <v>0</v>
      </c>
      <c r="AO151" s="2">
        <f t="shared" si="196"/>
        <v>0</v>
      </c>
      <c r="AP151" s="2">
        <f t="shared" si="196"/>
        <v>0</v>
      </c>
      <c r="AQ151" s="2">
        <f t="shared" si="196"/>
        <v>0</v>
      </c>
      <c r="AR151" s="2">
        <f t="shared" si="196"/>
        <v>0</v>
      </c>
      <c r="AS151" s="2">
        <f t="shared" si="196"/>
        <v>0</v>
      </c>
      <c r="AT151" s="2">
        <f t="shared" si="196"/>
        <v>0</v>
      </c>
      <c r="AU151" s="2">
        <f t="shared" si="196"/>
        <v>0</v>
      </c>
      <c r="AV151" s="2">
        <f t="shared" si="196"/>
        <v>0</v>
      </c>
      <c r="AW151" s="2">
        <f t="shared" si="196"/>
        <v>0</v>
      </c>
      <c r="AX151" s="2">
        <f t="shared" si="196"/>
        <v>0</v>
      </c>
      <c r="AY151" s="2">
        <f t="shared" si="196"/>
        <v>0</v>
      </c>
      <c r="AZ151" s="2">
        <f t="shared" si="196"/>
        <v>0</v>
      </c>
      <c r="BA151" s="2">
        <f t="shared" si="196"/>
        <v>0</v>
      </c>
      <c r="BB151" s="2">
        <f t="shared" si="196"/>
        <v>0</v>
      </c>
      <c r="BC151" s="2">
        <f t="shared" si="196"/>
        <v>0</v>
      </c>
      <c r="BD151" s="2">
        <f t="shared" si="196"/>
        <v>0</v>
      </c>
      <c r="BE151" s="2">
        <f t="shared" si="196"/>
        <v>0</v>
      </c>
      <c r="BF151" s="2">
        <f t="shared" si="196"/>
        <v>0</v>
      </c>
      <c r="BG151" s="2">
        <f t="shared" si="196"/>
        <v>0</v>
      </c>
      <c r="BH151" s="2">
        <f t="shared" si="196"/>
        <v>0</v>
      </c>
      <c r="BI151" s="2">
        <f t="shared" si="196"/>
        <v>0</v>
      </c>
      <c r="BJ151" s="2">
        <f t="shared" si="196"/>
        <v>0</v>
      </c>
      <c r="BK151" s="2">
        <f t="shared" si="196"/>
        <v>0</v>
      </c>
      <c r="BL151" s="2">
        <f t="shared" si="196"/>
        <v>0</v>
      </c>
      <c r="BM151" s="2">
        <f t="shared" si="196"/>
        <v>0</v>
      </c>
      <c r="BN151" s="2">
        <f t="shared" si="196"/>
        <v>0</v>
      </c>
      <c r="BO151" s="2">
        <f t="shared" si="196"/>
        <v>0</v>
      </c>
      <c r="BP151" s="2">
        <f t="shared" si="196"/>
        <v>0</v>
      </c>
      <c r="BQ151" s="2">
        <f t="shared" si="196"/>
        <v>0</v>
      </c>
      <c r="BR151" s="2">
        <f t="shared" si="196"/>
        <v>0</v>
      </c>
      <c r="BS151" s="2">
        <f t="shared" si="194"/>
        <v>0</v>
      </c>
      <c r="BT151" s="2">
        <f t="shared" si="194"/>
        <v>0</v>
      </c>
      <c r="BU151" s="2">
        <f t="shared" si="194"/>
        <v>0</v>
      </c>
      <c r="BV151" s="2">
        <f t="shared" si="194"/>
        <v>0</v>
      </c>
      <c r="BW151" s="2">
        <f t="shared" si="194"/>
        <v>0</v>
      </c>
      <c r="BX151" s="2">
        <f t="shared" si="194"/>
        <v>0</v>
      </c>
      <c r="BY151" s="2">
        <f t="shared" si="194"/>
        <v>0</v>
      </c>
      <c r="BZ151" s="2">
        <f t="shared" si="194"/>
        <v>0</v>
      </c>
      <c r="CA151" s="2">
        <f t="shared" si="194"/>
        <v>0</v>
      </c>
      <c r="CB151" s="2">
        <f t="shared" si="194"/>
        <v>0</v>
      </c>
      <c r="CC151" s="2">
        <f t="shared" si="194"/>
        <v>0</v>
      </c>
      <c r="CD151" s="2">
        <f t="shared" si="194"/>
        <v>0</v>
      </c>
    </row>
    <row r="152" spans="2:82" s="3" customFormat="1" x14ac:dyDescent="0.2">
      <c r="C152" s="3" t="s">
        <v>86</v>
      </c>
      <c r="G152" s="3">
        <f>SUM(G153:G154)</f>
        <v>2</v>
      </c>
      <c r="H152" s="3">
        <f t="shared" ref="H152:BS152" si="197">SUM(H153:H154)</f>
        <v>0</v>
      </c>
      <c r="I152" s="3">
        <f t="shared" si="197"/>
        <v>0</v>
      </c>
      <c r="J152" s="3">
        <f t="shared" si="197"/>
        <v>0</v>
      </c>
      <c r="K152" s="3">
        <f t="shared" si="197"/>
        <v>1938.8508000000002</v>
      </c>
      <c r="L152" s="3">
        <f t="shared" si="197"/>
        <v>1938.8508000000002</v>
      </c>
      <c r="M152" s="3">
        <f t="shared" si="197"/>
        <v>2048.7714000000001</v>
      </c>
      <c r="N152" s="3">
        <f t="shared" si="197"/>
        <v>2104.1691000000001</v>
      </c>
      <c r="O152" s="3">
        <f t="shared" si="197"/>
        <v>2160.7703999999999</v>
      </c>
      <c r="P152" s="3">
        <f t="shared" si="197"/>
        <v>2217.3717000000001</v>
      </c>
      <c r="Q152" s="3">
        <f t="shared" si="197"/>
        <v>2274.0288</v>
      </c>
      <c r="R152" s="3">
        <f t="shared" si="197"/>
        <v>2331.2997</v>
      </c>
      <c r="S152" s="3">
        <f t="shared" si="197"/>
        <v>2389.7703000000001</v>
      </c>
      <c r="T152" s="3">
        <f t="shared" si="197"/>
        <v>2448.8546999999999</v>
      </c>
      <c r="U152" s="3">
        <f t="shared" si="197"/>
        <v>2508.9933000000001</v>
      </c>
      <c r="V152" s="3">
        <f t="shared" si="197"/>
        <v>2570.0247000000004</v>
      </c>
      <c r="W152" s="3">
        <f t="shared" si="197"/>
        <v>2631.1736999999998</v>
      </c>
      <c r="X152" s="3">
        <f t="shared" si="197"/>
        <v>2865.7271999999998</v>
      </c>
      <c r="Y152" s="3">
        <f t="shared" si="197"/>
        <v>2919.8798999999999</v>
      </c>
      <c r="Z152" s="3">
        <f t="shared" si="197"/>
        <v>2974.0047</v>
      </c>
      <c r="AA152" s="3">
        <f t="shared" si="197"/>
        <v>3028.1295</v>
      </c>
      <c r="AB152" s="3">
        <f t="shared" si="197"/>
        <v>3082.2822000000001</v>
      </c>
      <c r="AC152" s="3">
        <f t="shared" si="197"/>
        <v>3136.4069999999997</v>
      </c>
      <c r="AD152" s="3">
        <f t="shared" si="197"/>
        <v>3190.5317999999997</v>
      </c>
      <c r="AE152" s="3">
        <f t="shared" si="197"/>
        <v>3244.6566000000003</v>
      </c>
      <c r="AF152" s="3">
        <f t="shared" si="197"/>
        <v>3298.8092999999999</v>
      </c>
      <c r="AG152" s="3">
        <f t="shared" si="197"/>
        <v>3352.9340999999999</v>
      </c>
      <c r="AH152" s="3">
        <f t="shared" si="197"/>
        <v>3355.6203</v>
      </c>
      <c r="AI152" s="3">
        <f t="shared" si="197"/>
        <v>3461.2116000000001</v>
      </c>
      <c r="AJ152" s="3">
        <f t="shared" si="197"/>
        <v>4049.8351965691481</v>
      </c>
      <c r="AK152" s="3">
        <f t="shared" si="197"/>
        <v>3988.88861267621</v>
      </c>
      <c r="AL152" s="3">
        <f t="shared" si="197"/>
        <v>4026.978037222339</v>
      </c>
      <c r="AM152" s="3">
        <f t="shared" si="197"/>
        <v>4070.688259553895</v>
      </c>
      <c r="AN152" s="3">
        <f t="shared" si="197"/>
        <v>4199.8395532339237</v>
      </c>
      <c r="AO152" s="3">
        <f t="shared" si="197"/>
        <v>4341.5493909463021</v>
      </c>
      <c r="AP152" s="3">
        <f t="shared" si="197"/>
        <v>4514.3124426548493</v>
      </c>
      <c r="AQ152" s="3">
        <f t="shared" si="197"/>
        <v>4723.4480780127988</v>
      </c>
      <c r="AR152" s="3">
        <f t="shared" si="197"/>
        <v>4962.9892129001655</v>
      </c>
      <c r="AS152" s="3">
        <f t="shared" si="197"/>
        <v>5235.7589553593843</v>
      </c>
      <c r="AT152" s="3">
        <f t="shared" si="197"/>
        <v>5532.9496751374381</v>
      </c>
      <c r="AU152" s="3">
        <f t="shared" si="197"/>
        <v>5836.3052833425963</v>
      </c>
      <c r="AV152" s="3">
        <f t="shared" si="197"/>
        <v>6153.0769038260541</v>
      </c>
      <c r="AW152" s="3">
        <f t="shared" si="197"/>
        <v>6477.7038106848277</v>
      </c>
      <c r="AX152" s="3">
        <f t="shared" si="197"/>
        <v>6804.9930773481738</v>
      </c>
      <c r="AY152" s="3">
        <f t="shared" si="197"/>
        <v>7130.5894588607534</v>
      </c>
      <c r="AZ152" s="3">
        <f t="shared" si="197"/>
        <v>7451.2835033101956</v>
      </c>
      <c r="BA152" s="3">
        <f t="shared" si="197"/>
        <v>7765.2067858068021</v>
      </c>
      <c r="BB152" s="3">
        <f t="shared" si="197"/>
        <v>8071.8234643456108</v>
      </c>
      <c r="BC152" s="3">
        <f t="shared" si="197"/>
        <v>8371.7663064473581</v>
      </c>
      <c r="BD152" s="3">
        <f t="shared" si="197"/>
        <v>8658.5713402098881</v>
      </c>
      <c r="BE152" s="3">
        <f t="shared" si="197"/>
        <v>8932.0978061529386</v>
      </c>
      <c r="BF152" s="3">
        <f t="shared" si="197"/>
        <v>9189.0001266722411</v>
      </c>
      <c r="BG152" s="3">
        <f t="shared" si="197"/>
        <v>9432.0678837114156</v>
      </c>
      <c r="BH152" s="3">
        <f t="shared" si="197"/>
        <v>9648.3827057613416</v>
      </c>
      <c r="BI152" s="3">
        <f t="shared" si="197"/>
        <v>9807.7408472879215</v>
      </c>
      <c r="BJ152" s="3">
        <f t="shared" si="197"/>
        <v>9980.0889479867856</v>
      </c>
      <c r="BK152" s="3">
        <f t="shared" si="197"/>
        <v>10165.310813348124</v>
      </c>
      <c r="BL152" s="3">
        <f t="shared" si="197"/>
        <v>10358.476527989307</v>
      </c>
      <c r="BM152" s="3">
        <f t="shared" si="197"/>
        <v>10555.018615769312</v>
      </c>
      <c r="BN152" s="3">
        <f t="shared" si="197"/>
        <v>10751.438162361603</v>
      </c>
      <c r="BO152" s="3">
        <f t="shared" si="197"/>
        <v>10945.108332252645</v>
      </c>
      <c r="BP152" s="3">
        <f t="shared" si="197"/>
        <v>11134.265174474245</v>
      </c>
      <c r="BQ152" s="3">
        <f t="shared" si="197"/>
        <v>11317.782573310524</v>
      </c>
      <c r="BR152" s="3">
        <f t="shared" si="197"/>
        <v>11494.771760486114</v>
      </c>
      <c r="BS152" s="3">
        <f t="shared" si="197"/>
        <v>11664.694372321916</v>
      </c>
      <c r="BT152" s="3">
        <f t="shared" ref="BT152:CD152" si="198">SUM(BT153:BT154)</f>
        <v>11827.425120649263</v>
      </c>
      <c r="BU152" s="3">
        <f t="shared" si="198"/>
        <v>11988.815755609334</v>
      </c>
      <c r="BV152" s="3">
        <f t="shared" si="198"/>
        <v>12150.24633287677</v>
      </c>
      <c r="BW152" s="3">
        <f t="shared" si="198"/>
        <v>12312.581547239923</v>
      </c>
      <c r="BX152" s="3">
        <f t="shared" si="198"/>
        <v>12476.394205196986</v>
      </c>
      <c r="BY152" s="3">
        <f t="shared" si="198"/>
        <v>12642.611684105515</v>
      </c>
      <c r="BZ152" s="3">
        <f t="shared" si="198"/>
        <v>12811.758114547894</v>
      </c>
      <c r="CA152" s="3">
        <f t="shared" si="198"/>
        <v>12983.564042622351</v>
      </c>
      <c r="CB152" s="3">
        <f t="shared" si="198"/>
        <v>13158.656323364554</v>
      </c>
      <c r="CC152" s="3">
        <f t="shared" si="198"/>
        <v>13337.351927703752</v>
      </c>
      <c r="CD152" s="3">
        <f t="shared" si="198"/>
        <v>13519.961301541098</v>
      </c>
    </row>
    <row r="153" spans="2:82" s="2" customFormat="1" x14ac:dyDescent="0.2">
      <c r="F153" s="2" t="s">
        <v>6</v>
      </c>
      <c r="G153" s="2">
        <f t="shared" ref="G153:P154" si="199">O377</f>
        <v>1</v>
      </c>
      <c r="H153" s="2">
        <f t="shared" si="199"/>
        <v>0</v>
      </c>
      <c r="I153" s="2" t="str">
        <f t="shared" si="199"/>
        <v>emission_co2e_ch4_lsmm_anaerobic_digester|emission_co2e_ch4_lsmm_anaerobic_lagoon|emission_co2e_ch4_lsmm_composting|emission_co2e_ch4_lsmm_daily_spread|emission_co2e_ch4_lsmm_deep_bedding|emission_co2e_ch4_lsmm_dry_lot|emission_co2e_ch4_lsmm_incineration|emission_co2e_ch4_lsmm_liquid_slurry|emission_co2e_ch4_lsmm_paddock_pasture_range|emission_co2e_ch4_lsmm_poultry_manure|emission_co2e_ch4_lsmm_storage_solid</v>
      </c>
      <c r="J153" s="2">
        <f t="shared" si="199"/>
        <v>0</v>
      </c>
      <c r="K153" s="2">
        <f t="shared" si="199"/>
        <v>315.04680000000002</v>
      </c>
      <c r="L153" s="2">
        <f t="shared" si="199"/>
        <v>315.04680000000002</v>
      </c>
      <c r="M153" s="2">
        <f t="shared" si="199"/>
        <v>330.7824</v>
      </c>
      <c r="N153" s="2">
        <f t="shared" si="199"/>
        <v>338.67809999999997</v>
      </c>
      <c r="O153" s="2">
        <f t="shared" si="199"/>
        <v>346.68540000000002</v>
      </c>
      <c r="P153" s="2">
        <f t="shared" si="199"/>
        <v>354.69269999999989</v>
      </c>
      <c r="Q153" s="2">
        <f t="shared" ref="Q153:Z154" si="200">Y377</f>
        <v>362.75580000000002</v>
      </c>
      <c r="R153" s="2">
        <f t="shared" si="200"/>
        <v>371.43270000000001</v>
      </c>
      <c r="S153" s="2">
        <f t="shared" si="200"/>
        <v>381.30930000000001</v>
      </c>
      <c r="T153" s="2">
        <f t="shared" si="200"/>
        <v>391.79969999999997</v>
      </c>
      <c r="U153" s="2">
        <f t="shared" si="200"/>
        <v>403.07130000000001</v>
      </c>
      <c r="V153" s="2">
        <f t="shared" si="200"/>
        <v>415.23570000000001</v>
      </c>
      <c r="W153" s="2">
        <f t="shared" si="200"/>
        <v>427.79070000000002</v>
      </c>
      <c r="X153" s="2">
        <f t="shared" si="200"/>
        <v>461.68919999999991</v>
      </c>
      <c r="Y153" s="2">
        <f t="shared" si="200"/>
        <v>475.16489999999988</v>
      </c>
      <c r="Z153" s="2">
        <f t="shared" si="200"/>
        <v>488.61270000000002</v>
      </c>
      <c r="AA153" s="2">
        <f t="shared" ref="AA153:AJ154" si="201">AI377</f>
        <v>502.06049999999999</v>
      </c>
      <c r="AB153" s="2">
        <f t="shared" si="201"/>
        <v>515.53620000000001</v>
      </c>
      <c r="AC153" s="2">
        <f t="shared" si="201"/>
        <v>528.98400000000004</v>
      </c>
      <c r="AD153" s="2">
        <f t="shared" si="201"/>
        <v>542.43179999999995</v>
      </c>
      <c r="AE153" s="2">
        <f t="shared" si="201"/>
        <v>555.87959999999998</v>
      </c>
      <c r="AF153" s="2">
        <f t="shared" si="201"/>
        <v>569.35529999999994</v>
      </c>
      <c r="AG153" s="2">
        <f t="shared" si="201"/>
        <v>582.80309999999997</v>
      </c>
      <c r="AH153" s="2">
        <f t="shared" si="201"/>
        <v>583.30529999999999</v>
      </c>
      <c r="AI153" s="2">
        <f t="shared" si="201"/>
        <v>609.72659999999996</v>
      </c>
      <c r="AJ153" s="2">
        <f t="shared" si="201"/>
        <v>1183.2561696631869</v>
      </c>
      <c r="AK153" s="2">
        <f t="shared" ref="AK153:AT154" si="202">AS377</f>
        <v>1160.2033131146</v>
      </c>
      <c r="AL153" s="2">
        <f t="shared" si="202"/>
        <v>1184.095979729188</v>
      </c>
      <c r="AM153" s="2">
        <f t="shared" si="202"/>
        <v>1211.406733358031</v>
      </c>
      <c r="AN153" s="2">
        <f t="shared" si="202"/>
        <v>1256.0812898932991</v>
      </c>
      <c r="AO153" s="2">
        <f t="shared" si="202"/>
        <v>1305.219344884189</v>
      </c>
      <c r="AP153" s="2">
        <f t="shared" si="202"/>
        <v>1362.8270379924361</v>
      </c>
      <c r="AQ153" s="2">
        <f t="shared" si="202"/>
        <v>1432.891276239455</v>
      </c>
      <c r="AR153" s="2">
        <f t="shared" si="202"/>
        <v>1512.4491692727231</v>
      </c>
      <c r="AS153" s="2">
        <f t="shared" si="202"/>
        <v>1601.74800058342</v>
      </c>
      <c r="AT153" s="2">
        <f t="shared" si="202"/>
        <v>1697.162681779062</v>
      </c>
      <c r="AU153" s="2">
        <f t="shared" ref="AU153:BD154" si="203">BC377</f>
        <v>1789.745734430199</v>
      </c>
      <c r="AV153" s="2">
        <f t="shared" si="203"/>
        <v>1886.547680075488</v>
      </c>
      <c r="AW153" s="2">
        <f t="shared" si="203"/>
        <v>1986.686054186981</v>
      </c>
      <c r="AX153" s="2">
        <f t="shared" si="203"/>
        <v>2089.343026091562</v>
      </c>
      <c r="AY153" s="2">
        <f t="shared" si="203"/>
        <v>2193.8552296352268</v>
      </c>
      <c r="AZ153" s="2">
        <f t="shared" si="203"/>
        <v>2299.749402015128</v>
      </c>
      <c r="BA153" s="2">
        <f t="shared" si="203"/>
        <v>2406.78416097952</v>
      </c>
      <c r="BB153" s="2">
        <f t="shared" si="203"/>
        <v>2514.9479524366538</v>
      </c>
      <c r="BC153" s="2">
        <f t="shared" si="203"/>
        <v>2624.431307797081</v>
      </c>
      <c r="BD153" s="2">
        <f t="shared" si="203"/>
        <v>2731.1265615962488</v>
      </c>
      <c r="BE153" s="2">
        <f t="shared" ref="BE153:BN154" si="204">BM377</f>
        <v>2834.6348240667348</v>
      </c>
      <c r="BF153" s="2">
        <f t="shared" si="204"/>
        <v>2932.7427314739739</v>
      </c>
      <c r="BG153" s="2">
        <f t="shared" si="204"/>
        <v>3026.7140326127751</v>
      </c>
      <c r="BH153" s="2">
        <f t="shared" si="204"/>
        <v>3113.908170285858</v>
      </c>
      <c r="BI153" s="2">
        <f t="shared" si="204"/>
        <v>3188.7037569452968</v>
      </c>
      <c r="BJ153" s="2">
        <f t="shared" si="204"/>
        <v>3262.67929132474</v>
      </c>
      <c r="BK153" s="2">
        <f t="shared" si="204"/>
        <v>3338.5448920755261</v>
      </c>
      <c r="BL153" s="2">
        <f t="shared" si="204"/>
        <v>3415.3298379822172</v>
      </c>
      <c r="BM153" s="2">
        <f t="shared" si="204"/>
        <v>3492.0664558697031</v>
      </c>
      <c r="BN153" s="2">
        <f t="shared" si="204"/>
        <v>3568.0451063377359</v>
      </c>
      <c r="BO153" s="2">
        <f t="shared" ref="BO153:BX154" si="205">BW377</f>
        <v>3642.7472195477849</v>
      </c>
      <c r="BP153" s="2">
        <f t="shared" si="205"/>
        <v>3715.7907801636152</v>
      </c>
      <c r="BQ153" s="2">
        <f t="shared" si="205"/>
        <v>3786.892442603953</v>
      </c>
      <c r="BR153" s="2">
        <f t="shared" si="205"/>
        <v>3855.7338940154841</v>
      </c>
      <c r="BS153" s="2">
        <f t="shared" si="205"/>
        <v>3922.0755021561959</v>
      </c>
      <c r="BT153" s="2">
        <f t="shared" ref="BT153:CD154" si="206">CB377</f>
        <v>3985.8081831961622</v>
      </c>
      <c r="BU153" s="2">
        <f t="shared" si="206"/>
        <v>4049.7132245994362</v>
      </c>
      <c r="BV153" s="2">
        <f t="shared" si="206"/>
        <v>4114.0313147264387</v>
      </c>
      <c r="BW153" s="2">
        <f t="shared" si="206"/>
        <v>4178.8671884912719</v>
      </c>
      <c r="BX153" s="2">
        <f t="shared" si="206"/>
        <v>4244.2649311199621</v>
      </c>
      <c r="BY153" s="2">
        <f t="shared" si="206"/>
        <v>4310.485041953646</v>
      </c>
      <c r="BZ153" s="2">
        <f t="shared" si="206"/>
        <v>4377.6448996677982</v>
      </c>
      <c r="CA153" s="2">
        <f t="shared" si="206"/>
        <v>4445.5847865524529</v>
      </c>
      <c r="CB153" s="2">
        <f t="shared" si="206"/>
        <v>4514.4504971858914</v>
      </c>
      <c r="CC153" s="2">
        <f t="shared" si="206"/>
        <v>4584.273094154828</v>
      </c>
      <c r="CD153" s="2">
        <f t="shared" si="206"/>
        <v>4655.1131480883332</v>
      </c>
    </row>
    <row r="154" spans="2:82" s="2" customFormat="1" x14ac:dyDescent="0.2">
      <c r="F154" s="2" t="s">
        <v>8</v>
      </c>
      <c r="G154" s="2">
        <f t="shared" si="199"/>
        <v>1</v>
      </c>
      <c r="H154" s="2">
        <f t="shared" si="199"/>
        <v>0</v>
      </c>
      <c r="I154" s="2" t="str">
        <f t="shared" si="199"/>
        <v>emission_co2e_n2o_lsmm_direct_anaerobic_digester|emission_co2e_n2o_lsmm_direct_anaerobic_lagoon|emission_co2e_n2o_lsmm_direct_composting|emission_co2e_n2o_lsmm_direct_daily_spread|emission_co2e_n2o_lsmm_direct_deep_bedding|emission_co2e_n2o_lsmm_direct_dry_lot|emission_co2e_n2o_lsmm_direct_incineration|emission_co2e_n2o_lsmm_direct_liquid_slurry|emission_co2e_n2o_lsmm_direct_paddock_pasture_range|emission_co2e_n2o_lsmm_direct_poultry_manure|emission_co2e_n2o_lsmm_direct_storage_solid</v>
      </c>
      <c r="J154" s="2">
        <f t="shared" si="199"/>
        <v>0</v>
      </c>
      <c r="K154" s="2">
        <f t="shared" si="199"/>
        <v>1623.8040000000001</v>
      </c>
      <c r="L154" s="2">
        <f t="shared" si="199"/>
        <v>1623.8040000000001</v>
      </c>
      <c r="M154" s="2">
        <f t="shared" si="199"/>
        <v>1717.989</v>
      </c>
      <c r="N154" s="2">
        <f t="shared" si="199"/>
        <v>1765.491</v>
      </c>
      <c r="O154" s="2">
        <f t="shared" si="199"/>
        <v>1814.085</v>
      </c>
      <c r="P154" s="2">
        <f t="shared" si="199"/>
        <v>1862.6790000000001</v>
      </c>
      <c r="Q154" s="2">
        <f t="shared" si="200"/>
        <v>1911.2729999999999</v>
      </c>
      <c r="R154" s="2">
        <f t="shared" si="200"/>
        <v>1959.867</v>
      </c>
      <c r="S154" s="2">
        <f t="shared" si="200"/>
        <v>2008.461</v>
      </c>
      <c r="T154" s="2">
        <f t="shared" si="200"/>
        <v>2057.0549999999998</v>
      </c>
      <c r="U154" s="2">
        <f t="shared" si="200"/>
        <v>2105.922</v>
      </c>
      <c r="V154" s="2">
        <f t="shared" si="200"/>
        <v>2154.7890000000002</v>
      </c>
      <c r="W154" s="2">
        <f t="shared" si="200"/>
        <v>2203.3829999999998</v>
      </c>
      <c r="X154" s="2">
        <f t="shared" si="200"/>
        <v>2404.038</v>
      </c>
      <c r="Y154" s="2">
        <f t="shared" si="200"/>
        <v>2444.7150000000001</v>
      </c>
      <c r="Z154" s="2">
        <f t="shared" si="200"/>
        <v>2485.3919999999998</v>
      </c>
      <c r="AA154" s="2">
        <f t="shared" si="201"/>
        <v>2526.069</v>
      </c>
      <c r="AB154" s="2">
        <f t="shared" si="201"/>
        <v>2566.7460000000001</v>
      </c>
      <c r="AC154" s="2">
        <f t="shared" si="201"/>
        <v>2607.4229999999998</v>
      </c>
      <c r="AD154" s="2">
        <f t="shared" si="201"/>
        <v>2648.1</v>
      </c>
      <c r="AE154" s="2">
        <f t="shared" si="201"/>
        <v>2688.777</v>
      </c>
      <c r="AF154" s="2">
        <f t="shared" si="201"/>
        <v>2729.4540000000002</v>
      </c>
      <c r="AG154" s="2">
        <f t="shared" si="201"/>
        <v>2770.1309999999999</v>
      </c>
      <c r="AH154" s="2">
        <f t="shared" si="201"/>
        <v>2772.3150000000001</v>
      </c>
      <c r="AI154" s="2">
        <f t="shared" si="201"/>
        <v>2851.4850000000001</v>
      </c>
      <c r="AJ154" s="2">
        <f t="shared" si="201"/>
        <v>2866.5790269059612</v>
      </c>
      <c r="AK154" s="2">
        <f t="shared" si="202"/>
        <v>2828.68529956161</v>
      </c>
      <c r="AL154" s="2">
        <f t="shared" si="202"/>
        <v>2842.882057493151</v>
      </c>
      <c r="AM154" s="2">
        <f t="shared" si="202"/>
        <v>2859.281526195864</v>
      </c>
      <c r="AN154" s="2">
        <f t="shared" si="202"/>
        <v>2943.758263340625</v>
      </c>
      <c r="AO154" s="2">
        <f t="shared" si="202"/>
        <v>3036.3300460621131</v>
      </c>
      <c r="AP154" s="2">
        <f t="shared" si="202"/>
        <v>3151.4854046624132</v>
      </c>
      <c r="AQ154" s="2">
        <f t="shared" si="202"/>
        <v>3290.556801773344</v>
      </c>
      <c r="AR154" s="2">
        <f t="shared" si="202"/>
        <v>3450.5400436274422</v>
      </c>
      <c r="AS154" s="2">
        <f t="shared" si="202"/>
        <v>3634.0109547759648</v>
      </c>
      <c r="AT154" s="2">
        <f t="shared" si="202"/>
        <v>3835.7869933583761</v>
      </c>
      <c r="AU154" s="2">
        <f t="shared" si="203"/>
        <v>4046.5595489123971</v>
      </c>
      <c r="AV154" s="2">
        <f t="shared" si="203"/>
        <v>4266.5292237505664</v>
      </c>
      <c r="AW154" s="2">
        <f t="shared" si="203"/>
        <v>4491.0177564978467</v>
      </c>
      <c r="AX154" s="2">
        <f t="shared" si="203"/>
        <v>4715.6500512566117</v>
      </c>
      <c r="AY154" s="2">
        <f t="shared" si="203"/>
        <v>4936.7342292255262</v>
      </c>
      <c r="AZ154" s="2">
        <f t="shared" si="203"/>
        <v>5151.5341012950676</v>
      </c>
      <c r="BA154" s="2">
        <f t="shared" si="203"/>
        <v>5358.4226248272826</v>
      </c>
      <c r="BB154" s="2">
        <f t="shared" si="203"/>
        <v>5556.8755119089574</v>
      </c>
      <c r="BC154" s="2">
        <f t="shared" si="203"/>
        <v>5747.3349986502772</v>
      </c>
      <c r="BD154" s="2">
        <f t="shared" si="203"/>
        <v>5927.4447786136388</v>
      </c>
      <c r="BE154" s="2">
        <f t="shared" si="204"/>
        <v>6097.4629820862037</v>
      </c>
      <c r="BF154" s="2">
        <f t="shared" si="204"/>
        <v>6256.2573951982667</v>
      </c>
      <c r="BG154" s="2">
        <f t="shared" si="204"/>
        <v>6405.35385109864</v>
      </c>
      <c r="BH154" s="2">
        <f t="shared" si="204"/>
        <v>6534.4745354754832</v>
      </c>
      <c r="BI154" s="2">
        <f t="shared" si="204"/>
        <v>6619.0370903426256</v>
      </c>
      <c r="BJ154" s="2">
        <f t="shared" si="204"/>
        <v>6717.4096566620456</v>
      </c>
      <c r="BK154" s="2">
        <f t="shared" si="204"/>
        <v>6826.7659212725976</v>
      </c>
      <c r="BL154" s="2">
        <f t="shared" si="204"/>
        <v>6943.14669000709</v>
      </c>
      <c r="BM154" s="2">
        <f t="shared" si="204"/>
        <v>7062.9521598996089</v>
      </c>
      <c r="BN154" s="2">
        <f t="shared" si="204"/>
        <v>7183.3930560238668</v>
      </c>
      <c r="BO154" s="2">
        <f t="shared" si="205"/>
        <v>7302.3611127048598</v>
      </c>
      <c r="BP154" s="2">
        <f t="shared" si="205"/>
        <v>7418.4743943106296</v>
      </c>
      <c r="BQ154" s="2">
        <f t="shared" si="205"/>
        <v>7530.8901307065717</v>
      </c>
      <c r="BR154" s="2">
        <f t="shared" si="205"/>
        <v>7639.0378664706304</v>
      </c>
      <c r="BS154" s="2">
        <f t="shared" si="205"/>
        <v>7742.6188701657202</v>
      </c>
      <c r="BT154" s="2">
        <f t="shared" si="206"/>
        <v>7841.6169374531009</v>
      </c>
      <c r="BU154" s="2">
        <f t="shared" si="206"/>
        <v>7939.1025310098976</v>
      </c>
      <c r="BV154" s="2">
        <f t="shared" si="206"/>
        <v>8036.2150181503312</v>
      </c>
      <c r="BW154" s="2">
        <f t="shared" si="206"/>
        <v>8133.7143587486498</v>
      </c>
      <c r="BX154" s="2">
        <f t="shared" si="206"/>
        <v>8232.1292740770241</v>
      </c>
      <c r="BY154" s="2">
        <f t="shared" si="206"/>
        <v>8332.1266421518685</v>
      </c>
      <c r="BZ154" s="2">
        <f t="shared" si="206"/>
        <v>8434.1132148800953</v>
      </c>
      <c r="CA154" s="2">
        <f t="shared" si="206"/>
        <v>8537.9792560698988</v>
      </c>
      <c r="CB154" s="2">
        <f t="shared" si="206"/>
        <v>8644.2058261786624</v>
      </c>
      <c r="CC154" s="2">
        <f t="shared" si="206"/>
        <v>8753.0788335489233</v>
      </c>
      <c r="CD154" s="2">
        <f t="shared" si="206"/>
        <v>8864.8481534527637</v>
      </c>
    </row>
    <row r="155" spans="2:82" s="7" customFormat="1" x14ac:dyDescent="0.2">
      <c r="B155" s="7" t="s">
        <v>168</v>
      </c>
      <c r="G155" s="7">
        <f>SUM(G156,G162,G170,G178,G185,G193,G197,)</f>
        <v>9</v>
      </c>
      <c r="H155" s="7">
        <f t="shared" ref="H155:BS155" si="207">SUM(H156,H162,H170,H178,H185,H193,H197,)</f>
        <v>10</v>
      </c>
      <c r="I155" s="7" t="e">
        <f t="shared" si="207"/>
        <v>#VALUE!</v>
      </c>
      <c r="J155" s="7">
        <f t="shared" si="207"/>
        <v>0</v>
      </c>
      <c r="K155" s="7">
        <f t="shared" si="207"/>
        <v>8489.4499999999989</v>
      </c>
      <c r="L155" s="7">
        <f t="shared" si="207"/>
        <v>12984.281000000001</v>
      </c>
      <c r="M155" s="7">
        <f t="shared" si="207"/>
        <v>14879.378000000001</v>
      </c>
      <c r="N155" s="7">
        <f t="shared" si="207"/>
        <v>19356.024000000001</v>
      </c>
      <c r="O155" s="7">
        <f t="shared" si="207"/>
        <v>30728.013999999999</v>
      </c>
      <c r="P155" s="7">
        <f t="shared" si="207"/>
        <v>31362.411</v>
      </c>
      <c r="Q155" s="7">
        <f t="shared" si="207"/>
        <v>40732.797999999995</v>
      </c>
      <c r="R155" s="7">
        <f t="shared" si="207"/>
        <v>31139.977999999999</v>
      </c>
      <c r="S155" s="7">
        <f t="shared" si="207"/>
        <v>35746.485999999997</v>
      </c>
      <c r="T155" s="7">
        <f t="shared" si="207"/>
        <v>36259.745000000003</v>
      </c>
      <c r="U155" s="7">
        <f t="shared" si="207"/>
        <v>47401.178999999996</v>
      </c>
      <c r="V155" s="7">
        <f t="shared" si="207"/>
        <v>59996.500999999989</v>
      </c>
      <c r="W155" s="7">
        <f t="shared" si="207"/>
        <v>63001.356999999996</v>
      </c>
      <c r="X155" s="7">
        <f t="shared" si="207"/>
        <v>67367.726999999999</v>
      </c>
      <c r="Y155" s="7">
        <f t="shared" si="207"/>
        <v>71422.025000000009</v>
      </c>
      <c r="Z155" s="7">
        <f t="shared" si="207"/>
        <v>76026.210999999996</v>
      </c>
      <c r="AA155" s="7">
        <f t="shared" si="207"/>
        <v>81912.157000000007</v>
      </c>
      <c r="AB155" s="7">
        <f t="shared" si="207"/>
        <v>84155.83</v>
      </c>
      <c r="AC155" s="7">
        <f t="shared" si="207"/>
        <v>96614.865000000005</v>
      </c>
      <c r="AD155" s="7">
        <f t="shared" si="207"/>
        <v>103852.64700000001</v>
      </c>
      <c r="AE155" s="7">
        <f t="shared" si="207"/>
        <v>103091.60800000001</v>
      </c>
      <c r="AF155" s="7">
        <f t="shared" si="207"/>
        <v>-2579405.4249999998</v>
      </c>
      <c r="AG155" s="7">
        <f t="shared" si="207"/>
        <v>-2577368.0279999999</v>
      </c>
      <c r="AH155" s="7">
        <f t="shared" si="207"/>
        <v>-2573303.3109999998</v>
      </c>
      <c r="AI155" s="7">
        <f t="shared" si="207"/>
        <v>-2571308.8229999999</v>
      </c>
      <c r="AJ155" s="7">
        <f t="shared" si="207"/>
        <v>99321.952840401471</v>
      </c>
      <c r="AK155" s="7">
        <f t="shared" si="207"/>
        <v>96326.473651120497</v>
      </c>
      <c r="AL155" s="7">
        <f t="shared" si="207"/>
        <v>98344.775093025906</v>
      </c>
      <c r="AM155" s="7">
        <f t="shared" si="207"/>
        <v>100311.90364477171</v>
      </c>
      <c r="AN155" s="7">
        <f t="shared" si="207"/>
        <v>103823.85112772319</v>
      </c>
      <c r="AO155" s="7">
        <f t="shared" si="207"/>
        <v>107880.92745428484</v>
      </c>
      <c r="AP155" s="7">
        <f t="shared" si="207"/>
        <v>111024.20129240668</v>
      </c>
      <c r="AQ155" s="7">
        <f t="shared" si="207"/>
        <v>114824.22255224135</v>
      </c>
      <c r="AR155" s="7">
        <f t="shared" si="207"/>
        <v>120153.29260728923</v>
      </c>
      <c r="AS155" s="7">
        <f t="shared" si="207"/>
        <v>125384.2499969136</v>
      </c>
      <c r="AT155" s="7">
        <f t="shared" si="207"/>
        <v>129431.40017887915</v>
      </c>
      <c r="AU155" s="7">
        <f t="shared" si="207"/>
        <v>130320.16745439386</v>
      </c>
      <c r="AV155" s="7">
        <f t="shared" si="207"/>
        <v>128532.95266547496</v>
      </c>
      <c r="AW155" s="7">
        <f t="shared" si="207"/>
        <v>123331.53164295552</v>
      </c>
      <c r="AX155" s="7">
        <f t="shared" si="207"/>
        <v>114320.61434852847</v>
      </c>
      <c r="AY155" s="7">
        <f t="shared" si="207"/>
        <v>101724.93395907</v>
      </c>
      <c r="AZ155" s="7">
        <f t="shared" si="207"/>
        <v>86554.668131147439</v>
      </c>
      <c r="BA155" s="7">
        <f t="shared" si="207"/>
        <v>70386.709610032398</v>
      </c>
      <c r="BB155" s="7">
        <f t="shared" si="207"/>
        <v>54867.543873482864</v>
      </c>
      <c r="BC155" s="7">
        <f t="shared" si="207"/>
        <v>41226.808713221631</v>
      </c>
      <c r="BD155" s="7">
        <f t="shared" si="207"/>
        <v>29956.451917617233</v>
      </c>
      <c r="BE155" s="7">
        <f t="shared" si="207"/>
        <v>21137.324546734111</v>
      </c>
      <c r="BF155" s="7">
        <f t="shared" si="207"/>
        <v>14538.224622681706</v>
      </c>
      <c r="BG155" s="7">
        <f t="shared" si="207"/>
        <v>9772.5849403701723</v>
      </c>
      <c r="BH155" s="7">
        <f t="shared" si="207"/>
        <v>6429.4498938951338</v>
      </c>
      <c r="BI155" s="7">
        <f t="shared" si="207"/>
        <v>3978.1920166727987</v>
      </c>
      <c r="BJ155" s="7">
        <f t="shared" si="207"/>
        <v>3705.474297226805</v>
      </c>
      <c r="BK155" s="7">
        <f t="shared" si="207"/>
        <v>5060.9251030744144</v>
      </c>
      <c r="BL155" s="7">
        <f t="shared" si="207"/>
        <v>6737.7958779587079</v>
      </c>
      <c r="BM155" s="7">
        <f t="shared" si="207"/>
        <v>8455.1494374930935</v>
      </c>
      <c r="BN155" s="7">
        <f t="shared" si="207"/>
        <v>10172.780636555075</v>
      </c>
      <c r="BO155" s="7">
        <f t="shared" si="207"/>
        <v>11713.496269217441</v>
      </c>
      <c r="BP155" s="7">
        <f t="shared" si="207"/>
        <v>13149.260100019179</v>
      </c>
      <c r="BQ155" s="7">
        <f t="shared" si="207"/>
        <v>14488.728908589055</v>
      </c>
      <c r="BR155" s="7">
        <f t="shared" si="207"/>
        <v>15646.122325852619</v>
      </c>
      <c r="BS155" s="7">
        <f t="shared" si="207"/>
        <v>16637.314928489574</v>
      </c>
      <c r="BT155" s="7">
        <f t="shared" ref="BT155:CD155" si="208">SUM(BT156,BT162,BT170,BT178,BT185,BT193,BT197,)</f>
        <v>17542.865430600315</v>
      </c>
      <c r="BU155" s="7">
        <f t="shared" si="208"/>
        <v>18430.080774425551</v>
      </c>
      <c r="BV155" s="7">
        <f t="shared" si="208"/>
        <v>19269.34247596925</v>
      </c>
      <c r="BW155" s="7">
        <f t="shared" si="208"/>
        <v>20012.732518913741</v>
      </c>
      <c r="BX155" s="7">
        <f t="shared" si="208"/>
        <v>20301.181990921068</v>
      </c>
      <c r="BY155" s="7">
        <f t="shared" si="208"/>
        <v>19577.147025162991</v>
      </c>
      <c r="BZ155" s="7">
        <f t="shared" si="208"/>
        <v>20038.147948317506</v>
      </c>
      <c r="CA155" s="7">
        <f t="shared" si="208"/>
        <v>20397.373046948604</v>
      </c>
      <c r="CB155" s="7">
        <f t="shared" si="208"/>
        <v>20650.501046065365</v>
      </c>
      <c r="CC155" s="7">
        <f t="shared" si="208"/>
        <v>20799.684587871991</v>
      </c>
      <c r="CD155" s="7">
        <f t="shared" si="208"/>
        <v>23947.704021947822</v>
      </c>
    </row>
    <row r="156" spans="2:82" s="3" customFormat="1" x14ac:dyDescent="0.2">
      <c r="C156" s="3" t="s">
        <v>88</v>
      </c>
      <c r="G156" s="3">
        <f>SUM(G157:G161)</f>
        <v>2</v>
      </c>
      <c r="H156" s="3">
        <f t="shared" ref="H156:BS156" si="209">SUM(H157:H161)</f>
        <v>3</v>
      </c>
      <c r="I156" s="3" t="e">
        <f t="shared" si="209"/>
        <v>#VALUE!</v>
      </c>
      <c r="J156" s="3">
        <f t="shared" si="209"/>
        <v>0</v>
      </c>
      <c r="K156" s="3">
        <f t="shared" si="209"/>
        <v>-11799.368</v>
      </c>
      <c r="L156" s="3">
        <f t="shared" si="209"/>
        <v>-7608.2960000000003</v>
      </c>
      <c r="M156" s="3">
        <f t="shared" si="209"/>
        <v>-11654.781999999999</v>
      </c>
      <c r="N156" s="3">
        <f t="shared" si="209"/>
        <v>-2055.8939999999998</v>
      </c>
      <c r="O156" s="3">
        <f t="shared" si="209"/>
        <v>4184.0360000000001</v>
      </c>
      <c r="P156" s="3">
        <f t="shared" si="209"/>
        <v>10667.915999999999</v>
      </c>
      <c r="Q156" s="3">
        <f t="shared" si="209"/>
        <v>17409.812000000002</v>
      </c>
      <c r="R156" s="3">
        <f t="shared" si="209"/>
        <v>11419.368</v>
      </c>
      <c r="S156" s="3">
        <f t="shared" si="209"/>
        <v>16465.772000000001</v>
      </c>
      <c r="T156" s="3">
        <f t="shared" si="209"/>
        <v>21901.989000000001</v>
      </c>
      <c r="U156" s="3">
        <f t="shared" si="209"/>
        <v>43923.116999999998</v>
      </c>
      <c r="V156" s="3">
        <f t="shared" si="209"/>
        <v>48104.164999999994</v>
      </c>
      <c r="W156" s="3">
        <f t="shared" si="209"/>
        <v>59310.491999999998</v>
      </c>
      <c r="X156" s="3">
        <f t="shared" si="209"/>
        <v>63733.421999999991</v>
      </c>
      <c r="Y156" s="3">
        <f t="shared" si="209"/>
        <v>68219.478000000003</v>
      </c>
      <c r="Z156" s="3">
        <f t="shared" si="209"/>
        <v>72789.104999999996</v>
      </c>
      <c r="AA156" s="3">
        <f t="shared" si="209"/>
        <v>78640.899000000005</v>
      </c>
      <c r="AB156" s="3">
        <f t="shared" si="209"/>
        <v>80654.858999999997</v>
      </c>
      <c r="AC156" s="3">
        <f t="shared" si="209"/>
        <v>93234.264999999999</v>
      </c>
      <c r="AD156" s="3">
        <f t="shared" si="209"/>
        <v>100433.853</v>
      </c>
      <c r="AE156" s="3">
        <f t="shared" si="209"/>
        <v>103419.641</v>
      </c>
      <c r="AF156" s="3">
        <f t="shared" si="209"/>
        <v>-82196.347999999998</v>
      </c>
      <c r="AG156" s="3">
        <f t="shared" si="209"/>
        <v>-79423.505999999994</v>
      </c>
      <c r="AH156" s="3">
        <f t="shared" si="209"/>
        <v>-75276.062000000005</v>
      </c>
      <c r="AI156" s="3">
        <f t="shared" si="209"/>
        <v>-72834.64</v>
      </c>
      <c r="AJ156" s="3">
        <f t="shared" si="209"/>
        <v>78575.542406167006</v>
      </c>
      <c r="AK156" s="3">
        <f t="shared" si="209"/>
        <v>75742.479859749496</v>
      </c>
      <c r="AL156" s="3">
        <f t="shared" si="209"/>
        <v>77922.770420848741</v>
      </c>
      <c r="AM156" s="3">
        <f t="shared" si="209"/>
        <v>80222.54838638677</v>
      </c>
      <c r="AN156" s="3">
        <f t="shared" si="209"/>
        <v>84157.671978273633</v>
      </c>
      <c r="AO156" s="3">
        <f t="shared" si="209"/>
        <v>88609.373196659522</v>
      </c>
      <c r="AP156" s="3">
        <f t="shared" si="209"/>
        <v>93630.956112564862</v>
      </c>
      <c r="AQ156" s="3">
        <f t="shared" si="209"/>
        <v>98758.443632790513</v>
      </c>
      <c r="AR156" s="3">
        <f t="shared" si="209"/>
        <v>104175.04416780583</v>
      </c>
      <c r="AS156" s="3">
        <f t="shared" si="209"/>
        <v>109497.21116207476</v>
      </c>
      <c r="AT156" s="3">
        <f t="shared" si="209"/>
        <v>113636.83688987697</v>
      </c>
      <c r="AU156" s="3">
        <f t="shared" si="209"/>
        <v>114612.44911168182</v>
      </c>
      <c r="AV156" s="3">
        <f t="shared" si="209"/>
        <v>112902.32635762525</v>
      </c>
      <c r="AW156" s="3">
        <f t="shared" si="209"/>
        <v>107764.20211622046</v>
      </c>
      <c r="AX156" s="3">
        <f t="shared" si="209"/>
        <v>98800.276497820436</v>
      </c>
      <c r="AY156" s="3">
        <f t="shared" si="209"/>
        <v>86234.563860503447</v>
      </c>
      <c r="AZ156" s="3">
        <f t="shared" si="209"/>
        <v>71078.357954351784</v>
      </c>
      <c r="BA156" s="3">
        <f t="shared" si="209"/>
        <v>54911.402609709847</v>
      </c>
      <c r="BB156" s="3">
        <f t="shared" si="209"/>
        <v>39384.579975594068</v>
      </c>
      <c r="BC156" s="3">
        <f t="shared" si="209"/>
        <v>25735.195833366139</v>
      </c>
      <c r="BD156" s="3">
        <f t="shared" si="209"/>
        <v>14460.747718803916</v>
      </c>
      <c r="BE156" s="3">
        <f t="shared" si="209"/>
        <v>5650.8555968978353</v>
      </c>
      <c r="BF156" s="3">
        <f t="shared" si="209"/>
        <v>-924.45336561348017</v>
      </c>
      <c r="BG156" s="3">
        <f t="shared" si="209"/>
        <v>-5646.488287583471</v>
      </c>
      <c r="BH156" s="3">
        <f t="shared" si="209"/>
        <v>-8920.0832475513125</v>
      </c>
      <c r="BI156" s="3">
        <f t="shared" si="209"/>
        <v>-11094.535997289369</v>
      </c>
      <c r="BJ156" s="3">
        <f t="shared" si="209"/>
        <v>-10612.096785442969</v>
      </c>
      <c r="BK156" s="3">
        <f t="shared" si="209"/>
        <v>-10081.771745427113</v>
      </c>
      <c r="BL156" s="3">
        <f t="shared" si="209"/>
        <v>-9512.7615454179177</v>
      </c>
      <c r="BM156" s="3">
        <f t="shared" si="209"/>
        <v>-8882.7217126378764</v>
      </c>
      <c r="BN156" s="3">
        <f t="shared" si="209"/>
        <v>-8174.363236339851</v>
      </c>
      <c r="BO156" s="3">
        <f t="shared" si="209"/>
        <v>-7542.0591204110906</v>
      </c>
      <c r="BP156" s="3">
        <f t="shared" si="209"/>
        <v>-6901.7767784841462</v>
      </c>
      <c r="BQ156" s="3">
        <f t="shared" si="209"/>
        <v>-6255.7694141476804</v>
      </c>
      <c r="BR156" s="3">
        <f t="shared" si="209"/>
        <v>-5608.4240727448805</v>
      </c>
      <c r="BS156" s="3">
        <f t="shared" si="209"/>
        <v>-4965.618463150734</v>
      </c>
      <c r="BT156" s="3">
        <f t="shared" ref="BT156:CD156" si="210">SUM(BT157:BT161)</f>
        <v>-4332.7796155377073</v>
      </c>
      <c r="BU156" s="3">
        <f t="shared" si="210"/>
        <v>-3695.7192871694574</v>
      </c>
      <c r="BV156" s="3">
        <f t="shared" si="210"/>
        <v>-3056.4252852017503</v>
      </c>
      <c r="BW156" s="3">
        <f t="shared" si="210"/>
        <v>-2417.1659211329861</v>
      </c>
      <c r="BX156" s="3">
        <f t="shared" si="210"/>
        <v>-1781.9380421382152</v>
      </c>
      <c r="BY156" s="3">
        <f t="shared" si="210"/>
        <v>-1150.181700638957</v>
      </c>
      <c r="BZ156" s="3">
        <f t="shared" si="210"/>
        <v>-531.80394420723292</v>
      </c>
      <c r="CA156" s="3">
        <f t="shared" si="210"/>
        <v>75.127707606120751</v>
      </c>
      <c r="CB156" s="3">
        <f t="shared" si="210"/>
        <v>665.03150739248099</v>
      </c>
      <c r="CC156" s="3">
        <f t="shared" si="210"/>
        <v>1234.4800501644149</v>
      </c>
      <c r="CD156" s="3">
        <f t="shared" si="210"/>
        <v>1780.1889559949516</v>
      </c>
    </row>
    <row r="157" spans="2:82" s="2" customFormat="1" x14ac:dyDescent="0.2">
      <c r="D157" s="2" t="s">
        <v>89</v>
      </c>
      <c r="G157" s="2">
        <f t="shared" ref="G157:AE157" si="211">O379+IF(O380=$F$238,0,O380)+G161</f>
        <v>1</v>
      </c>
      <c r="H157" s="2">
        <f t="shared" si="211"/>
        <v>2</v>
      </c>
      <c r="I157" s="2" t="e">
        <f t="shared" si="211"/>
        <v>#VALUE!</v>
      </c>
      <c r="J157" s="2">
        <f t="shared" si="211"/>
        <v>0</v>
      </c>
      <c r="K157" s="2">
        <f t="shared" si="211"/>
        <v>-5899.6840000000002</v>
      </c>
      <c r="L157" s="2">
        <f t="shared" si="211"/>
        <v>-3804.1480000000001</v>
      </c>
      <c r="M157" s="2">
        <f t="shared" si="211"/>
        <v>-5827.3909999999996</v>
      </c>
      <c r="N157" s="2">
        <f t="shared" si="211"/>
        <v>-1027.9469999999999</v>
      </c>
      <c r="O157" s="2">
        <f t="shared" si="211"/>
        <v>2092.018</v>
      </c>
      <c r="P157" s="2">
        <f t="shared" si="211"/>
        <v>5333.9579999999996</v>
      </c>
      <c r="Q157" s="2">
        <f t="shared" si="211"/>
        <v>8704.9060000000009</v>
      </c>
      <c r="R157" s="2">
        <f t="shared" si="211"/>
        <v>5489.1790000000001</v>
      </c>
      <c r="S157" s="2">
        <f t="shared" si="211"/>
        <v>7781.2070000000003</v>
      </c>
      <c r="T157" s="2">
        <f t="shared" si="211"/>
        <v>10308.130999999999</v>
      </c>
      <c r="U157" s="2">
        <f t="shared" si="211"/>
        <v>21189.673999999999</v>
      </c>
      <c r="V157" s="2">
        <f t="shared" si="211"/>
        <v>23042.027999999998</v>
      </c>
      <c r="W157" s="2">
        <f t="shared" si="211"/>
        <v>28416.556</v>
      </c>
      <c r="X157" s="2">
        <f t="shared" si="211"/>
        <v>30393.166999999998</v>
      </c>
      <c r="Y157" s="2">
        <f t="shared" si="211"/>
        <v>32394.474000000002</v>
      </c>
      <c r="Z157" s="2">
        <f t="shared" si="211"/>
        <v>34441.072999999997</v>
      </c>
      <c r="AA157" s="2">
        <f t="shared" si="211"/>
        <v>37738.745000000003</v>
      </c>
      <c r="AB157" s="2">
        <f t="shared" si="211"/>
        <v>37168.285000000003</v>
      </c>
      <c r="AC157" s="2">
        <f t="shared" si="211"/>
        <v>42139.83</v>
      </c>
      <c r="AD157" s="2">
        <f t="shared" si="211"/>
        <v>46627.909999999996</v>
      </c>
      <c r="AE157" s="2">
        <f t="shared" si="211"/>
        <v>47012.883000000002</v>
      </c>
      <c r="AF157" s="2">
        <f t="shared" ref="AF157:BT157" si="212">AN379+IF(AN380=$F$238,0,AN380)</f>
        <v>58900.826000000001</v>
      </c>
      <c r="AG157" s="2">
        <f t="shared" si="212"/>
        <v>60287.247000000003</v>
      </c>
      <c r="AH157" s="2">
        <f t="shared" si="212"/>
        <v>62360.968999999997</v>
      </c>
      <c r="AI157" s="2">
        <f t="shared" si="212"/>
        <v>63581.68</v>
      </c>
      <c r="AJ157" s="2">
        <f t="shared" si="212"/>
        <v>39253.830073553137</v>
      </c>
      <c r="AK157" s="2">
        <f t="shared" si="212"/>
        <v>37837.52172904629</v>
      </c>
      <c r="AL157" s="2">
        <f t="shared" si="212"/>
        <v>38927.891192526367</v>
      </c>
      <c r="AM157" s="2">
        <f t="shared" si="212"/>
        <v>40078.005191871751</v>
      </c>
      <c r="AN157" s="2">
        <f t="shared" si="212"/>
        <v>42045.805321159496</v>
      </c>
      <c r="AO157" s="2">
        <f t="shared" si="212"/>
        <v>44271.86744861264</v>
      </c>
      <c r="AP157" s="2">
        <f t="shared" si="212"/>
        <v>46782.841222985058</v>
      </c>
      <c r="AQ157" s="2">
        <f t="shared" si="212"/>
        <v>49346.743790722241</v>
      </c>
      <c r="AR157" s="2">
        <f t="shared" si="212"/>
        <v>52055.172053826856</v>
      </c>
      <c r="AS157" s="2">
        <f t="shared" si="212"/>
        <v>54716.382552709125</v>
      </c>
      <c r="AT157" s="2">
        <f t="shared" si="212"/>
        <v>56786.313043086877</v>
      </c>
      <c r="AU157" s="2">
        <f t="shared" si="212"/>
        <v>57274.216077968624</v>
      </c>
      <c r="AV157" s="2">
        <f t="shared" si="212"/>
        <v>56419.22518931223</v>
      </c>
      <c r="AW157" s="2">
        <f t="shared" si="212"/>
        <v>53850.202200831569</v>
      </c>
      <c r="AX157" s="2">
        <f t="shared" si="212"/>
        <v>49368.245945805116</v>
      </c>
      <c r="AY157" s="2">
        <f t="shared" si="212"/>
        <v>43085.36637746726</v>
      </c>
      <c r="AZ157" s="2">
        <f t="shared" si="212"/>
        <v>35507.217031680048</v>
      </c>
      <c r="BA157" s="2">
        <f t="shared" si="212"/>
        <v>27423.679955886048</v>
      </c>
      <c r="BB157" s="2">
        <f t="shared" si="212"/>
        <v>19660.209202982252</v>
      </c>
      <c r="BC157" s="2">
        <f t="shared" si="212"/>
        <v>12835.472754809329</v>
      </c>
      <c r="BD157" s="2">
        <f t="shared" si="212"/>
        <v>7198.2319112780588</v>
      </c>
      <c r="BE157" s="2">
        <f t="shared" si="212"/>
        <v>2793.3089065311488</v>
      </c>
      <c r="BF157" s="2">
        <f t="shared" si="212"/>
        <v>-494.27617779990942</v>
      </c>
      <c r="BG157" s="2">
        <f t="shared" si="212"/>
        <v>-2855.1683672594918</v>
      </c>
      <c r="BH157" s="2">
        <f t="shared" si="212"/>
        <v>-4491.7728168881658</v>
      </c>
      <c r="BI157" s="2">
        <f t="shared" si="212"/>
        <v>-5578.7194369246517</v>
      </c>
      <c r="BJ157" s="2">
        <f t="shared" si="212"/>
        <v>-5337.1759575761153</v>
      </c>
      <c r="BK157" s="2">
        <f t="shared" si="212"/>
        <v>-5071.6289766635755</v>
      </c>
      <c r="BL157" s="2">
        <f t="shared" si="212"/>
        <v>-4786.6924835884474</v>
      </c>
      <c r="BM157" s="2">
        <f t="shared" si="212"/>
        <v>-4471.1913152378083</v>
      </c>
      <c r="BN157" s="2">
        <f t="shared" si="212"/>
        <v>-4116.4821975829273</v>
      </c>
      <c r="BO157" s="2">
        <f t="shared" si="212"/>
        <v>-3799.7546716295356</v>
      </c>
      <c r="BP157" s="2">
        <f t="shared" si="212"/>
        <v>-3478.9969521662651</v>
      </c>
      <c r="BQ157" s="2">
        <f t="shared" si="212"/>
        <v>-3155.3405339233896</v>
      </c>
      <c r="BR157" s="2">
        <f t="shared" si="212"/>
        <v>-2830.9841888259252</v>
      </c>
      <c r="BS157" s="2">
        <f t="shared" si="212"/>
        <v>-2508.8727202824384</v>
      </c>
      <c r="BT157" s="2">
        <f t="shared" si="212"/>
        <v>-2191.7255253772864</v>
      </c>
      <c r="BU157" s="2">
        <f t="shared" ref="BU157:CD157" si="213">CC379+IF(CC380=$F$238,0,CC380)</f>
        <v>-1872.4516092675231</v>
      </c>
      <c r="BV157" s="2">
        <f t="shared" si="213"/>
        <v>-1552.0479983082387</v>
      </c>
      <c r="BW157" s="2">
        <f t="shared" si="213"/>
        <v>-1231.6523296657952</v>
      </c>
      <c r="BX157" s="2">
        <f t="shared" si="213"/>
        <v>-913.26687840988143</v>
      </c>
      <c r="BY157" s="2">
        <f t="shared" si="213"/>
        <v>-596.62066112147568</v>
      </c>
      <c r="BZ157" s="2">
        <f t="shared" si="213"/>
        <v>-286.68436213540554</v>
      </c>
      <c r="CA157" s="2">
        <f t="shared" si="213"/>
        <v>17.523889292088825</v>
      </c>
      <c r="CB157" s="2">
        <f t="shared" si="213"/>
        <v>313.20956234277219</v>
      </c>
      <c r="CC157" s="2">
        <f t="shared" si="213"/>
        <v>598.65535184834516</v>
      </c>
      <c r="CD157" s="2">
        <f t="shared" si="213"/>
        <v>872.21568673759157</v>
      </c>
    </row>
    <row r="158" spans="2:82" s="2" customFormat="1" x14ac:dyDescent="0.2">
      <c r="E158" s="2" t="s">
        <v>90</v>
      </c>
      <c r="F158" s="2" t="s">
        <v>7</v>
      </c>
      <c r="G158" s="2">
        <f t="shared" ref="G158:AL158" si="214">O379</f>
        <v>1</v>
      </c>
      <c r="H158" s="2">
        <f t="shared" si="214"/>
        <v>1</v>
      </c>
      <c r="I158" s="2" t="str">
        <f t="shared" si="214"/>
        <v>emission_co2e_co2_entc_bmass_processing_and_refinement_fp_hydrogen_gasification|emission_co2e_co2_entc_generation_pp_biomass|emission_co2e_co2_frst_forest_fires|emission_co2e_co2_inen_bmass_agriculture_and_livestock|emission_co2e_co2_inen_bmass_cement|emission_co2e_co2_inen_bmass_chemicals|emission_co2e_co2_inen_bmass_electronics|emission_co2e_co2_inen_bmass_glass|emission_co2e_co2_inen_bmass_lime_and_carbonite|emission_co2e_co2_inen_bmass_metals|emission_co2e_co2_inen_bmass_mining|emission_co2e_co2_inen_bmass_other_product_manufacturing|emission_co2e_co2_inen_bmass_paper|emission_co2e_co2_inen_bmass_plastic|emission_co2e_co2_inen_bmass_recycled_glass|emission_co2e_co2_inen_bmass_recycled_metals|emission_co2e_co2_inen_bmass_recycled_paper|emission_co2e_co2_inen_bmass_recycled_plastic|emission_co2e_co2_inen_bmass_recycled_rubber_and_leather|emission_co2e_co2_inen_bmass_recycled_textiles|emission_co2e_co2_inen_bmass_recycled_wood|emission_co2e_co2_inen_bmass_rubber_and_leather|emission_co2e_co2_inen_bmass_textiles|emission_co2e_co2_inen_bmass_wood|emission_co2e_co2_scoe_bmass_commercial_municipal|emission_co2e_co2_scoe_bmass_other_se|emission_co2e_co2_scoe_bmass_residential</v>
      </c>
      <c r="J158" s="2">
        <f t="shared" si="214"/>
        <v>0</v>
      </c>
      <c r="K158" s="2">
        <f t="shared" si="214"/>
        <v>-5899.6840000000002</v>
      </c>
      <c r="L158" s="2">
        <f t="shared" si="214"/>
        <v>-3804.1480000000001</v>
      </c>
      <c r="M158" s="2">
        <f t="shared" si="214"/>
        <v>-5827.3909999999996</v>
      </c>
      <c r="N158" s="2">
        <f t="shared" si="214"/>
        <v>-1027.9469999999999</v>
      </c>
      <c r="O158" s="2">
        <f t="shared" si="214"/>
        <v>2092.018</v>
      </c>
      <c r="P158" s="2">
        <f t="shared" si="214"/>
        <v>5333.9579999999996</v>
      </c>
      <c r="Q158" s="2">
        <f t="shared" si="214"/>
        <v>8704.9060000000009</v>
      </c>
      <c r="R158" s="2">
        <f t="shared" si="214"/>
        <v>5930.1890000000003</v>
      </c>
      <c r="S158" s="2">
        <f t="shared" si="214"/>
        <v>8684.5650000000005</v>
      </c>
      <c r="T158" s="2">
        <f t="shared" si="214"/>
        <v>11593.858</v>
      </c>
      <c r="U158" s="2">
        <f t="shared" si="214"/>
        <v>22733.442999999999</v>
      </c>
      <c r="V158" s="2">
        <f t="shared" si="214"/>
        <v>25062.136999999999</v>
      </c>
      <c r="W158" s="2">
        <f t="shared" si="214"/>
        <v>30893.936000000002</v>
      </c>
      <c r="X158" s="2">
        <f t="shared" si="214"/>
        <v>33340.254999999997</v>
      </c>
      <c r="Y158" s="2">
        <f t="shared" si="214"/>
        <v>35825.004000000001</v>
      </c>
      <c r="Z158" s="2">
        <f t="shared" si="214"/>
        <v>38348.031999999999</v>
      </c>
      <c r="AA158" s="2">
        <f t="shared" si="214"/>
        <v>40902.154000000002</v>
      </c>
      <c r="AB158" s="2">
        <f t="shared" si="214"/>
        <v>43486.574000000001</v>
      </c>
      <c r="AC158" s="2">
        <f t="shared" si="214"/>
        <v>51094.434999999998</v>
      </c>
      <c r="AD158" s="2">
        <f t="shared" si="214"/>
        <v>53805.942999999999</v>
      </c>
      <c r="AE158" s="2">
        <f t="shared" si="214"/>
        <v>56406.758000000002</v>
      </c>
      <c r="AF158" s="2">
        <f t="shared" si="214"/>
        <v>58900.826000000001</v>
      </c>
      <c r="AG158" s="2">
        <f t="shared" si="214"/>
        <v>60287.247000000003</v>
      </c>
      <c r="AH158" s="2">
        <f t="shared" si="214"/>
        <v>62360.968999999997</v>
      </c>
      <c r="AI158" s="2">
        <f t="shared" si="214"/>
        <v>63581.68</v>
      </c>
      <c r="AJ158" s="2">
        <f t="shared" si="214"/>
        <v>50271.264729985131</v>
      </c>
      <c r="AK158" s="2">
        <f t="shared" si="214"/>
        <v>48788.529313923493</v>
      </c>
      <c r="AL158" s="2">
        <f t="shared" si="214"/>
        <v>49811.879694003634</v>
      </c>
      <c r="AM158" s="2">
        <f t="shared" ref="AM158:BR158" si="215">AU379</f>
        <v>50894.530593685056</v>
      </c>
      <c r="AN158" s="2">
        <f t="shared" si="215"/>
        <v>52790.101354365353</v>
      </c>
      <c r="AO158" s="2">
        <f t="shared" si="215"/>
        <v>54953.072750568041</v>
      </c>
      <c r="AP158" s="2">
        <f t="shared" si="215"/>
        <v>57410.92345839506</v>
      </c>
      <c r="AQ158" s="2">
        <f t="shared" si="215"/>
        <v>59929.697881096828</v>
      </c>
      <c r="AR158" s="2">
        <f t="shared" si="215"/>
        <v>62603.492990160157</v>
      </c>
      <c r="AS158" s="2">
        <f t="shared" si="215"/>
        <v>65230.273389987167</v>
      </c>
      <c r="AT158" s="2">
        <f t="shared" si="215"/>
        <v>67268.882176009618</v>
      </c>
      <c r="AU158" s="2">
        <f t="shared" si="215"/>
        <v>67732.497655528903</v>
      </c>
      <c r="AV158" s="2">
        <f t="shared" si="215"/>
        <v>66862.241281601993</v>
      </c>
      <c r="AW158" s="2">
        <f t="shared" si="215"/>
        <v>64288.681351503059</v>
      </c>
      <c r="AX158" s="2">
        <f t="shared" si="215"/>
        <v>59813.341952282681</v>
      </c>
      <c r="AY158" s="2">
        <f t="shared" si="215"/>
        <v>53547.274024048078</v>
      </c>
      <c r="AZ158" s="2">
        <f t="shared" si="215"/>
        <v>45993.825732057921</v>
      </c>
      <c r="BA158" s="2">
        <f t="shared" si="215"/>
        <v>37939.371203595387</v>
      </c>
      <c r="BB158" s="2">
        <f t="shared" si="215"/>
        <v>30204.87062907733</v>
      </c>
      <c r="BC158" s="2">
        <f t="shared" si="215"/>
        <v>23403.766211714708</v>
      </c>
      <c r="BD158" s="2">
        <f t="shared" si="215"/>
        <v>17780.479915872649</v>
      </c>
      <c r="BE158" s="2">
        <f t="shared" si="215"/>
        <v>13375.59171467641</v>
      </c>
      <c r="BF158" s="2">
        <f t="shared" si="215"/>
        <v>10071.87236328393</v>
      </c>
      <c r="BG158" s="2">
        <f t="shared" si="215"/>
        <v>7675.3759301458977</v>
      </c>
      <c r="BH158" s="2">
        <f t="shared" si="215"/>
        <v>5979.5820869711333</v>
      </c>
      <c r="BI158" s="2">
        <f t="shared" si="215"/>
        <v>4803.292548418669</v>
      </c>
      <c r="BJ158" s="2">
        <f t="shared" si="215"/>
        <v>4940.1010245378257</v>
      </c>
      <c r="BK158" s="2">
        <f t="shared" si="215"/>
        <v>5079.8209545220952</v>
      </c>
      <c r="BL158" s="2">
        <f t="shared" si="215"/>
        <v>5222.5758196078932</v>
      </c>
      <c r="BM158" s="2">
        <f t="shared" si="215"/>
        <v>5378.531492759409</v>
      </c>
      <c r="BN158" s="2">
        <f t="shared" si="215"/>
        <v>5556.7592587841646</v>
      </c>
      <c r="BO158" s="2">
        <f t="shared" si="215"/>
        <v>5681.1233253998462</v>
      </c>
      <c r="BP158" s="2">
        <f t="shared" si="215"/>
        <v>5795.1979712180173</v>
      </c>
      <c r="BQ158" s="2">
        <f t="shared" si="215"/>
        <v>5899.5475150996363</v>
      </c>
      <c r="BR158" s="2">
        <f t="shared" si="215"/>
        <v>5993.7949579703691</v>
      </c>
      <c r="BS158" s="2">
        <f t="shared" ref="BS158:CX158" si="216">CA379</f>
        <v>6077.0687821132806</v>
      </c>
      <c r="BT158" s="2">
        <f t="shared" si="216"/>
        <v>6148.690556794686</v>
      </c>
      <c r="BU158" s="2">
        <f t="shared" si="216"/>
        <v>6216.8354668456677</v>
      </c>
      <c r="BV158" s="2">
        <f t="shared" si="216"/>
        <v>6281.6064343605267</v>
      </c>
      <c r="BW158" s="2">
        <f t="shared" si="216"/>
        <v>6343.0836094448323</v>
      </c>
      <c r="BX158" s="2">
        <f t="shared" si="216"/>
        <v>6400.598593738845</v>
      </c>
      <c r="BY158" s="2">
        <f t="shared" si="216"/>
        <v>6456.1423996202348</v>
      </c>
      <c r="BZ158" s="2">
        <f t="shared" si="216"/>
        <v>6507.1576151639156</v>
      </c>
      <c r="CA158" s="2">
        <f t="shared" si="216"/>
        <v>6554.1752346374096</v>
      </c>
      <c r="CB158" s="2">
        <f t="shared" si="216"/>
        <v>6595.6676225740039</v>
      </c>
      <c r="CC158" s="2">
        <f t="shared" si="216"/>
        <v>6631.165510311067</v>
      </c>
      <c r="CD158" s="2">
        <f t="shared" si="216"/>
        <v>6660.1946082185423</v>
      </c>
    </row>
    <row r="159" spans="2:82" s="2" customFormat="1" x14ac:dyDescent="0.2">
      <c r="E159" s="2" t="s">
        <v>91</v>
      </c>
      <c r="F159" s="2" t="s">
        <v>7</v>
      </c>
      <c r="AF159" s="2">
        <f t="shared" ref="AF159:AO160" si="217">AN380</f>
        <v>-99999</v>
      </c>
      <c r="AG159" s="2">
        <f t="shared" si="217"/>
        <v>-99999</v>
      </c>
      <c r="AH159" s="2">
        <f t="shared" si="217"/>
        <v>-99999</v>
      </c>
      <c r="AI159" s="2">
        <f t="shared" si="217"/>
        <v>-99999</v>
      </c>
      <c r="AJ159" s="2">
        <f t="shared" si="217"/>
        <v>-11017.434656431989</v>
      </c>
      <c r="AK159" s="2">
        <f t="shared" si="217"/>
        <v>-10951.007584877199</v>
      </c>
      <c r="AL159" s="2">
        <f t="shared" si="217"/>
        <v>-10883.98850147727</v>
      </c>
      <c r="AM159" s="2">
        <f t="shared" si="217"/>
        <v>-10816.525401813309</v>
      </c>
      <c r="AN159" s="2">
        <f t="shared" si="217"/>
        <v>-10744.296033205859</v>
      </c>
      <c r="AO159" s="2">
        <f t="shared" si="217"/>
        <v>-10681.205301955401</v>
      </c>
      <c r="AP159" s="2">
        <f t="shared" ref="AP159:AY160" si="218">AX380</f>
        <v>-10628.08223541</v>
      </c>
      <c r="AQ159" s="2">
        <f t="shared" si="218"/>
        <v>-10582.954090374589</v>
      </c>
      <c r="AR159" s="2">
        <f t="shared" si="218"/>
        <v>-10548.320936333301</v>
      </c>
      <c r="AS159" s="2">
        <f t="shared" si="218"/>
        <v>-10513.890837278041</v>
      </c>
      <c r="AT159" s="2">
        <f t="shared" si="218"/>
        <v>-10482.569132922739</v>
      </c>
      <c r="AU159" s="2">
        <f t="shared" si="218"/>
        <v>-10458.281577560279</v>
      </c>
      <c r="AV159" s="2">
        <f t="shared" si="218"/>
        <v>-10443.016092289759</v>
      </c>
      <c r="AW159" s="2">
        <f t="shared" si="218"/>
        <v>-10438.47915067149</v>
      </c>
      <c r="AX159" s="2">
        <f t="shared" si="218"/>
        <v>-10445.096006477561</v>
      </c>
      <c r="AY159" s="2">
        <f t="shared" si="218"/>
        <v>-10461.907646580819</v>
      </c>
      <c r="AZ159" s="2">
        <f t="shared" ref="AZ159:BI160" si="219">BH380</f>
        <v>-10486.60870037787</v>
      </c>
      <c r="BA159" s="2">
        <f t="shared" si="219"/>
        <v>-10515.691247709339</v>
      </c>
      <c r="BB159" s="2">
        <f t="shared" si="219"/>
        <v>-10544.661426095079</v>
      </c>
      <c r="BC159" s="2">
        <f t="shared" si="219"/>
        <v>-10568.29345690538</v>
      </c>
      <c r="BD159" s="2">
        <f t="shared" si="219"/>
        <v>-10582.24800459459</v>
      </c>
      <c r="BE159" s="2">
        <f t="shared" si="219"/>
        <v>-10582.282808145261</v>
      </c>
      <c r="BF159" s="2">
        <f t="shared" si="219"/>
        <v>-10566.14854108384</v>
      </c>
      <c r="BG159" s="2">
        <f t="shared" si="219"/>
        <v>-10530.544297405389</v>
      </c>
      <c r="BH159" s="2">
        <f t="shared" si="219"/>
        <v>-10471.354903859299</v>
      </c>
      <c r="BI159" s="2">
        <f t="shared" si="219"/>
        <v>-10382.011985343321</v>
      </c>
      <c r="BJ159" s="2">
        <f t="shared" ref="BJ159:BS160" si="220">BR380</f>
        <v>-10277.276982113941</v>
      </c>
      <c r="BK159" s="2">
        <f t="shared" si="220"/>
        <v>-10151.449931185671</v>
      </c>
      <c r="BL159" s="2">
        <f t="shared" si="220"/>
        <v>-10009.268303196341</v>
      </c>
      <c r="BM159" s="2">
        <f t="shared" si="220"/>
        <v>-9849.7228079972174</v>
      </c>
      <c r="BN159" s="2">
        <f t="shared" si="220"/>
        <v>-9673.2414563670918</v>
      </c>
      <c r="BO159" s="2">
        <f t="shared" si="220"/>
        <v>-9480.8779970293817</v>
      </c>
      <c r="BP159" s="2">
        <f t="shared" si="220"/>
        <v>-9274.1949233842824</v>
      </c>
      <c r="BQ159" s="2">
        <f t="shared" si="220"/>
        <v>-9054.8880490230258</v>
      </c>
      <c r="BR159" s="2">
        <f t="shared" si="220"/>
        <v>-8824.7791467962943</v>
      </c>
      <c r="BS159" s="2">
        <f t="shared" si="220"/>
        <v>-8585.941502395719</v>
      </c>
      <c r="BT159" s="2">
        <f t="shared" ref="BT159:CC160" si="221">CB380</f>
        <v>-8340.4160821719724</v>
      </c>
      <c r="BU159" s="2">
        <f t="shared" si="221"/>
        <v>-8089.2870761131908</v>
      </c>
      <c r="BV159" s="2">
        <f t="shared" si="221"/>
        <v>-7833.6544326687654</v>
      </c>
      <c r="BW159" s="2">
        <f t="shared" si="221"/>
        <v>-7574.7359391106274</v>
      </c>
      <c r="BX159" s="2">
        <f t="shared" si="221"/>
        <v>-7313.8654721487264</v>
      </c>
      <c r="BY159" s="2">
        <f t="shared" si="221"/>
        <v>-7052.7630607417104</v>
      </c>
      <c r="BZ159" s="2">
        <f t="shared" si="221"/>
        <v>-6793.8419772993211</v>
      </c>
      <c r="CA159" s="2">
        <f t="shared" si="221"/>
        <v>-6536.6513453453208</v>
      </c>
      <c r="CB159" s="2">
        <f t="shared" si="221"/>
        <v>-6282.4580602312317</v>
      </c>
      <c r="CC159" s="2">
        <f t="shared" si="221"/>
        <v>-6032.5101584627218</v>
      </c>
      <c r="CD159" s="2">
        <f t="shared" ref="CD159:CM160" si="222">CL380</f>
        <v>-5787.9789214809507</v>
      </c>
    </row>
    <row r="160" spans="2:82" s="2" customFormat="1" x14ac:dyDescent="0.2">
      <c r="E160" s="2" t="s">
        <v>187</v>
      </c>
      <c r="F160" s="2" t="s">
        <v>6</v>
      </c>
      <c r="AF160" s="2">
        <f t="shared" si="217"/>
        <v>-99999</v>
      </c>
      <c r="AG160" s="2">
        <f t="shared" si="217"/>
        <v>-99999</v>
      </c>
      <c r="AH160" s="2">
        <f t="shared" si="217"/>
        <v>-99999</v>
      </c>
      <c r="AI160" s="2">
        <f t="shared" si="217"/>
        <v>-99999</v>
      </c>
      <c r="AJ160" s="2">
        <f t="shared" si="217"/>
        <v>67.882259060734597</v>
      </c>
      <c r="AK160" s="2">
        <f t="shared" si="217"/>
        <v>67.43640165691869</v>
      </c>
      <c r="AL160" s="2">
        <f t="shared" si="217"/>
        <v>66.988035796025201</v>
      </c>
      <c r="AM160" s="2">
        <f t="shared" si="217"/>
        <v>66.538002643286305</v>
      </c>
      <c r="AN160" s="2">
        <f t="shared" si="217"/>
        <v>66.061335954640398</v>
      </c>
      <c r="AO160" s="2">
        <f t="shared" si="217"/>
        <v>65.638299434236501</v>
      </c>
      <c r="AP160" s="2">
        <f t="shared" si="218"/>
        <v>65.273666594727302</v>
      </c>
      <c r="AQ160" s="2">
        <f t="shared" si="218"/>
        <v>64.95605134603511</v>
      </c>
      <c r="AR160" s="2">
        <f t="shared" si="218"/>
        <v>64.700060152118695</v>
      </c>
      <c r="AS160" s="2">
        <f t="shared" si="218"/>
        <v>64.446056656507409</v>
      </c>
      <c r="AT160" s="2">
        <f t="shared" si="218"/>
        <v>64.210803703215404</v>
      </c>
      <c r="AU160" s="2">
        <f t="shared" si="218"/>
        <v>64.016955744573096</v>
      </c>
      <c r="AV160" s="2">
        <f t="shared" si="218"/>
        <v>63.87597900079291</v>
      </c>
      <c r="AW160" s="2">
        <f t="shared" si="218"/>
        <v>63.797714557322003</v>
      </c>
      <c r="AX160" s="2">
        <f t="shared" si="218"/>
        <v>63.784606210186503</v>
      </c>
      <c r="AY160" s="2">
        <f t="shared" si="218"/>
        <v>63.831105568925793</v>
      </c>
      <c r="AZ160" s="2">
        <f t="shared" si="219"/>
        <v>63.923890991688509</v>
      </c>
      <c r="BA160" s="2">
        <f t="shared" si="219"/>
        <v>64.042697937762</v>
      </c>
      <c r="BB160" s="2">
        <f t="shared" si="219"/>
        <v>64.161569629568802</v>
      </c>
      <c r="BC160" s="2">
        <f t="shared" si="219"/>
        <v>64.2503237474846</v>
      </c>
      <c r="BD160" s="2">
        <f t="shared" si="219"/>
        <v>64.283896247799404</v>
      </c>
      <c r="BE160" s="2">
        <f t="shared" si="219"/>
        <v>64.237783835537797</v>
      </c>
      <c r="BF160" s="2">
        <f t="shared" si="219"/>
        <v>64.098989986338609</v>
      </c>
      <c r="BG160" s="2">
        <f t="shared" si="219"/>
        <v>63.848446935512897</v>
      </c>
      <c r="BH160" s="2">
        <f t="shared" si="219"/>
        <v>63.462386225019692</v>
      </c>
      <c r="BI160" s="2">
        <f t="shared" si="219"/>
        <v>62.902876559934697</v>
      </c>
      <c r="BJ160" s="2">
        <f t="shared" si="220"/>
        <v>62.255129709261801</v>
      </c>
      <c r="BK160" s="2">
        <f t="shared" si="220"/>
        <v>61.486207900038202</v>
      </c>
      <c r="BL160" s="2">
        <f t="shared" si="220"/>
        <v>60.623421758977599</v>
      </c>
      <c r="BM160" s="2">
        <f t="shared" si="220"/>
        <v>59.660917837741103</v>
      </c>
      <c r="BN160" s="2">
        <f t="shared" si="220"/>
        <v>58.6011588260031</v>
      </c>
      <c r="BO160" s="2">
        <f t="shared" si="220"/>
        <v>57.450222847980193</v>
      </c>
      <c r="BP160" s="2">
        <f t="shared" si="220"/>
        <v>56.2171258483842</v>
      </c>
      <c r="BQ160" s="2">
        <f t="shared" si="220"/>
        <v>54.9116536990987</v>
      </c>
      <c r="BR160" s="2">
        <f t="shared" si="220"/>
        <v>53.5443049069697</v>
      </c>
      <c r="BS160" s="2">
        <f t="shared" si="220"/>
        <v>52.126977414142488</v>
      </c>
      <c r="BT160" s="2">
        <f t="shared" si="221"/>
        <v>50.671435216866001</v>
      </c>
      <c r="BU160" s="2">
        <f t="shared" si="221"/>
        <v>49.183931365588712</v>
      </c>
      <c r="BV160" s="2">
        <f t="shared" si="221"/>
        <v>47.670711414726902</v>
      </c>
      <c r="BW160" s="2">
        <f t="shared" si="221"/>
        <v>46.138738198604102</v>
      </c>
      <c r="BX160" s="2">
        <f t="shared" si="221"/>
        <v>44.595714681547598</v>
      </c>
      <c r="BY160" s="2">
        <f t="shared" si="221"/>
        <v>43.059621603994302</v>
      </c>
      <c r="BZ160" s="2">
        <f t="shared" si="221"/>
        <v>41.564780063578198</v>
      </c>
      <c r="CA160" s="2">
        <f t="shared" si="221"/>
        <v>40.079929021943101</v>
      </c>
      <c r="CB160" s="2">
        <f t="shared" si="221"/>
        <v>38.6123827069366</v>
      </c>
      <c r="CC160" s="2">
        <f t="shared" si="221"/>
        <v>37.169346467724587</v>
      </c>
      <c r="CD160" s="2">
        <f t="shared" si="222"/>
        <v>35.757582519768498</v>
      </c>
    </row>
    <row r="161" spans="3:82" s="2" customFormat="1" x14ac:dyDescent="0.2">
      <c r="D161" s="2" t="s">
        <v>172</v>
      </c>
      <c r="F161" s="2" t="s">
        <v>7</v>
      </c>
      <c r="G161" s="2">
        <v>0</v>
      </c>
      <c r="H161" s="2">
        <v>0</v>
      </c>
      <c r="I161" s="2">
        <v>0</v>
      </c>
      <c r="J161" s="2">
        <v>0</v>
      </c>
      <c r="K161" s="2">
        <v>0</v>
      </c>
      <c r="L161" s="2">
        <v>0</v>
      </c>
      <c r="M161" s="2">
        <v>0</v>
      </c>
      <c r="N161" s="2">
        <v>0</v>
      </c>
      <c r="O161" s="2">
        <v>0</v>
      </c>
      <c r="P161" s="2">
        <v>0</v>
      </c>
      <c r="Q161" s="2">
        <v>0</v>
      </c>
      <c r="R161" s="5" t="s">
        <v>186</v>
      </c>
      <c r="S161" s="5" t="s">
        <v>182</v>
      </c>
      <c r="T161" s="5" t="s">
        <v>183</v>
      </c>
      <c r="U161" s="5" t="s">
        <v>184</v>
      </c>
      <c r="V161" s="5" t="s">
        <v>185</v>
      </c>
      <c r="W161" s="5" t="s">
        <v>181</v>
      </c>
      <c r="X161" s="5" t="s">
        <v>178</v>
      </c>
      <c r="Y161" s="5" t="s">
        <v>180</v>
      </c>
      <c r="Z161" s="5" t="s">
        <v>179</v>
      </c>
      <c r="AA161" s="5" t="s">
        <v>177</v>
      </c>
      <c r="AB161" s="5" t="s">
        <v>175</v>
      </c>
      <c r="AC161" s="5" t="s">
        <v>176</v>
      </c>
      <c r="AD161" s="5" t="s">
        <v>174</v>
      </c>
      <c r="AE161" s="5" t="s">
        <v>173</v>
      </c>
    </row>
    <row r="162" spans="3:82" s="3" customFormat="1" x14ac:dyDescent="0.2">
      <c r="C162" s="3" t="s">
        <v>93</v>
      </c>
      <c r="G162" s="3">
        <f>SUM(G163:G169)</f>
        <v>2</v>
      </c>
      <c r="H162" s="3">
        <f t="shared" ref="H162:BS162" si="223">SUM(H163:H169)</f>
        <v>2</v>
      </c>
      <c r="I162" s="3">
        <f t="shared" si="223"/>
        <v>0</v>
      </c>
      <c r="J162" s="3">
        <f t="shared" si="223"/>
        <v>0</v>
      </c>
      <c r="K162" s="3">
        <f t="shared" si="223"/>
        <v>19911.946</v>
      </c>
      <c r="L162" s="3">
        <f t="shared" si="223"/>
        <v>20152.966</v>
      </c>
      <c r="M162" s="3">
        <f t="shared" si="223"/>
        <v>26094.548999999999</v>
      </c>
      <c r="N162" s="3">
        <f t="shared" si="223"/>
        <v>20972.307000000001</v>
      </c>
      <c r="O162" s="3">
        <f t="shared" si="223"/>
        <v>26104.366999999998</v>
      </c>
      <c r="P162" s="3">
        <f t="shared" si="223"/>
        <v>20253.254000000001</v>
      </c>
      <c r="Q162" s="3">
        <f t="shared" si="223"/>
        <v>22881.858</v>
      </c>
      <c r="R162" s="3">
        <f t="shared" si="223"/>
        <v>19280.191999999999</v>
      </c>
      <c r="S162" s="3">
        <f t="shared" si="223"/>
        <v>18841.102999999999</v>
      </c>
      <c r="T162" s="3">
        <f t="shared" si="223"/>
        <v>13918.145</v>
      </c>
      <c r="U162" s="3">
        <f t="shared" si="223"/>
        <v>3038.451</v>
      </c>
      <c r="V162" s="3">
        <f t="shared" si="223"/>
        <v>11452.724999999999</v>
      </c>
      <c r="W162" s="3">
        <f t="shared" si="223"/>
        <v>3251.2539999999999</v>
      </c>
      <c r="X162" s="3">
        <f t="shared" si="223"/>
        <v>3508.5429999999997</v>
      </c>
      <c r="Y162" s="3">
        <f t="shared" si="223"/>
        <v>3076.7849999999999</v>
      </c>
      <c r="Z162" s="3">
        <f t="shared" si="223"/>
        <v>3111.3440000000001</v>
      </c>
      <c r="AA162" s="3">
        <f t="shared" si="223"/>
        <v>3145.4959999999996</v>
      </c>
      <c r="AB162" s="3">
        <f t="shared" si="223"/>
        <v>3375.2089999999998</v>
      </c>
      <c r="AC162" s="3">
        <f t="shared" si="223"/>
        <v>3254.8379999999997</v>
      </c>
      <c r="AD162" s="3">
        <f t="shared" si="223"/>
        <v>3293.0320000000002</v>
      </c>
      <c r="AE162" s="3">
        <f t="shared" si="223"/>
        <v>-362.89799999999997</v>
      </c>
      <c r="AF162" s="3">
        <f t="shared" si="223"/>
        <v>-397264.94199999998</v>
      </c>
      <c r="AG162" s="3">
        <f t="shared" si="223"/>
        <v>-398000.38699999999</v>
      </c>
      <c r="AH162" s="3">
        <f t="shared" si="223"/>
        <v>-398051.73300000001</v>
      </c>
      <c r="AI162" s="3">
        <f t="shared" si="223"/>
        <v>-398498.66700000002</v>
      </c>
      <c r="AJ162" s="3">
        <f t="shared" si="223"/>
        <v>4699.5813472219997</v>
      </c>
      <c r="AK162" s="3">
        <f t="shared" si="223"/>
        <v>4665.1572100006151</v>
      </c>
      <c r="AL162" s="3">
        <f t="shared" si="223"/>
        <v>4630.9100946374465</v>
      </c>
      <c r="AM162" s="3">
        <f t="shared" si="223"/>
        <v>4725.9251355705883</v>
      </c>
      <c r="AN162" s="3">
        <f t="shared" si="223"/>
        <v>5000.0405668738313</v>
      </c>
      <c r="AO162" s="3">
        <f t="shared" si="223"/>
        <v>5269.4148558067009</v>
      </c>
      <c r="AP162" s="3">
        <f t="shared" si="223"/>
        <v>5695.1452287588136</v>
      </c>
      <c r="AQ162" s="3">
        <f t="shared" si="223"/>
        <v>5827.3612837833989</v>
      </c>
      <c r="AR162" s="3">
        <f t="shared" si="223"/>
        <v>5708.1396201511279</v>
      </c>
      <c r="AS162" s="3">
        <f t="shared" si="223"/>
        <v>5482.7004375936904</v>
      </c>
      <c r="AT162" s="3">
        <f t="shared" si="223"/>
        <v>5123.5244170883498</v>
      </c>
      <c r="AU162" s="3">
        <f t="shared" si="223"/>
        <v>4676.7051369983947</v>
      </c>
      <c r="AV162" s="3">
        <f t="shared" si="223"/>
        <v>4172.8700936451314</v>
      </c>
      <c r="AW162" s="3">
        <f t="shared" si="223"/>
        <v>3656.726105872368</v>
      </c>
      <c r="AX162" s="3">
        <f t="shared" si="223"/>
        <v>3175.0381150331796</v>
      </c>
      <c r="AY162" s="3">
        <f t="shared" si="223"/>
        <v>2774.0120711119853</v>
      </c>
      <c r="AZ162" s="3">
        <f t="shared" si="223"/>
        <v>2496.9858809776538</v>
      </c>
      <c r="BA162" s="3">
        <f t="shared" si="223"/>
        <v>2382.3225127210239</v>
      </c>
      <c r="BB162" s="3">
        <f t="shared" si="223"/>
        <v>2461.2825025743473</v>
      </c>
      <c r="BC162" s="3">
        <f t="shared" si="223"/>
        <v>2712.7746437962765</v>
      </c>
      <c r="BD162" s="3">
        <f t="shared" si="223"/>
        <v>3136.4216965439405</v>
      </c>
      <c r="BE162" s="3">
        <f t="shared" si="223"/>
        <v>3655.4635278947753</v>
      </c>
      <c r="BF162" s="3">
        <f t="shared" si="223"/>
        <v>4306.1133628538473</v>
      </c>
      <c r="BG162" s="3">
        <f t="shared" si="223"/>
        <v>5061.4025099230794</v>
      </c>
      <c r="BH162" s="3">
        <f t="shared" si="223"/>
        <v>5883.4846907378069</v>
      </c>
      <c r="BI162" s="3">
        <f t="shared" si="223"/>
        <v>6835.8434313345697</v>
      </c>
      <c r="BJ162" s="3">
        <f t="shared" si="223"/>
        <v>8299.4658302757216</v>
      </c>
      <c r="BK162" s="3">
        <f t="shared" si="223"/>
        <v>8911.2688997109744</v>
      </c>
      <c r="BL162" s="3">
        <f t="shared" si="223"/>
        <v>9686.9927881297808</v>
      </c>
      <c r="BM162" s="3">
        <f t="shared" si="223"/>
        <v>10436.644557133646</v>
      </c>
      <c r="BN162" s="3">
        <f t="shared" si="223"/>
        <v>11109.471661381629</v>
      </c>
      <c r="BO162" s="3">
        <f t="shared" si="223"/>
        <v>11690.519326692514</v>
      </c>
      <c r="BP162" s="3">
        <f t="shared" si="223"/>
        <v>12172.383806732707</v>
      </c>
      <c r="BQ162" s="3">
        <f t="shared" si="223"/>
        <v>12540.518420147282</v>
      </c>
      <c r="BR162" s="3">
        <f t="shared" si="223"/>
        <v>12769.069342297016</v>
      </c>
      <c r="BS162" s="3">
        <f t="shared" si="223"/>
        <v>12887.121454787566</v>
      </c>
      <c r="BT162" s="3">
        <f t="shared" ref="BT162:CD162" si="224">SUM(BT163:BT169)</f>
        <v>12950.58497273755</v>
      </c>
      <c r="BU162" s="3">
        <f t="shared" si="224"/>
        <v>12917.262183683202</v>
      </c>
      <c r="BV162" s="3">
        <f t="shared" si="224"/>
        <v>12802.710920298019</v>
      </c>
      <c r="BW162" s="3">
        <f t="shared" si="224"/>
        <v>12638.345481619974</v>
      </c>
      <c r="BX162" s="3">
        <f t="shared" si="224"/>
        <v>12064.841739947082</v>
      </c>
      <c r="BY162" s="3">
        <f t="shared" si="224"/>
        <v>10517.110119688166</v>
      </c>
      <c r="BZ162" s="3">
        <f t="shared" si="224"/>
        <v>10252.263387444664</v>
      </c>
      <c r="CA162" s="3">
        <f t="shared" si="224"/>
        <v>9960.367313293802</v>
      </c>
      <c r="CB162" s="3">
        <f t="shared" si="224"/>
        <v>9645.170759980123</v>
      </c>
      <c r="CC162" s="3">
        <f t="shared" si="224"/>
        <v>9311.8419608810182</v>
      </c>
      <c r="CD162" s="3">
        <f t="shared" si="224"/>
        <v>10643.418318760696</v>
      </c>
    </row>
    <row r="163" spans="3:82" s="2" customFormat="1" x14ac:dyDescent="0.2">
      <c r="D163" s="2" t="s">
        <v>188</v>
      </c>
      <c r="F163" s="2" t="s">
        <v>7</v>
      </c>
      <c r="G163" s="2">
        <f t="shared" ref="G163" si="225">O382</f>
        <v>1</v>
      </c>
      <c r="H163" s="2">
        <f t="shared" ref="H163:AM163" si="226">P382</f>
        <v>1</v>
      </c>
      <c r="I163" s="2" t="str">
        <f t="shared" si="226"/>
        <v>emission_co2e_co2_agrc_biomass_bevs_and_spices|emission_co2e_co2_agrc_biomass_fruits|emission_co2e_co2_agrc_biomass_nuts|emission_co2e_co2_agrc_biomass_other_woody_perennial|emission_co2e_co2_lndu_conversion_croplands_to_croplands|emission_co2e_co2_lndu_drained_organic_soils_croplands</v>
      </c>
      <c r="J163" s="2">
        <f t="shared" si="226"/>
        <v>0</v>
      </c>
      <c r="K163" s="2">
        <f t="shared" si="226"/>
        <v>6958.0140000000001</v>
      </c>
      <c r="L163" s="2">
        <f t="shared" si="226"/>
        <v>6958.0140000000001</v>
      </c>
      <c r="M163" s="2">
        <f t="shared" si="226"/>
        <v>6958.0140000000001</v>
      </c>
      <c r="N163" s="2">
        <f t="shared" si="226"/>
        <v>6957.317</v>
      </c>
      <c r="O163" s="2">
        <f t="shared" si="226"/>
        <v>6956.1949999999997</v>
      </c>
      <c r="P163" s="2">
        <f t="shared" si="226"/>
        <v>6953.7550000000001</v>
      </c>
      <c r="Q163" s="2">
        <f t="shared" si="226"/>
        <v>6953.567</v>
      </c>
      <c r="R163" s="2">
        <f t="shared" si="226"/>
        <v>6958.8069999999998</v>
      </c>
      <c r="S163" s="2">
        <f t="shared" si="226"/>
        <v>6959.6009999999997</v>
      </c>
      <c r="T163" s="2">
        <f t="shared" si="226"/>
        <v>417.49799999999999</v>
      </c>
      <c r="U163" s="2">
        <f t="shared" si="226"/>
        <v>414.6</v>
      </c>
      <c r="V163" s="2">
        <f t="shared" si="226"/>
        <v>6914.9939999999997</v>
      </c>
      <c r="W163" s="2">
        <f t="shared" si="226"/>
        <v>330.49</v>
      </c>
      <c r="X163" s="2">
        <f t="shared" si="226"/>
        <v>287.97199999999998</v>
      </c>
      <c r="Y163" s="2">
        <f t="shared" si="226"/>
        <v>246.53899999999999</v>
      </c>
      <c r="Z163" s="2">
        <f t="shared" si="226"/>
        <v>204.37299999999999</v>
      </c>
      <c r="AA163" s="2">
        <f t="shared" si="226"/>
        <v>203.65299999999999</v>
      </c>
      <c r="AB163" s="2">
        <f t="shared" si="226"/>
        <v>278.17200000000003</v>
      </c>
      <c r="AC163" s="2">
        <f t="shared" si="226"/>
        <v>278.60599999999999</v>
      </c>
      <c r="AD163" s="2">
        <f t="shared" si="226"/>
        <v>493.57</v>
      </c>
      <c r="AE163" s="2">
        <f t="shared" si="226"/>
        <v>396.42500000000001</v>
      </c>
      <c r="AF163" s="2">
        <f t="shared" si="226"/>
        <v>533.36800000000005</v>
      </c>
      <c r="AG163" s="2">
        <f t="shared" si="226"/>
        <v>169.512</v>
      </c>
      <c r="AH163" s="2">
        <f t="shared" si="226"/>
        <v>61.962000000000003</v>
      </c>
      <c r="AI163" s="2">
        <f t="shared" si="226"/>
        <v>6.2290000000000001</v>
      </c>
      <c r="AJ163" s="2">
        <f t="shared" si="226"/>
        <v>25.996402034732959</v>
      </c>
      <c r="AK163" s="2">
        <f t="shared" si="226"/>
        <v>26.75635076611897</v>
      </c>
      <c r="AL163" s="2">
        <f t="shared" si="226"/>
        <v>27.581984575257859</v>
      </c>
      <c r="AM163" s="2">
        <f t="shared" si="226"/>
        <v>28.470680084033109</v>
      </c>
      <c r="AN163" s="2">
        <f t="shared" ref="AN163:BS163" si="227">AV382</f>
        <v>29.43808333767495</v>
      </c>
      <c r="AO163" s="2">
        <f t="shared" si="227"/>
        <v>30.51395459622864</v>
      </c>
      <c r="AP163" s="2">
        <f t="shared" si="227"/>
        <v>31.698600304600141</v>
      </c>
      <c r="AQ163" s="2">
        <f t="shared" si="227"/>
        <v>33.006564089165387</v>
      </c>
      <c r="AR163" s="2">
        <f t="shared" si="227"/>
        <v>34.477259461808437</v>
      </c>
      <c r="AS163" s="2">
        <f t="shared" si="227"/>
        <v>35.966548836564257</v>
      </c>
      <c r="AT163" s="2">
        <f t="shared" si="227"/>
        <v>37.432321707019739</v>
      </c>
      <c r="AU163" s="2">
        <f t="shared" si="227"/>
        <v>38.838574640558797</v>
      </c>
      <c r="AV163" s="2">
        <f t="shared" si="227"/>
        <v>40.158624949033907</v>
      </c>
      <c r="AW163" s="2">
        <f t="shared" si="227"/>
        <v>41.37211160450412</v>
      </c>
      <c r="AX163" s="2">
        <f t="shared" si="227"/>
        <v>42.469127686248449</v>
      </c>
      <c r="AY163" s="2">
        <f t="shared" si="227"/>
        <v>43.451967407041352</v>
      </c>
      <c r="AZ163" s="2">
        <f t="shared" si="227"/>
        <v>44.336335684123277</v>
      </c>
      <c r="BA163" s="2">
        <f t="shared" si="227"/>
        <v>45.152000997326738</v>
      </c>
      <c r="BB163" s="2">
        <f t="shared" si="227"/>
        <v>45.942726782923472</v>
      </c>
      <c r="BC163" s="2">
        <f t="shared" si="227"/>
        <v>46.765236903938707</v>
      </c>
      <c r="BD163" s="2">
        <f t="shared" si="227"/>
        <v>47.673426365899807</v>
      </c>
      <c r="BE163" s="2">
        <f t="shared" si="227"/>
        <v>48.724102654861568</v>
      </c>
      <c r="BF163" s="2">
        <f t="shared" si="227"/>
        <v>49.951413841723458</v>
      </c>
      <c r="BG163" s="2">
        <f t="shared" si="227"/>
        <v>51.40253701516658</v>
      </c>
      <c r="BH163" s="2">
        <f t="shared" si="227"/>
        <v>53.116738843178801</v>
      </c>
      <c r="BI163" s="2">
        <f t="shared" si="227"/>
        <v>55.120551331870431</v>
      </c>
      <c r="BJ163" s="2">
        <f t="shared" si="227"/>
        <v>57.467508314073612</v>
      </c>
      <c r="BK163" s="2">
        <f t="shared" si="227"/>
        <v>60.696996808396847</v>
      </c>
      <c r="BL163" s="2">
        <f t="shared" si="227"/>
        <v>64.579123379670818</v>
      </c>
      <c r="BM163" s="2">
        <f t="shared" si="227"/>
        <v>68.707088606215009</v>
      </c>
      <c r="BN163" s="2">
        <f t="shared" si="227"/>
        <v>73.074360049650736</v>
      </c>
      <c r="BO163" s="2">
        <f t="shared" si="227"/>
        <v>77.669831883395275</v>
      </c>
      <c r="BP163" s="2">
        <f t="shared" si="227"/>
        <v>82.47901269581601</v>
      </c>
      <c r="BQ163" s="2">
        <f t="shared" si="227"/>
        <v>87.48533368327648</v>
      </c>
      <c r="BR163" s="2">
        <f t="shared" si="227"/>
        <v>92.669361556415652</v>
      </c>
      <c r="BS163" s="2">
        <f t="shared" si="227"/>
        <v>98.010406225985946</v>
      </c>
      <c r="BT163" s="2">
        <f t="shared" ref="BT163:CY163" si="228">CB382</f>
        <v>103.48750395352241</v>
      </c>
      <c r="BU163" s="2">
        <f t="shared" si="228"/>
        <v>109.0977422277992</v>
      </c>
      <c r="BV163" s="2">
        <f t="shared" si="228"/>
        <v>114.8408316663903</v>
      </c>
      <c r="BW163" s="2">
        <f t="shared" si="228"/>
        <v>120.7167988033946</v>
      </c>
      <c r="BX163" s="2">
        <f t="shared" si="228"/>
        <v>126.7253687826651</v>
      </c>
      <c r="BY163" s="2">
        <f t="shared" si="228"/>
        <v>132.8801109151259</v>
      </c>
      <c r="BZ163" s="2">
        <f t="shared" si="228"/>
        <v>139.21144970598459</v>
      </c>
      <c r="CA163" s="2">
        <f t="shared" si="228"/>
        <v>145.69687062486341</v>
      </c>
      <c r="CB163" s="2">
        <f t="shared" si="228"/>
        <v>152.3457413594615</v>
      </c>
      <c r="CC163" s="2">
        <f t="shared" si="228"/>
        <v>159.16796558419961</v>
      </c>
      <c r="CD163" s="2">
        <f t="shared" si="228"/>
        <v>166.17479145164589</v>
      </c>
    </row>
    <row r="164" spans="3:82" s="2" customFormat="1" x14ac:dyDescent="0.2">
      <c r="D164" s="2" t="s">
        <v>97</v>
      </c>
    </row>
    <row r="165" spans="3:82" s="2" customFormat="1" x14ac:dyDescent="0.2">
      <c r="E165" s="2" t="s">
        <v>98</v>
      </c>
      <c r="F165" s="2" t="s">
        <v>7</v>
      </c>
      <c r="G165" s="2">
        <f t="shared" ref="G165:AL165" si="229">O383</f>
        <v>1</v>
      </c>
      <c r="H165" s="2">
        <f t="shared" si="229"/>
        <v>1</v>
      </c>
      <c r="I165" s="2" t="str">
        <f t="shared" si="229"/>
        <v>emission_co2e_co2_lndu_conversion_forests_mangroves_to_croplands|emission_co2e_co2_lndu_conversion_forests_primary_to_croplands|emission_co2e_co2_lndu_conversion_forests_secondary_to_croplands</v>
      </c>
      <c r="J165" s="2">
        <f t="shared" si="229"/>
        <v>0</v>
      </c>
      <c r="K165" s="2">
        <f t="shared" si="229"/>
        <v>12953.932000000001</v>
      </c>
      <c r="L165" s="2">
        <f t="shared" si="229"/>
        <v>13194.951999999999</v>
      </c>
      <c r="M165" s="2">
        <f t="shared" si="229"/>
        <v>19136.535</v>
      </c>
      <c r="N165" s="2">
        <f t="shared" si="229"/>
        <v>14014.99</v>
      </c>
      <c r="O165" s="2">
        <f t="shared" si="229"/>
        <v>19148.171999999999</v>
      </c>
      <c r="P165" s="2">
        <f t="shared" si="229"/>
        <v>13299.499</v>
      </c>
      <c r="Q165" s="2">
        <f t="shared" si="229"/>
        <v>15928.290999999999</v>
      </c>
      <c r="R165" s="2">
        <f t="shared" si="229"/>
        <v>12321.385</v>
      </c>
      <c r="S165" s="2">
        <f t="shared" si="229"/>
        <v>11881.502</v>
      </c>
      <c r="T165" s="2">
        <f t="shared" si="229"/>
        <v>13500.647000000001</v>
      </c>
      <c r="U165" s="2">
        <f t="shared" si="229"/>
        <v>2623.8510000000001</v>
      </c>
      <c r="V165" s="2">
        <f t="shared" si="229"/>
        <v>4537.7309999999998</v>
      </c>
      <c r="W165" s="2">
        <f t="shared" si="229"/>
        <v>2920.7640000000001</v>
      </c>
      <c r="X165" s="2">
        <f t="shared" si="229"/>
        <v>3220.5709999999999</v>
      </c>
      <c r="Y165" s="2">
        <f t="shared" si="229"/>
        <v>2830.2460000000001</v>
      </c>
      <c r="Z165" s="2">
        <f t="shared" si="229"/>
        <v>2906.971</v>
      </c>
      <c r="AA165" s="2">
        <f t="shared" si="229"/>
        <v>2941.8429999999998</v>
      </c>
      <c r="AB165" s="2">
        <f t="shared" si="229"/>
        <v>3097.0369999999998</v>
      </c>
      <c r="AC165" s="2">
        <f t="shared" si="229"/>
        <v>2976.232</v>
      </c>
      <c r="AD165" s="2">
        <f t="shared" si="229"/>
        <v>2799.462</v>
      </c>
      <c r="AE165" s="2">
        <f t="shared" si="229"/>
        <v>-759.32299999999998</v>
      </c>
      <c r="AF165" s="2">
        <f t="shared" si="229"/>
        <v>2197.69</v>
      </c>
      <c r="AG165" s="2">
        <f t="shared" si="229"/>
        <v>1826.1010000000001</v>
      </c>
      <c r="AH165" s="2">
        <f t="shared" si="229"/>
        <v>1882.3050000000001</v>
      </c>
      <c r="AI165" s="2">
        <f t="shared" si="229"/>
        <v>1491.104</v>
      </c>
      <c r="AJ165" s="2">
        <f t="shared" si="229"/>
        <v>4538.2590386914044</v>
      </c>
      <c r="AK165" s="2">
        <f t="shared" si="229"/>
        <v>4506.7854357738252</v>
      </c>
      <c r="AL165" s="2">
        <f t="shared" si="229"/>
        <v>4475.1959995171846</v>
      </c>
      <c r="AM165" s="2">
        <f t="shared" ref="AM165:BR165" si="230">AU383</f>
        <v>4571.8316466769511</v>
      </c>
      <c r="AN165" s="2">
        <f t="shared" si="230"/>
        <v>4845.691013401266</v>
      </c>
      <c r="AO165" s="2">
        <f t="shared" si="230"/>
        <v>5114.2183659429811</v>
      </c>
      <c r="AP165" s="2">
        <f t="shared" si="230"/>
        <v>5539.1944465280094</v>
      </c>
      <c r="AQ165" s="2">
        <f t="shared" si="230"/>
        <v>5665.9224459842681</v>
      </c>
      <c r="AR165" s="2">
        <f t="shared" si="230"/>
        <v>5546.9850563573764</v>
      </c>
      <c r="AS165" s="2">
        <f t="shared" si="230"/>
        <v>5322.6143936496728</v>
      </c>
      <c r="AT165" s="2">
        <f t="shared" si="230"/>
        <v>4965.4479413632307</v>
      </c>
      <c r="AU165" s="2">
        <f t="shared" si="230"/>
        <v>4521.2390975858279</v>
      </c>
      <c r="AV165" s="2">
        <f t="shared" si="230"/>
        <v>4020.1349098136302</v>
      </c>
      <c r="AW165" s="2">
        <f t="shared" si="230"/>
        <v>3506.4820745900629</v>
      </c>
      <c r="AX165" s="2">
        <f t="shared" si="230"/>
        <v>3026.6985856175061</v>
      </c>
      <c r="AY165" s="2">
        <f t="shared" si="230"/>
        <v>2626.6886820204882</v>
      </c>
      <c r="AZ165" s="2">
        <f t="shared" si="230"/>
        <v>2349.5455886969421</v>
      </c>
      <c r="BA165" s="2">
        <f t="shared" si="230"/>
        <v>2233.4503787517451</v>
      </c>
      <c r="BB165" s="2">
        <f t="shared" si="230"/>
        <v>2309.5488909203941</v>
      </c>
      <c r="BC165" s="2">
        <f t="shared" si="230"/>
        <v>2557.0470028021218</v>
      </c>
      <c r="BD165" s="2">
        <f t="shared" si="230"/>
        <v>2975.6611190661729</v>
      </c>
      <c r="BE165" s="2">
        <f t="shared" si="230"/>
        <v>3489.30912429706</v>
      </c>
      <c r="BF165" s="2">
        <f t="shared" si="230"/>
        <v>4133.9365378068687</v>
      </c>
      <c r="BG165" s="2">
        <f t="shared" si="230"/>
        <v>4882.9335776480657</v>
      </c>
      <c r="BH165" s="2">
        <f t="shared" si="230"/>
        <v>5698.8463044033524</v>
      </c>
      <c r="BI165" s="2">
        <f t="shared" si="230"/>
        <v>6645.7313341463923</v>
      </c>
      <c r="BJ165" s="2">
        <f t="shared" si="230"/>
        <v>8098.9253492286616</v>
      </c>
      <c r="BK165" s="2">
        <f t="shared" si="230"/>
        <v>8693.8552381294885</v>
      </c>
      <c r="BL165" s="2">
        <f t="shared" si="230"/>
        <v>9451.3059764166483</v>
      </c>
      <c r="BM165" s="2">
        <f t="shared" si="230"/>
        <v>10183.01676348657</v>
      </c>
      <c r="BN165" s="2">
        <f t="shared" si="230"/>
        <v>10838.77115340875</v>
      </c>
      <c r="BO165" s="2">
        <f t="shared" si="230"/>
        <v>11403.083079591081</v>
      </c>
      <c r="BP165" s="2">
        <f t="shared" si="230"/>
        <v>11868.607913870181</v>
      </c>
      <c r="BQ165" s="2">
        <f t="shared" si="230"/>
        <v>12220.90473708583</v>
      </c>
      <c r="BR165" s="2">
        <f t="shared" si="230"/>
        <v>12434.141074595171</v>
      </c>
      <c r="BS165" s="2">
        <f t="shared" ref="BS165:CX165" si="231">CA383</f>
        <v>12537.381172880459</v>
      </c>
      <c r="BT165" s="2">
        <f t="shared" ref="BT165:CD168" si="232">CB383</f>
        <v>12585.63853940363</v>
      </c>
      <c r="BU165" s="2">
        <f t="shared" si="232"/>
        <v>12536.581077635959</v>
      </c>
      <c r="BV165" s="2">
        <f t="shared" si="232"/>
        <v>12405.74189245243</v>
      </c>
      <c r="BW165" s="2">
        <f t="shared" si="232"/>
        <v>12224.5330362489</v>
      </c>
      <c r="BX165" s="2">
        <f t="shared" si="232"/>
        <v>11633.03294674971</v>
      </c>
      <c r="BY165" s="2">
        <f t="shared" si="232"/>
        <v>10065.7108145804</v>
      </c>
      <c r="BZ165" s="2">
        <f t="shared" si="232"/>
        <v>9781.5364390486902</v>
      </c>
      <c r="CA165" s="2">
        <f t="shared" si="232"/>
        <v>9469.2885619305398</v>
      </c>
      <c r="CB165" s="2">
        <f t="shared" si="232"/>
        <v>9132.7273491575907</v>
      </c>
      <c r="CC165" s="2">
        <f t="shared" si="232"/>
        <v>8777.0171285018605</v>
      </c>
      <c r="CD165" s="2">
        <f t="shared" si="232"/>
        <v>10094.1267739388</v>
      </c>
    </row>
    <row r="166" spans="3:82" s="2" customFormat="1" x14ac:dyDescent="0.2">
      <c r="E166" s="2" t="s">
        <v>100</v>
      </c>
      <c r="F166" s="2" t="s">
        <v>7</v>
      </c>
      <c r="AF166" s="2">
        <f t="shared" ref="AF166:BS169" si="233">AN384</f>
        <v>-99999</v>
      </c>
      <c r="AG166" s="2">
        <f t="shared" si="233"/>
        <v>-99999</v>
      </c>
      <c r="AH166" s="2">
        <f t="shared" si="233"/>
        <v>-99999</v>
      </c>
      <c r="AI166" s="2">
        <f t="shared" si="233"/>
        <v>-99999</v>
      </c>
      <c r="AJ166" s="2">
        <f t="shared" si="233"/>
        <v>68.933732862074493</v>
      </c>
      <c r="AK166" s="2">
        <f t="shared" si="233"/>
        <v>68.099612582769097</v>
      </c>
      <c r="AL166" s="2">
        <f t="shared" si="233"/>
        <v>67.3455770949124</v>
      </c>
      <c r="AM166" s="2">
        <f t="shared" si="233"/>
        <v>67.254804754474208</v>
      </c>
      <c r="AN166" s="2">
        <f t="shared" si="233"/>
        <v>68.306159578939699</v>
      </c>
      <c r="AO166" s="2">
        <f t="shared" si="233"/>
        <v>69.334615187731998</v>
      </c>
      <c r="AP166" s="2">
        <f t="shared" si="233"/>
        <v>69.500058697495803</v>
      </c>
      <c r="AQ166" s="2">
        <f t="shared" si="233"/>
        <v>68.342255166487405</v>
      </c>
      <c r="AR166" s="2">
        <f t="shared" si="233"/>
        <v>67.192047591427894</v>
      </c>
      <c r="AS166" s="2">
        <f t="shared" si="233"/>
        <v>65.440953448328898</v>
      </c>
      <c r="AT166" s="2">
        <f t="shared" si="233"/>
        <v>62.887000773501313</v>
      </c>
      <c r="AU166" s="2">
        <f t="shared" si="233"/>
        <v>59.714889015969902</v>
      </c>
      <c r="AV166" s="2">
        <f t="shared" si="233"/>
        <v>56.244892488078897</v>
      </c>
      <c r="AW166" s="2">
        <f t="shared" si="233"/>
        <v>52.764964403863097</v>
      </c>
      <c r="AX166" s="2">
        <f t="shared" si="233"/>
        <v>49.582479755707503</v>
      </c>
      <c r="AY166" s="2">
        <f t="shared" si="233"/>
        <v>46.989426378182912</v>
      </c>
      <c r="AZ166" s="2">
        <f t="shared" si="233"/>
        <v>45.242006324459297</v>
      </c>
      <c r="BA166" s="2">
        <f t="shared" si="233"/>
        <v>44.547257253701602</v>
      </c>
      <c r="BB166" s="2">
        <f t="shared" si="233"/>
        <v>45.056275416292301</v>
      </c>
      <c r="BC166" s="2">
        <f t="shared" si="233"/>
        <v>46.606333718419293</v>
      </c>
      <c r="BD166" s="2">
        <f t="shared" si="233"/>
        <v>49.175382762890507</v>
      </c>
      <c r="BE166" s="2">
        <f t="shared" si="233"/>
        <v>52.313013026765603</v>
      </c>
      <c r="BF166" s="2">
        <f t="shared" si="233"/>
        <v>56.259365246526599</v>
      </c>
      <c r="BG166" s="2">
        <f t="shared" si="233"/>
        <v>60.794336144879999</v>
      </c>
      <c r="BH166" s="2">
        <f t="shared" si="233"/>
        <v>65.6188198777173</v>
      </c>
      <c r="BI166" s="2">
        <f t="shared" si="233"/>
        <v>69.761715027019193</v>
      </c>
      <c r="BJ166" s="2">
        <f t="shared" si="233"/>
        <v>75.244110216917505</v>
      </c>
      <c r="BK166" s="2">
        <f t="shared" si="233"/>
        <v>85.251160348412</v>
      </c>
      <c r="BL166" s="2">
        <f t="shared" si="233"/>
        <v>96.804051754134207</v>
      </c>
      <c r="BM166" s="2">
        <f t="shared" si="233"/>
        <v>108.48689176834969</v>
      </c>
      <c r="BN166" s="2">
        <f t="shared" si="233"/>
        <v>120.3660639896338</v>
      </c>
      <c r="BO166" s="2">
        <f t="shared" si="233"/>
        <v>132.2641937202533</v>
      </c>
      <c r="BP166" s="2">
        <f t="shared" si="233"/>
        <v>144.07627213507959</v>
      </c>
      <c r="BQ166" s="2">
        <f t="shared" si="233"/>
        <v>155.67017650138891</v>
      </c>
      <c r="BR166" s="2">
        <f t="shared" si="233"/>
        <v>166.97425319900569</v>
      </c>
      <c r="BS166" s="2">
        <f t="shared" si="233"/>
        <v>177.9672349037937</v>
      </c>
      <c r="BT166" s="2">
        <f t="shared" si="232"/>
        <v>189.34784491299101</v>
      </c>
      <c r="BU166" s="2">
        <f t="shared" si="232"/>
        <v>201.2292855004923</v>
      </c>
      <c r="BV166" s="2">
        <f t="shared" si="232"/>
        <v>213.63398376082159</v>
      </c>
      <c r="BW166" s="2">
        <f t="shared" si="232"/>
        <v>226.5640361023847</v>
      </c>
      <c r="BX166" s="2">
        <f t="shared" si="232"/>
        <v>240.530929893353</v>
      </c>
      <c r="BY166" s="2">
        <f t="shared" si="232"/>
        <v>256.14780817573552</v>
      </c>
      <c r="BZ166" s="2">
        <f t="shared" si="232"/>
        <v>271.513450591447</v>
      </c>
      <c r="CA166" s="2">
        <f t="shared" si="232"/>
        <v>287.75058613988898</v>
      </c>
      <c r="CB166" s="2">
        <f t="shared" si="232"/>
        <v>304.83798819919309</v>
      </c>
      <c r="CC166" s="2">
        <f t="shared" si="232"/>
        <v>322.76440882840012</v>
      </c>
      <c r="CD166" s="2">
        <f t="shared" si="232"/>
        <v>327.88089597584309</v>
      </c>
    </row>
    <row r="167" spans="3:82" s="2" customFormat="1" x14ac:dyDescent="0.2">
      <c r="E167" s="2" t="s">
        <v>103</v>
      </c>
      <c r="F167" s="2" t="s">
        <v>7</v>
      </c>
      <c r="AF167" s="2">
        <f t="shared" si="233"/>
        <v>-99999</v>
      </c>
      <c r="AG167" s="2">
        <f t="shared" si="233"/>
        <v>-99999</v>
      </c>
      <c r="AH167" s="2">
        <f t="shared" si="233"/>
        <v>-99999</v>
      </c>
      <c r="AI167" s="2">
        <f t="shared" si="233"/>
        <v>-99999</v>
      </c>
      <c r="AJ167" s="2">
        <f t="shared" si="233"/>
        <v>3.1098369226379998</v>
      </c>
      <c r="AK167" s="2">
        <f t="shared" si="233"/>
        <v>3.3341391666022999</v>
      </c>
      <c r="AL167" s="2">
        <f t="shared" si="233"/>
        <v>3.5517576640680999</v>
      </c>
      <c r="AM167" s="2">
        <f t="shared" si="233"/>
        <v>3.8191840112617998</v>
      </c>
      <c r="AN167" s="2">
        <f t="shared" si="233"/>
        <v>4.1813823909051999</v>
      </c>
      <c r="AO167" s="2">
        <f t="shared" si="233"/>
        <v>4.5469159074882004</v>
      </c>
      <c r="AP167" s="2">
        <f t="shared" si="233"/>
        <v>4.9802077389116004</v>
      </c>
      <c r="AQ167" s="2">
        <f t="shared" si="233"/>
        <v>5.5775186096286999</v>
      </c>
      <c r="AR167" s="2">
        <f t="shared" si="233"/>
        <v>5.6424713699062998</v>
      </c>
      <c r="AS167" s="2">
        <f t="shared" si="233"/>
        <v>5.5732147939558008</v>
      </c>
      <c r="AT167" s="2">
        <f t="shared" si="233"/>
        <v>5.3964766479117996</v>
      </c>
      <c r="AU167" s="2">
        <f t="shared" si="233"/>
        <v>5.1407751551921992</v>
      </c>
      <c r="AV167" s="2">
        <f t="shared" si="233"/>
        <v>4.8236093810603986</v>
      </c>
      <c r="AW167" s="2">
        <f t="shared" si="233"/>
        <v>4.4757818078243004</v>
      </c>
      <c r="AX167" s="2">
        <f t="shared" si="233"/>
        <v>4.1332270564840004</v>
      </c>
      <c r="AY167" s="2">
        <f t="shared" si="233"/>
        <v>3.8362177013093</v>
      </c>
      <c r="AZ167" s="2">
        <f t="shared" si="233"/>
        <v>3.6282407438728002</v>
      </c>
      <c r="BA167" s="2">
        <f t="shared" si="233"/>
        <v>3.5540620695065002</v>
      </c>
      <c r="BB167" s="2">
        <f t="shared" si="233"/>
        <v>3.6565809701862002</v>
      </c>
      <c r="BC167" s="2">
        <f t="shared" si="233"/>
        <v>3.9300917366674</v>
      </c>
      <c r="BD167" s="2">
        <f t="shared" si="233"/>
        <v>4.3860963442193004</v>
      </c>
      <c r="BE167" s="2">
        <f t="shared" si="233"/>
        <v>4.9548217720657002</v>
      </c>
      <c r="BF167" s="2">
        <f t="shared" si="233"/>
        <v>5.6765270709636004</v>
      </c>
      <c r="BG167" s="2">
        <f t="shared" si="233"/>
        <v>6.5244762789913002</v>
      </c>
      <c r="BH167" s="2">
        <f t="shared" si="233"/>
        <v>7.4556825048423994</v>
      </c>
      <c r="BI167" s="2">
        <f t="shared" si="233"/>
        <v>8.5895677174355001</v>
      </c>
      <c r="BJ167" s="2">
        <f t="shared" si="233"/>
        <v>11.6387285077304</v>
      </c>
      <c r="BK167" s="2">
        <f t="shared" si="233"/>
        <v>13.6804783170872</v>
      </c>
      <c r="BL167" s="2">
        <f t="shared" si="233"/>
        <v>14.1612215224674</v>
      </c>
      <c r="BM167" s="2">
        <f t="shared" si="233"/>
        <v>14.5853290670298</v>
      </c>
      <c r="BN167" s="2">
        <f t="shared" si="233"/>
        <v>14.9268466909393</v>
      </c>
      <c r="BO167" s="2">
        <f t="shared" si="233"/>
        <v>15.1794414528365</v>
      </c>
      <c r="BP167" s="2">
        <f t="shared" si="233"/>
        <v>15.3406332126614</v>
      </c>
      <c r="BQ167" s="2">
        <f t="shared" si="233"/>
        <v>15.4077492157412</v>
      </c>
      <c r="BR167" s="2">
        <f t="shared" si="233"/>
        <v>15.383359069747099</v>
      </c>
      <c r="BS167" s="2">
        <f t="shared" si="233"/>
        <v>15.273038601489</v>
      </c>
      <c r="BT167" s="2">
        <f t="shared" si="232"/>
        <v>15.1161918930153</v>
      </c>
      <c r="BU167" s="2">
        <f t="shared" si="232"/>
        <v>14.917539025278</v>
      </c>
      <c r="BV167" s="2">
        <f t="shared" si="232"/>
        <v>14.678396186812201</v>
      </c>
      <c r="BW167" s="2">
        <f t="shared" si="232"/>
        <v>14.399722686635799</v>
      </c>
      <c r="BX167" s="2">
        <f t="shared" si="232"/>
        <v>14.103448735221701</v>
      </c>
      <c r="BY167" s="2">
        <f t="shared" si="232"/>
        <v>13.810056789417199</v>
      </c>
      <c r="BZ167" s="2">
        <f t="shared" si="232"/>
        <v>13.445480434703599</v>
      </c>
      <c r="CA167" s="2">
        <f t="shared" si="232"/>
        <v>13.059033980745699</v>
      </c>
      <c r="CB167" s="2">
        <f t="shared" si="232"/>
        <v>12.652830534846901</v>
      </c>
      <c r="CC167" s="2">
        <f t="shared" si="232"/>
        <v>12.230396560857701</v>
      </c>
      <c r="CD167" s="2">
        <f t="shared" si="232"/>
        <v>13.5662288362855</v>
      </c>
    </row>
    <row r="168" spans="3:82" s="2" customFormat="1" x14ac:dyDescent="0.2">
      <c r="E168" s="2" t="s">
        <v>104</v>
      </c>
      <c r="F168" s="2" t="s">
        <v>7</v>
      </c>
      <c r="AF168" s="2">
        <f t="shared" si="233"/>
        <v>-99999</v>
      </c>
      <c r="AG168" s="2">
        <f t="shared" si="233"/>
        <v>-99999</v>
      </c>
      <c r="AH168" s="2">
        <f t="shared" si="233"/>
        <v>-99999</v>
      </c>
      <c r="AI168" s="2">
        <f t="shared" si="233"/>
        <v>-99999</v>
      </c>
      <c r="AJ168" s="2">
        <f t="shared" si="233"/>
        <v>0</v>
      </c>
      <c r="AK168" s="2">
        <f t="shared" si="233"/>
        <v>0</v>
      </c>
      <c r="AL168" s="2">
        <f t="shared" si="233"/>
        <v>0</v>
      </c>
      <c r="AM168" s="2">
        <f t="shared" si="233"/>
        <v>0</v>
      </c>
      <c r="AN168" s="2">
        <f t="shared" si="233"/>
        <v>0</v>
      </c>
      <c r="AO168" s="2">
        <f t="shared" si="233"/>
        <v>0</v>
      </c>
      <c r="AP168" s="2">
        <f t="shared" si="233"/>
        <v>0</v>
      </c>
      <c r="AQ168" s="2">
        <f t="shared" si="233"/>
        <v>0</v>
      </c>
      <c r="AR168" s="2">
        <f t="shared" si="233"/>
        <v>0</v>
      </c>
      <c r="AS168" s="2">
        <f t="shared" si="233"/>
        <v>0</v>
      </c>
      <c r="AT168" s="2">
        <f t="shared" si="233"/>
        <v>0</v>
      </c>
      <c r="AU168" s="2">
        <f t="shared" si="233"/>
        <v>0</v>
      </c>
      <c r="AV168" s="2">
        <f t="shared" si="233"/>
        <v>0</v>
      </c>
      <c r="AW168" s="2">
        <f t="shared" si="233"/>
        <v>0</v>
      </c>
      <c r="AX168" s="2">
        <f t="shared" si="233"/>
        <v>0</v>
      </c>
      <c r="AY168" s="2">
        <f t="shared" si="233"/>
        <v>0</v>
      </c>
      <c r="AZ168" s="2">
        <f t="shared" si="233"/>
        <v>0</v>
      </c>
      <c r="BA168" s="2">
        <f t="shared" si="233"/>
        <v>0</v>
      </c>
      <c r="BB168" s="2">
        <f t="shared" si="233"/>
        <v>0</v>
      </c>
      <c r="BC168" s="2">
        <f t="shared" si="233"/>
        <v>0</v>
      </c>
      <c r="BD168" s="2">
        <f t="shared" si="233"/>
        <v>0</v>
      </c>
      <c r="BE168" s="2">
        <f t="shared" si="233"/>
        <v>0</v>
      </c>
      <c r="BF168" s="2">
        <f t="shared" si="233"/>
        <v>0</v>
      </c>
      <c r="BG168" s="2">
        <f t="shared" si="233"/>
        <v>0</v>
      </c>
      <c r="BH168" s="2">
        <f t="shared" si="233"/>
        <v>0</v>
      </c>
      <c r="BI168" s="2">
        <f t="shared" si="233"/>
        <v>0</v>
      </c>
      <c r="BJ168" s="2">
        <f t="shared" si="233"/>
        <v>0</v>
      </c>
      <c r="BK168" s="2">
        <f t="shared" si="233"/>
        <v>0</v>
      </c>
      <c r="BL168" s="2">
        <f t="shared" si="233"/>
        <v>0</v>
      </c>
      <c r="BM168" s="2">
        <f t="shared" si="233"/>
        <v>0</v>
      </c>
      <c r="BN168" s="2">
        <f t="shared" si="233"/>
        <v>0</v>
      </c>
      <c r="BO168" s="2">
        <f t="shared" si="233"/>
        <v>0</v>
      </c>
      <c r="BP168" s="2">
        <f t="shared" si="233"/>
        <v>0</v>
      </c>
      <c r="BQ168" s="2">
        <f t="shared" si="233"/>
        <v>0</v>
      </c>
      <c r="BR168" s="2">
        <f t="shared" si="233"/>
        <v>0</v>
      </c>
      <c r="BS168" s="2">
        <f t="shared" si="233"/>
        <v>0</v>
      </c>
      <c r="BT168" s="2">
        <f t="shared" si="232"/>
        <v>0</v>
      </c>
      <c r="BU168" s="2">
        <f t="shared" si="232"/>
        <v>0</v>
      </c>
      <c r="BV168" s="2">
        <f t="shared" si="232"/>
        <v>0</v>
      </c>
      <c r="BW168" s="2">
        <f t="shared" si="232"/>
        <v>0</v>
      </c>
      <c r="BX168" s="2">
        <f t="shared" si="232"/>
        <v>0</v>
      </c>
      <c r="BY168" s="2">
        <f t="shared" si="232"/>
        <v>0</v>
      </c>
      <c r="BZ168" s="2">
        <f t="shared" si="232"/>
        <v>0</v>
      </c>
      <c r="CA168" s="2">
        <f t="shared" si="232"/>
        <v>0</v>
      </c>
      <c r="CB168" s="2">
        <f t="shared" si="232"/>
        <v>0</v>
      </c>
      <c r="CC168" s="2">
        <f t="shared" si="232"/>
        <v>0</v>
      </c>
      <c r="CD168" s="2">
        <f t="shared" si="232"/>
        <v>0</v>
      </c>
    </row>
    <row r="169" spans="3:82" s="2" customFormat="1" x14ac:dyDescent="0.2">
      <c r="E169" s="2" t="s">
        <v>105</v>
      </c>
      <c r="F169" s="2" t="s">
        <v>7</v>
      </c>
      <c r="AF169" s="2">
        <f t="shared" si="233"/>
        <v>-99999</v>
      </c>
      <c r="AG169" s="2">
        <f t="shared" si="233"/>
        <v>-99999</v>
      </c>
      <c r="AH169" s="2">
        <f t="shared" si="233"/>
        <v>-99999</v>
      </c>
      <c r="AI169" s="2">
        <f t="shared" si="233"/>
        <v>-99999</v>
      </c>
      <c r="AJ169" s="2">
        <f t="shared" si="233"/>
        <v>63.282336711149988</v>
      </c>
      <c r="AK169" s="2">
        <f t="shared" si="233"/>
        <v>60.181671711300098</v>
      </c>
      <c r="AL169" s="2">
        <f t="shared" si="233"/>
        <v>57.234775786023903</v>
      </c>
      <c r="AM169" s="2">
        <f t="shared" si="233"/>
        <v>54.5488200438677</v>
      </c>
      <c r="AN169" s="2">
        <f t="shared" si="233"/>
        <v>52.423928165045098</v>
      </c>
      <c r="AO169" s="2">
        <f t="shared" si="233"/>
        <v>50.801004172270702</v>
      </c>
      <c r="AP169" s="2">
        <f t="shared" si="233"/>
        <v>49.771915489797202</v>
      </c>
      <c r="AQ169" s="2">
        <f t="shared" si="233"/>
        <v>54.512499933849902</v>
      </c>
      <c r="AR169" s="2">
        <f t="shared" si="233"/>
        <v>53.842785370609398</v>
      </c>
      <c r="AS169" s="2">
        <f t="shared" si="233"/>
        <v>53.1053268651672</v>
      </c>
      <c r="AT169" s="2">
        <f t="shared" si="233"/>
        <v>52.360676596686098</v>
      </c>
      <c r="AU169" s="2">
        <f t="shared" si="233"/>
        <v>51.771800600846497</v>
      </c>
      <c r="AV169" s="2">
        <f t="shared" si="233"/>
        <v>51.508057013328212</v>
      </c>
      <c r="AW169" s="2">
        <f t="shared" si="233"/>
        <v>51.631173466113999</v>
      </c>
      <c r="AX169" s="2">
        <f t="shared" si="233"/>
        <v>52.154694917233613</v>
      </c>
      <c r="AY169" s="2">
        <f t="shared" si="233"/>
        <v>53.045777604963902</v>
      </c>
      <c r="AZ169" s="2">
        <f t="shared" si="233"/>
        <v>54.233709528255901</v>
      </c>
      <c r="BA169" s="2">
        <f t="shared" si="233"/>
        <v>55.618813648744002</v>
      </c>
      <c r="BB169" s="2">
        <f t="shared" si="233"/>
        <v>57.078028484551602</v>
      </c>
      <c r="BC169" s="2">
        <f t="shared" si="233"/>
        <v>58.425978635129297</v>
      </c>
      <c r="BD169" s="2">
        <f t="shared" si="233"/>
        <v>59.525672004757602</v>
      </c>
      <c r="BE169" s="2">
        <f t="shared" si="233"/>
        <v>60.162466144022197</v>
      </c>
      <c r="BF169" s="2">
        <f t="shared" si="233"/>
        <v>60.289518887764203</v>
      </c>
      <c r="BG169" s="2">
        <f t="shared" si="233"/>
        <v>59.747582835975301</v>
      </c>
      <c r="BH169" s="2">
        <f t="shared" si="233"/>
        <v>58.447145108716498</v>
      </c>
      <c r="BI169" s="2">
        <f t="shared" si="233"/>
        <v>56.640263111852803</v>
      </c>
      <c r="BJ169" s="2">
        <f t="shared" si="233"/>
        <v>56.190134008338198</v>
      </c>
      <c r="BK169" s="2">
        <f t="shared" si="233"/>
        <v>57.7850261075886</v>
      </c>
      <c r="BL169" s="2">
        <f t="shared" si="233"/>
        <v>60.142415056859498</v>
      </c>
      <c r="BM169" s="2">
        <f t="shared" si="233"/>
        <v>61.848484205481803</v>
      </c>
      <c r="BN169" s="2">
        <f t="shared" si="233"/>
        <v>62.333237242654903</v>
      </c>
      <c r="BO169" s="2">
        <f t="shared" si="233"/>
        <v>62.322780044949297</v>
      </c>
      <c r="BP169" s="2">
        <f t="shared" si="233"/>
        <v>61.879974818969103</v>
      </c>
      <c r="BQ169" s="2">
        <f t="shared" si="233"/>
        <v>61.050423661045002</v>
      </c>
      <c r="BR169" s="2">
        <f t="shared" si="233"/>
        <v>59.901293876677997</v>
      </c>
      <c r="BS169" s="2">
        <f t="shared" ref="BS169:CD169" si="234">CA387</f>
        <v>58.489602175840403</v>
      </c>
      <c r="BT169" s="2">
        <f t="shared" si="234"/>
        <v>56.994892574392487</v>
      </c>
      <c r="BU169" s="2">
        <f t="shared" si="234"/>
        <v>55.4365392936718</v>
      </c>
      <c r="BV169" s="2">
        <f t="shared" si="234"/>
        <v>53.815816231567602</v>
      </c>
      <c r="BW169" s="2">
        <f t="shared" si="234"/>
        <v>52.131887778657898</v>
      </c>
      <c r="BX169" s="2">
        <f t="shared" si="234"/>
        <v>50.449045786132601</v>
      </c>
      <c r="BY169" s="2">
        <f t="shared" si="234"/>
        <v>48.561329227487398</v>
      </c>
      <c r="BZ169" s="2">
        <f t="shared" si="234"/>
        <v>46.5565676638385</v>
      </c>
      <c r="CA169" s="2">
        <f t="shared" si="234"/>
        <v>44.572260617763703</v>
      </c>
      <c r="CB169" s="2">
        <f t="shared" si="234"/>
        <v>42.6068507290301</v>
      </c>
      <c r="CC169" s="2">
        <f t="shared" si="234"/>
        <v>40.662061405700797</v>
      </c>
      <c r="CD169" s="2">
        <f t="shared" si="234"/>
        <v>41.669628558122199</v>
      </c>
    </row>
    <row r="170" spans="3:82" s="3" customFormat="1" x14ac:dyDescent="0.2">
      <c r="C170" s="3" t="s">
        <v>106</v>
      </c>
      <c r="G170" s="3">
        <f>SUM(G171:G177)</f>
        <v>2</v>
      </c>
      <c r="H170" s="3">
        <f t="shared" ref="H170:BS170" si="235">SUM(H171:H177)</f>
        <v>2</v>
      </c>
      <c r="I170" s="3">
        <f t="shared" si="235"/>
        <v>0</v>
      </c>
      <c r="J170" s="3">
        <f t="shared" si="235"/>
        <v>0</v>
      </c>
      <c r="K170" s="3">
        <f t="shared" si="235"/>
        <v>376.87200000000001</v>
      </c>
      <c r="L170" s="3">
        <f t="shared" si="235"/>
        <v>439.61099999999999</v>
      </c>
      <c r="M170" s="3">
        <f t="shared" si="235"/>
        <v>439.61099999999999</v>
      </c>
      <c r="N170" s="3">
        <f t="shared" si="235"/>
        <v>439.61099999999999</v>
      </c>
      <c r="O170" s="3">
        <f t="shared" si="235"/>
        <v>439.61099999999999</v>
      </c>
      <c r="P170" s="3">
        <f t="shared" si="235"/>
        <v>441.24099999999999</v>
      </c>
      <c r="Q170" s="3">
        <f t="shared" si="235"/>
        <v>441.12799999999999</v>
      </c>
      <c r="R170" s="3">
        <f t="shared" si="235"/>
        <v>440.41800000000001</v>
      </c>
      <c r="S170" s="3">
        <f t="shared" si="235"/>
        <v>439.61099999999999</v>
      </c>
      <c r="T170" s="3">
        <f t="shared" si="235"/>
        <v>439.61099999999999</v>
      </c>
      <c r="U170" s="3">
        <f t="shared" si="235"/>
        <v>439.61099999999999</v>
      </c>
      <c r="V170" s="3">
        <f t="shared" si="235"/>
        <v>439.61099999999999</v>
      </c>
      <c r="W170" s="3">
        <f t="shared" si="235"/>
        <v>439.61099999999999</v>
      </c>
      <c r="X170" s="3">
        <f t="shared" si="235"/>
        <v>125.762</v>
      </c>
      <c r="Y170" s="3">
        <f t="shared" si="235"/>
        <v>125.762</v>
      </c>
      <c r="Z170" s="3">
        <f t="shared" si="235"/>
        <v>125.762</v>
      </c>
      <c r="AA170" s="3">
        <f t="shared" si="235"/>
        <v>125.762</v>
      </c>
      <c r="AB170" s="3">
        <f t="shared" si="235"/>
        <v>125.762</v>
      </c>
      <c r="AC170" s="3">
        <f t="shared" si="235"/>
        <v>125.762</v>
      </c>
      <c r="AD170" s="3">
        <f t="shared" si="235"/>
        <v>125.762</v>
      </c>
      <c r="AE170" s="3">
        <f t="shared" si="235"/>
        <v>34.865000000000002</v>
      </c>
      <c r="AF170" s="3">
        <f t="shared" si="235"/>
        <v>-399961.13500000001</v>
      </c>
      <c r="AG170" s="3">
        <f t="shared" si="235"/>
        <v>-399961.13500000001</v>
      </c>
      <c r="AH170" s="3">
        <f t="shared" si="235"/>
        <v>-399992.516</v>
      </c>
      <c r="AI170" s="3">
        <f t="shared" si="235"/>
        <v>-399992.516</v>
      </c>
      <c r="AJ170" s="3">
        <f t="shared" si="235"/>
        <v>3896.8683356166785</v>
      </c>
      <c r="AK170" s="3">
        <f t="shared" si="235"/>
        <v>3868.7019553709242</v>
      </c>
      <c r="AL170" s="3">
        <f t="shared" si="235"/>
        <v>3840.5542364523608</v>
      </c>
      <c r="AM170" s="3">
        <f t="shared" si="235"/>
        <v>3847.1766582184814</v>
      </c>
      <c r="AN170" s="3">
        <f t="shared" si="235"/>
        <v>3774.3523025670461</v>
      </c>
      <c r="AO170" s="3">
        <f t="shared" si="235"/>
        <v>3703.1917971135745</v>
      </c>
      <c r="AP170" s="3">
        <f t="shared" si="235"/>
        <v>4259.911706020267</v>
      </c>
      <c r="AQ170" s="3">
        <f t="shared" si="235"/>
        <v>4665.5651428022811</v>
      </c>
      <c r="AR170" s="3">
        <f t="shared" si="235"/>
        <v>4705.8510940625238</v>
      </c>
      <c r="AS170" s="3">
        <f t="shared" si="235"/>
        <v>4790.9988290011443</v>
      </c>
      <c r="AT170" s="3">
        <f t="shared" si="235"/>
        <v>4932.9716579188771</v>
      </c>
      <c r="AU170" s="3">
        <f t="shared" si="235"/>
        <v>5116.4933198294721</v>
      </c>
      <c r="AV170" s="3">
        <f t="shared" si="235"/>
        <v>5329.9405710635001</v>
      </c>
      <c r="AW170" s="3">
        <f t="shared" si="235"/>
        <v>5555.8969331858998</v>
      </c>
      <c r="AX170" s="3">
        <f t="shared" si="235"/>
        <v>5775.3436065280303</v>
      </c>
      <c r="AY170" s="3">
        <f t="shared" si="235"/>
        <v>5968.543663207327</v>
      </c>
      <c r="AZ170" s="3">
        <f t="shared" si="235"/>
        <v>6116.031786814443</v>
      </c>
      <c r="BA170" s="3">
        <f t="shared" si="235"/>
        <v>6199.5948867866191</v>
      </c>
      <c r="BB170" s="3">
        <f t="shared" si="235"/>
        <v>6203.2953348285273</v>
      </c>
      <c r="BC170" s="3">
        <f t="shared" si="235"/>
        <v>6130.8889671703982</v>
      </c>
      <c r="BD170" s="3">
        <f t="shared" si="235"/>
        <v>5979.1759580605058</v>
      </c>
      <c r="BE170" s="3">
        <f t="shared" si="235"/>
        <v>5776.6287749758167</v>
      </c>
      <c r="BF170" s="3">
        <f t="shared" si="235"/>
        <v>5506.1588296597993</v>
      </c>
      <c r="BG170" s="3">
        <f t="shared" si="235"/>
        <v>5180.4681847474449</v>
      </c>
      <c r="BH170" s="3">
        <f t="shared" si="235"/>
        <v>4825.6892096169804</v>
      </c>
      <c r="BI170" s="3">
        <f t="shared" si="235"/>
        <v>4567.5474716493527</v>
      </c>
      <c r="BJ170" s="3">
        <f t="shared" si="235"/>
        <v>4385.4682432839509</v>
      </c>
      <c r="BK170" s="3">
        <f t="shared" si="235"/>
        <v>4736.7027697946696</v>
      </c>
      <c r="BL170" s="3">
        <f t="shared" si="235"/>
        <v>5240.087229620277</v>
      </c>
      <c r="BM170" s="3">
        <f t="shared" si="235"/>
        <v>5749.1077574778383</v>
      </c>
      <c r="BN170" s="3">
        <f t="shared" si="235"/>
        <v>6250.2935060104373</v>
      </c>
      <c r="BO170" s="3">
        <f t="shared" si="235"/>
        <v>6737.3473240261792</v>
      </c>
      <c r="BP170" s="3">
        <f t="shared" si="235"/>
        <v>7205.330814084331</v>
      </c>
      <c r="BQ170" s="3">
        <f t="shared" si="235"/>
        <v>7639.504066966947</v>
      </c>
      <c r="BR170" s="3">
        <f t="shared" si="235"/>
        <v>8078.1928958992039</v>
      </c>
      <c r="BS170" s="3">
        <f t="shared" si="235"/>
        <v>8478.0002179410585</v>
      </c>
      <c r="BT170" s="3">
        <f t="shared" ref="BT170:CD170" si="236">SUM(BT171:BT177)</f>
        <v>8857.1218153400969</v>
      </c>
      <c r="BU170" s="3">
        <f t="shared" si="236"/>
        <v>9208.5378779118055</v>
      </c>
      <c r="BV170" s="3">
        <f t="shared" si="236"/>
        <v>9523.0568408729814</v>
      </c>
      <c r="BW170" s="3">
        <f t="shared" si="236"/>
        <v>9791.5529584267551</v>
      </c>
      <c r="BX170" s="3">
        <f t="shared" si="236"/>
        <v>10018.278293112204</v>
      </c>
      <c r="BY170" s="3">
        <f t="shared" si="236"/>
        <v>10210.218606113782</v>
      </c>
      <c r="BZ170" s="3">
        <f t="shared" si="236"/>
        <v>10317.688505080074</v>
      </c>
      <c r="CA170" s="3">
        <f t="shared" si="236"/>
        <v>10361.878026048682</v>
      </c>
      <c r="CB170" s="3">
        <f t="shared" si="236"/>
        <v>10340.298778692762</v>
      </c>
      <c r="CC170" s="3">
        <f t="shared" si="236"/>
        <v>10253.362576826559</v>
      </c>
      <c r="CD170" s="3">
        <f t="shared" si="236"/>
        <v>11524.096747192172</v>
      </c>
    </row>
    <row r="171" spans="3:82" s="2" customFormat="1" x14ac:dyDescent="0.2">
      <c r="D171" s="2" t="s">
        <v>107</v>
      </c>
      <c r="F171" s="2" t="s">
        <v>7</v>
      </c>
      <c r="G171" s="2">
        <f t="shared" ref="G171:AL171" si="237">O388</f>
        <v>1</v>
      </c>
      <c r="H171" s="2">
        <f t="shared" si="237"/>
        <v>1</v>
      </c>
      <c r="I171" s="2" t="str">
        <f t="shared" si="237"/>
        <v>emission_co2e_co2_lndu_drained_organic_soils_pastures|emission_co2e_co2_lndu_conversion_grasslands_to_grasslands|emission_co2e_co2_lndu_conversion_grasslands_to_pastures|emission_co2e_co2_lndu_conversion_pastures_to_grasslands|emission_co2e_co2_lndu_conversion_pastures_to_pastures|emission_co2e_co2_lndu_biomass_sequestration_grasslands|emission_co2e_co2_lndu_biomass_sequestration_pastures</v>
      </c>
      <c r="J171" s="2">
        <f t="shared" si="237"/>
        <v>0</v>
      </c>
      <c r="K171" s="2">
        <f t="shared" si="237"/>
        <v>348.714</v>
      </c>
      <c r="L171" s="2">
        <f t="shared" si="237"/>
        <v>348.714</v>
      </c>
      <c r="M171" s="2">
        <f t="shared" si="237"/>
        <v>348.714</v>
      </c>
      <c r="N171" s="2">
        <f t="shared" si="237"/>
        <v>348.714</v>
      </c>
      <c r="O171" s="2">
        <f t="shared" si="237"/>
        <v>348.714</v>
      </c>
      <c r="P171" s="2">
        <f t="shared" si="237"/>
        <v>350.34399999999999</v>
      </c>
      <c r="Q171" s="2">
        <f t="shared" si="237"/>
        <v>350.23099999999999</v>
      </c>
      <c r="R171" s="2">
        <f t="shared" si="237"/>
        <v>349.52100000000002</v>
      </c>
      <c r="S171" s="2">
        <f t="shared" si="237"/>
        <v>348.714</v>
      </c>
      <c r="T171" s="2">
        <f t="shared" si="237"/>
        <v>348.714</v>
      </c>
      <c r="U171" s="2">
        <f t="shared" si="237"/>
        <v>348.714</v>
      </c>
      <c r="V171" s="2">
        <f t="shared" si="237"/>
        <v>348.714</v>
      </c>
      <c r="W171" s="2">
        <f t="shared" si="237"/>
        <v>348.714</v>
      </c>
      <c r="X171" s="2">
        <f t="shared" si="237"/>
        <v>34.865000000000002</v>
      </c>
      <c r="Y171" s="2">
        <f t="shared" si="237"/>
        <v>34.865000000000002</v>
      </c>
      <c r="Z171" s="2">
        <f t="shared" si="237"/>
        <v>34.865000000000002</v>
      </c>
      <c r="AA171" s="2">
        <f t="shared" si="237"/>
        <v>34.865000000000002</v>
      </c>
      <c r="AB171" s="2">
        <f t="shared" si="237"/>
        <v>34.865000000000002</v>
      </c>
      <c r="AC171" s="2">
        <f t="shared" si="237"/>
        <v>34.865000000000002</v>
      </c>
      <c r="AD171" s="2">
        <f t="shared" si="237"/>
        <v>34.865000000000002</v>
      </c>
      <c r="AE171" s="2">
        <f t="shared" si="237"/>
        <v>34.865000000000002</v>
      </c>
      <c r="AF171" s="2">
        <f t="shared" si="237"/>
        <v>34.865000000000002</v>
      </c>
      <c r="AG171" s="2">
        <f t="shared" si="237"/>
        <v>34.865000000000002</v>
      </c>
      <c r="AH171" s="2">
        <f t="shared" si="237"/>
        <v>3.484</v>
      </c>
      <c r="AI171" s="2">
        <f t="shared" si="237"/>
        <v>3.484</v>
      </c>
      <c r="AJ171" s="2">
        <f t="shared" si="237"/>
        <v>0.86273713221769999</v>
      </c>
      <c r="AK171" s="2">
        <f t="shared" si="237"/>
        <v>0.97932241566610001</v>
      </c>
      <c r="AL171" s="2">
        <f t="shared" si="237"/>
        <v>1.0917807873479</v>
      </c>
      <c r="AM171" s="2">
        <f t="shared" ref="AM171:BR171" si="238">AU388</f>
        <v>1.2004261662355999</v>
      </c>
      <c r="AN171" s="2">
        <f t="shared" si="238"/>
        <v>1.3079545388281999</v>
      </c>
      <c r="AO171" s="2">
        <f t="shared" si="238"/>
        <v>1.4107007405920999</v>
      </c>
      <c r="AP171" s="2">
        <f t="shared" si="238"/>
        <v>1.5072801095960999</v>
      </c>
      <c r="AQ171" s="2">
        <f t="shared" si="238"/>
        <v>1.6070263383814001</v>
      </c>
      <c r="AR171" s="2">
        <f t="shared" si="238"/>
        <v>1.7302133626645</v>
      </c>
      <c r="AS171" s="2">
        <f t="shared" si="238"/>
        <v>1.839736265694</v>
      </c>
      <c r="AT171" s="2">
        <f t="shared" si="238"/>
        <v>1.935152675221</v>
      </c>
      <c r="AU171" s="2">
        <f t="shared" si="238"/>
        <v>2.0201225869321999</v>
      </c>
      <c r="AV171" s="2">
        <f t="shared" si="238"/>
        <v>2.0979585071799001</v>
      </c>
      <c r="AW171" s="2">
        <f t="shared" si="238"/>
        <v>2.1712682435578001</v>
      </c>
      <c r="AX171" s="2">
        <f t="shared" si="238"/>
        <v>2.2421460096199</v>
      </c>
      <c r="AY171" s="2">
        <f t="shared" si="238"/>
        <v>2.3121643255477</v>
      </c>
      <c r="AZ171" s="2">
        <f t="shared" si="238"/>
        <v>2.3823388505550001</v>
      </c>
      <c r="BA171" s="2">
        <f t="shared" si="238"/>
        <v>2.4531004887218</v>
      </c>
      <c r="BB171" s="2">
        <f t="shared" si="238"/>
        <v>2.5242934409483002</v>
      </c>
      <c r="BC171" s="2">
        <f t="shared" si="238"/>
        <v>2.5952132397843002</v>
      </c>
      <c r="BD171" s="2">
        <f t="shared" si="238"/>
        <v>2.6645320799004</v>
      </c>
      <c r="BE171" s="2">
        <f t="shared" si="238"/>
        <v>2.7307008467706999</v>
      </c>
      <c r="BF171" s="2">
        <f t="shared" si="238"/>
        <v>2.7923178759652001</v>
      </c>
      <c r="BG171" s="2">
        <f t="shared" si="238"/>
        <v>2.8479401877758002</v>
      </c>
      <c r="BH171" s="2">
        <f t="shared" si="238"/>
        <v>2.8972243645427</v>
      </c>
      <c r="BI171" s="2">
        <f t="shared" si="238"/>
        <v>2.9424514307449998</v>
      </c>
      <c r="BJ171" s="2">
        <f t="shared" si="238"/>
        <v>3.0115416254961</v>
      </c>
      <c r="BK171" s="2">
        <f t="shared" si="238"/>
        <v>3.2591159036328001</v>
      </c>
      <c r="BL171" s="2">
        <f t="shared" si="238"/>
        <v>3.5885696836026</v>
      </c>
      <c r="BM171" s="2">
        <f t="shared" si="238"/>
        <v>3.8778629486881999</v>
      </c>
      <c r="BN171" s="2">
        <f t="shared" si="238"/>
        <v>4.1346730535345992</v>
      </c>
      <c r="BO171" s="2">
        <f t="shared" si="238"/>
        <v>4.3656571178327006</v>
      </c>
      <c r="BP171" s="2">
        <f t="shared" si="238"/>
        <v>4.5761231260985999</v>
      </c>
      <c r="BQ171" s="2">
        <f t="shared" si="238"/>
        <v>4.7704139347982997</v>
      </c>
      <c r="BR171" s="2">
        <f t="shared" si="238"/>
        <v>4.9519537951935986</v>
      </c>
      <c r="BS171" s="2">
        <f t="shared" ref="BS171:CX171" si="239">CA388</f>
        <v>5.1234514576915</v>
      </c>
      <c r="BT171" s="2">
        <f t="shared" si="239"/>
        <v>5.2870323295402999</v>
      </c>
      <c r="BU171" s="2">
        <f t="shared" si="239"/>
        <v>5.4464643282837004</v>
      </c>
      <c r="BV171" s="2">
        <f t="shared" si="239"/>
        <v>5.6047916257837</v>
      </c>
      <c r="BW171" s="2">
        <f t="shared" si="239"/>
        <v>5.7644856162653992</v>
      </c>
      <c r="BX171" s="2">
        <f t="shared" si="239"/>
        <v>5.9275523979817999</v>
      </c>
      <c r="BY171" s="2">
        <f t="shared" si="239"/>
        <v>6.0962930402589999</v>
      </c>
      <c r="BZ171" s="2">
        <f t="shared" si="239"/>
        <v>6.2734394683303014</v>
      </c>
      <c r="CA171" s="2">
        <f t="shared" si="239"/>
        <v>6.4591395640054001</v>
      </c>
      <c r="CB171" s="2">
        <f t="shared" si="239"/>
        <v>6.6546632304664</v>
      </c>
      <c r="CC171" s="2">
        <f t="shared" si="239"/>
        <v>6.8610147093120997</v>
      </c>
      <c r="CD171" s="2">
        <f t="shared" si="239"/>
        <v>7.0790143645945003</v>
      </c>
    </row>
    <row r="172" spans="3:82" s="2" customFormat="1" x14ac:dyDescent="0.2">
      <c r="D172" s="2" t="s">
        <v>109</v>
      </c>
    </row>
    <row r="173" spans="3:82" s="2" customFormat="1" x14ac:dyDescent="0.2">
      <c r="E173" s="2" t="s">
        <v>110</v>
      </c>
      <c r="F173" s="2" t="s">
        <v>7</v>
      </c>
      <c r="G173" s="2">
        <f>O389</f>
        <v>1</v>
      </c>
      <c r="H173" s="2">
        <f t="shared" ref="H173:BS175" si="240">P389</f>
        <v>1</v>
      </c>
      <c r="I173" s="2" t="str">
        <f t="shared" si="240"/>
        <v>emission_co2e_co2_lndu_conversion_forests_mangroves_to_grasslands|emission_co2e_co2_lndu_conversion_forests_mangroves_to_pastures|emission_co2e_co2_lndu_conversion_forests_primary_to_grasslands|emission_co2e_co2_lndu_conversion_forests_primary_to_pastures|emission_co2e_co2_lndu_conversion_forests_secondary_to_grasslands|emission_co2e_co2_lndu_conversion_forests_secondary_to_pastures</v>
      </c>
      <c r="J173" s="2">
        <f t="shared" si="240"/>
        <v>0</v>
      </c>
      <c r="K173" s="2">
        <f t="shared" si="240"/>
        <v>28.158000000000001</v>
      </c>
      <c r="L173" s="2">
        <f t="shared" si="240"/>
        <v>90.897000000000006</v>
      </c>
      <c r="M173" s="2">
        <f t="shared" si="240"/>
        <v>90.897000000000006</v>
      </c>
      <c r="N173" s="2">
        <f t="shared" si="240"/>
        <v>90.897000000000006</v>
      </c>
      <c r="O173" s="2">
        <f t="shared" si="240"/>
        <v>90.897000000000006</v>
      </c>
      <c r="P173" s="2">
        <f t="shared" si="240"/>
        <v>90.897000000000006</v>
      </c>
      <c r="Q173" s="2">
        <f t="shared" si="240"/>
        <v>90.897000000000006</v>
      </c>
      <c r="R173" s="2">
        <f t="shared" si="240"/>
        <v>90.897000000000006</v>
      </c>
      <c r="S173" s="2">
        <f t="shared" si="240"/>
        <v>90.897000000000006</v>
      </c>
      <c r="T173" s="2">
        <f t="shared" si="240"/>
        <v>90.897000000000006</v>
      </c>
      <c r="U173" s="2">
        <f t="shared" si="240"/>
        <v>90.897000000000006</v>
      </c>
      <c r="V173" s="2">
        <f t="shared" si="240"/>
        <v>90.897000000000006</v>
      </c>
      <c r="W173" s="2">
        <f t="shared" si="240"/>
        <v>90.897000000000006</v>
      </c>
      <c r="X173" s="2">
        <f t="shared" si="240"/>
        <v>90.897000000000006</v>
      </c>
      <c r="Y173" s="2">
        <f t="shared" si="240"/>
        <v>90.897000000000006</v>
      </c>
      <c r="Z173" s="2">
        <f t="shared" si="240"/>
        <v>90.897000000000006</v>
      </c>
      <c r="AA173" s="2">
        <f t="shared" si="240"/>
        <v>90.897000000000006</v>
      </c>
      <c r="AB173" s="2">
        <f t="shared" si="240"/>
        <v>90.897000000000006</v>
      </c>
      <c r="AC173" s="2">
        <f t="shared" si="240"/>
        <v>90.897000000000006</v>
      </c>
      <c r="AD173" s="2">
        <f t="shared" si="240"/>
        <v>90.897000000000006</v>
      </c>
      <c r="AE173" s="2">
        <f t="shared" si="240"/>
        <v>0</v>
      </c>
      <c r="AF173" s="2">
        <f t="shared" si="240"/>
        <v>0</v>
      </c>
      <c r="AG173" s="2">
        <f t="shared" si="240"/>
        <v>0</v>
      </c>
      <c r="AH173" s="2">
        <f t="shared" si="240"/>
        <v>0</v>
      </c>
      <c r="AI173" s="2">
        <f t="shared" si="240"/>
        <v>0</v>
      </c>
      <c r="AJ173" s="2">
        <f t="shared" si="240"/>
        <v>3823.656304128273</v>
      </c>
      <c r="AK173" s="2">
        <f t="shared" si="240"/>
        <v>3798.9182602346032</v>
      </c>
      <c r="AL173" s="2">
        <f t="shared" si="240"/>
        <v>3774.0272037556419</v>
      </c>
      <c r="AM173" s="2">
        <f t="shared" si="240"/>
        <v>3783.7132325814259</v>
      </c>
      <c r="AN173" s="2">
        <f t="shared" si="240"/>
        <v>3713.5297812410222</v>
      </c>
      <c r="AO173" s="2">
        <f t="shared" si="240"/>
        <v>3644.3984274598761</v>
      </c>
      <c r="AP173" s="2">
        <f t="shared" si="240"/>
        <v>4202.1405855845614</v>
      </c>
      <c r="AQ173" s="2">
        <f t="shared" si="240"/>
        <v>4598.0450489802779</v>
      </c>
      <c r="AR173" s="2">
        <f t="shared" si="240"/>
        <v>4638.8890019393139</v>
      </c>
      <c r="AS173" s="2">
        <f t="shared" si="240"/>
        <v>4724.5743607514323</v>
      </c>
      <c r="AT173" s="2">
        <f t="shared" si="240"/>
        <v>4866.9652976536972</v>
      </c>
      <c r="AU173" s="2">
        <f t="shared" si="240"/>
        <v>5050.6319201531342</v>
      </c>
      <c r="AV173" s="2">
        <f t="shared" si="240"/>
        <v>5263.7596930607824</v>
      </c>
      <c r="AW173" s="2">
        <f t="shared" si="240"/>
        <v>5488.879330899028</v>
      </c>
      <c r="AX173" s="2">
        <f t="shared" si="240"/>
        <v>5706.9823539941408</v>
      </c>
      <c r="AY173" s="2">
        <f t="shared" si="240"/>
        <v>5898.4121588343532</v>
      </c>
      <c r="AZ173" s="2">
        <f t="shared" si="240"/>
        <v>6043.8507434246667</v>
      </c>
      <c r="BA173" s="2">
        <f t="shared" si="240"/>
        <v>6125.2900561867937</v>
      </c>
      <c r="BB173" s="2">
        <f t="shared" si="240"/>
        <v>6127.0406696994532</v>
      </c>
      <c r="BC173" s="2">
        <f t="shared" si="240"/>
        <v>6053.1170850974386</v>
      </c>
      <c r="BD173" s="2">
        <f t="shared" si="240"/>
        <v>5900.5244560032688</v>
      </c>
      <c r="BE173" s="2">
        <f t="shared" si="240"/>
        <v>5697.8908230284824</v>
      </c>
      <c r="BF173" s="2">
        <f t="shared" si="240"/>
        <v>5428.2079086364784</v>
      </c>
      <c r="BG173" s="2">
        <f t="shared" si="240"/>
        <v>5104.272339687629</v>
      </c>
      <c r="BH173" s="2">
        <f t="shared" si="240"/>
        <v>4752.179964449846</v>
      </c>
      <c r="BI173" s="2">
        <f t="shared" si="240"/>
        <v>4497.2229427995844</v>
      </c>
      <c r="BJ173" s="2">
        <f t="shared" si="240"/>
        <v>4317.6435771692477</v>
      </c>
      <c r="BK173" s="2">
        <f t="shared" si="240"/>
        <v>4670.3889990375956</v>
      </c>
      <c r="BL173" s="2">
        <f t="shared" si="240"/>
        <v>5174.83153193812</v>
      </c>
      <c r="BM173" s="2">
        <f t="shared" si="240"/>
        <v>5685.2081855315873</v>
      </c>
      <c r="BN173" s="2">
        <f t="shared" si="240"/>
        <v>6188.9352387788495</v>
      </c>
      <c r="BO173" s="2">
        <f t="shared" si="240"/>
        <v>6678.4387565756988</v>
      </c>
      <c r="BP173" s="2">
        <f t="shared" si="240"/>
        <v>7148.7790822997968</v>
      </c>
      <c r="BQ173" s="2">
        <f t="shared" si="240"/>
        <v>7585.21696625799</v>
      </c>
      <c r="BR173" s="2">
        <f t="shared" si="240"/>
        <v>8026.0715757060389</v>
      </c>
      <c r="BS173" s="2">
        <f t="shared" si="240"/>
        <v>8427.9471157258504</v>
      </c>
      <c r="BT173" s="2">
        <f t="shared" ref="BT173:CD174" si="241">CB389</f>
        <v>8809.0380261704304</v>
      </c>
      <c r="BU173" s="2">
        <f t="shared" si="241"/>
        <v>9162.3269757481485</v>
      </c>
      <c r="BV173" s="2">
        <f t="shared" si="241"/>
        <v>9478.62543867368</v>
      </c>
      <c r="BW173" s="2">
        <f t="shared" si="241"/>
        <v>9748.8109752957498</v>
      </c>
      <c r="BX173" s="2">
        <f t="shared" si="241"/>
        <v>9977.1376145709201</v>
      </c>
      <c r="BY173" s="2">
        <f t="shared" si="241"/>
        <v>10170.0764346957</v>
      </c>
      <c r="BZ173" s="2">
        <f t="shared" si="241"/>
        <v>10278.5502629763</v>
      </c>
      <c r="CA173" s="2">
        <f t="shared" si="241"/>
        <v>10323.760096899199</v>
      </c>
      <c r="CB173" s="2">
        <f t="shared" si="241"/>
        <v>10303.2167307706</v>
      </c>
      <c r="CC173" s="2">
        <f t="shared" si="241"/>
        <v>10217.3281728805</v>
      </c>
      <c r="CD173" s="2">
        <f t="shared" si="241"/>
        <v>11486.455809787099</v>
      </c>
    </row>
    <row r="174" spans="3:82" s="2" customFormat="1" x14ac:dyDescent="0.2">
      <c r="E174" s="2" t="s">
        <v>111</v>
      </c>
      <c r="F174" s="2" t="s">
        <v>7</v>
      </c>
      <c r="AF174" s="2">
        <f t="shared" si="240"/>
        <v>-99999</v>
      </c>
      <c r="AG174" s="2">
        <f t="shared" si="240"/>
        <v>-99999</v>
      </c>
      <c r="AH174" s="2">
        <f t="shared" si="240"/>
        <v>-99999</v>
      </c>
      <c r="AI174" s="2">
        <f t="shared" si="240"/>
        <v>-99999</v>
      </c>
      <c r="AJ174" s="2">
        <f t="shared" si="240"/>
        <v>0</v>
      </c>
      <c r="AK174" s="2">
        <f t="shared" si="240"/>
        <v>0</v>
      </c>
      <c r="AL174" s="2">
        <f t="shared" si="240"/>
        <v>0</v>
      </c>
      <c r="AM174" s="2">
        <f t="shared" si="240"/>
        <v>0</v>
      </c>
      <c r="AN174" s="2">
        <f t="shared" si="240"/>
        <v>0</v>
      </c>
      <c r="AO174" s="2">
        <f t="shared" si="240"/>
        <v>0</v>
      </c>
      <c r="AP174" s="2">
        <f t="shared" si="240"/>
        <v>0</v>
      </c>
      <c r="AQ174" s="2">
        <f t="shared" si="240"/>
        <v>0</v>
      </c>
      <c r="AR174" s="2">
        <f t="shared" si="240"/>
        <v>0</v>
      </c>
      <c r="AS174" s="2">
        <f t="shared" si="240"/>
        <v>0</v>
      </c>
      <c r="AT174" s="2">
        <f t="shared" si="240"/>
        <v>0</v>
      </c>
      <c r="AU174" s="2">
        <f t="shared" si="240"/>
        <v>0</v>
      </c>
      <c r="AV174" s="2">
        <f t="shared" si="240"/>
        <v>0</v>
      </c>
      <c r="AW174" s="2">
        <f t="shared" si="240"/>
        <v>0</v>
      </c>
      <c r="AX174" s="2">
        <f t="shared" si="240"/>
        <v>0</v>
      </c>
      <c r="AY174" s="2">
        <f t="shared" si="240"/>
        <v>0</v>
      </c>
      <c r="AZ174" s="2">
        <f t="shared" si="240"/>
        <v>0</v>
      </c>
      <c r="BA174" s="2">
        <f t="shared" si="240"/>
        <v>0</v>
      </c>
      <c r="BB174" s="2">
        <f t="shared" si="240"/>
        <v>0</v>
      </c>
      <c r="BC174" s="2">
        <f t="shared" si="240"/>
        <v>0</v>
      </c>
      <c r="BD174" s="2">
        <f t="shared" si="240"/>
        <v>0</v>
      </c>
      <c r="BE174" s="2">
        <f t="shared" si="240"/>
        <v>0</v>
      </c>
      <c r="BF174" s="2">
        <f t="shared" si="240"/>
        <v>0</v>
      </c>
      <c r="BG174" s="2">
        <f t="shared" si="240"/>
        <v>0</v>
      </c>
      <c r="BH174" s="2">
        <f t="shared" si="240"/>
        <v>0</v>
      </c>
      <c r="BI174" s="2">
        <f t="shared" si="240"/>
        <v>0</v>
      </c>
      <c r="BJ174" s="2">
        <f t="shared" si="240"/>
        <v>0</v>
      </c>
      <c r="BK174" s="2">
        <f t="shared" si="240"/>
        <v>0</v>
      </c>
      <c r="BL174" s="2">
        <f t="shared" si="240"/>
        <v>0</v>
      </c>
      <c r="BM174" s="2">
        <f t="shared" si="240"/>
        <v>0</v>
      </c>
      <c r="BN174" s="2">
        <f t="shared" si="240"/>
        <v>0</v>
      </c>
      <c r="BO174" s="2">
        <f t="shared" si="240"/>
        <v>0</v>
      </c>
      <c r="BP174" s="2">
        <f t="shared" si="240"/>
        <v>0</v>
      </c>
      <c r="BQ174" s="2">
        <f t="shared" si="240"/>
        <v>0</v>
      </c>
      <c r="BR174" s="2">
        <f t="shared" si="240"/>
        <v>0</v>
      </c>
      <c r="BS174" s="2">
        <f t="shared" si="240"/>
        <v>0</v>
      </c>
      <c r="BT174" s="2">
        <f t="shared" si="241"/>
        <v>0</v>
      </c>
      <c r="BU174" s="2">
        <f t="shared" si="241"/>
        <v>0</v>
      </c>
      <c r="BV174" s="2">
        <f t="shared" si="241"/>
        <v>0</v>
      </c>
      <c r="BW174" s="2">
        <f t="shared" si="241"/>
        <v>0</v>
      </c>
      <c r="BX174" s="2">
        <f t="shared" si="241"/>
        <v>0</v>
      </c>
      <c r="BY174" s="2">
        <f t="shared" si="241"/>
        <v>0</v>
      </c>
      <c r="BZ174" s="2">
        <f t="shared" si="241"/>
        <v>0</v>
      </c>
      <c r="CA174" s="2">
        <f t="shared" si="241"/>
        <v>0</v>
      </c>
      <c r="CB174" s="2">
        <f t="shared" si="241"/>
        <v>0</v>
      </c>
      <c r="CC174" s="2">
        <f t="shared" si="241"/>
        <v>0</v>
      </c>
      <c r="CD174" s="2">
        <f t="shared" si="241"/>
        <v>0</v>
      </c>
    </row>
    <row r="175" spans="3:82" s="2" customFormat="1" x14ac:dyDescent="0.2">
      <c r="E175" s="2" t="s">
        <v>112</v>
      </c>
      <c r="F175" s="2" t="s">
        <v>7</v>
      </c>
      <c r="AF175" s="2">
        <f t="shared" si="240"/>
        <v>-99999</v>
      </c>
      <c r="AG175" s="2">
        <f t="shared" si="240"/>
        <v>-99999</v>
      </c>
      <c r="AH175" s="2">
        <f t="shared" si="240"/>
        <v>-99999</v>
      </c>
      <c r="AI175" s="2">
        <f t="shared" si="240"/>
        <v>-99999</v>
      </c>
      <c r="AJ175" s="2">
        <f t="shared" si="240"/>
        <v>0</v>
      </c>
      <c r="AK175" s="2">
        <f t="shared" si="240"/>
        <v>0</v>
      </c>
      <c r="AL175" s="2">
        <f t="shared" si="240"/>
        <v>0</v>
      </c>
      <c r="AM175" s="2">
        <f t="shared" si="240"/>
        <v>0</v>
      </c>
      <c r="AN175" s="2">
        <f t="shared" si="240"/>
        <v>0</v>
      </c>
      <c r="AO175" s="2">
        <f t="shared" si="240"/>
        <v>0</v>
      </c>
      <c r="AP175" s="2">
        <f t="shared" si="240"/>
        <v>0</v>
      </c>
      <c r="AQ175" s="2">
        <f t="shared" si="240"/>
        <v>0</v>
      </c>
      <c r="AR175" s="2">
        <f t="shared" si="240"/>
        <v>0</v>
      </c>
      <c r="AS175" s="2">
        <f t="shared" si="240"/>
        <v>0</v>
      </c>
      <c r="AT175" s="2">
        <f t="shared" si="240"/>
        <v>0</v>
      </c>
      <c r="AU175" s="2">
        <f t="shared" si="240"/>
        <v>0</v>
      </c>
      <c r="AV175" s="2">
        <f t="shared" si="240"/>
        <v>0</v>
      </c>
      <c r="AW175" s="2">
        <f t="shared" si="240"/>
        <v>0</v>
      </c>
      <c r="AX175" s="2">
        <f t="shared" si="240"/>
        <v>0</v>
      </c>
      <c r="AY175" s="2">
        <f t="shared" si="240"/>
        <v>0</v>
      </c>
      <c r="AZ175" s="2">
        <f t="shared" si="240"/>
        <v>0</v>
      </c>
      <c r="BA175" s="2">
        <f t="shared" si="240"/>
        <v>0</v>
      </c>
      <c r="BB175" s="2">
        <f t="shared" si="240"/>
        <v>0</v>
      </c>
      <c r="BC175" s="2">
        <f t="shared" si="240"/>
        <v>0</v>
      </c>
      <c r="BD175" s="2">
        <f t="shared" si="240"/>
        <v>0</v>
      </c>
      <c r="BE175" s="2">
        <f t="shared" si="240"/>
        <v>0</v>
      </c>
      <c r="BF175" s="2">
        <f t="shared" si="240"/>
        <v>0</v>
      </c>
      <c r="BG175" s="2">
        <f t="shared" si="240"/>
        <v>0</v>
      </c>
      <c r="BH175" s="2">
        <f t="shared" si="240"/>
        <v>0</v>
      </c>
      <c r="BI175" s="2">
        <f t="shared" si="240"/>
        <v>0</v>
      </c>
      <c r="BJ175" s="2">
        <f t="shared" si="240"/>
        <v>0</v>
      </c>
      <c r="BK175" s="2">
        <f t="shared" si="240"/>
        <v>0</v>
      </c>
      <c r="BL175" s="2">
        <f t="shared" si="240"/>
        <v>0</v>
      </c>
      <c r="BM175" s="2">
        <f t="shared" si="240"/>
        <v>0</v>
      </c>
      <c r="BN175" s="2">
        <f t="shared" si="240"/>
        <v>0</v>
      </c>
      <c r="BO175" s="2">
        <f t="shared" si="240"/>
        <v>0</v>
      </c>
      <c r="BP175" s="2">
        <f t="shared" si="240"/>
        <v>0</v>
      </c>
      <c r="BQ175" s="2">
        <f t="shared" si="240"/>
        <v>0</v>
      </c>
      <c r="BR175" s="2">
        <f t="shared" si="240"/>
        <v>0</v>
      </c>
      <c r="BS175" s="2">
        <f t="shared" ref="BS175:CD177" si="242">CA391</f>
        <v>0</v>
      </c>
      <c r="BT175" s="2">
        <f t="shared" si="242"/>
        <v>0</v>
      </c>
      <c r="BU175" s="2">
        <f t="shared" si="242"/>
        <v>0</v>
      </c>
      <c r="BV175" s="2">
        <f t="shared" si="242"/>
        <v>0</v>
      </c>
      <c r="BW175" s="2">
        <f t="shared" si="242"/>
        <v>0</v>
      </c>
      <c r="BX175" s="2">
        <f t="shared" si="242"/>
        <v>0</v>
      </c>
      <c r="BY175" s="2">
        <f t="shared" si="242"/>
        <v>0</v>
      </c>
      <c r="BZ175" s="2">
        <f t="shared" si="242"/>
        <v>0</v>
      </c>
      <c r="CA175" s="2">
        <f t="shared" si="242"/>
        <v>0</v>
      </c>
      <c r="CB175" s="2">
        <f t="shared" si="242"/>
        <v>0</v>
      </c>
      <c r="CC175" s="2">
        <f t="shared" si="242"/>
        <v>0</v>
      </c>
      <c r="CD175" s="2">
        <f t="shared" si="242"/>
        <v>0</v>
      </c>
    </row>
    <row r="176" spans="3:82" s="2" customFormat="1" x14ac:dyDescent="0.2">
      <c r="E176" s="2" t="s">
        <v>113</v>
      </c>
      <c r="F176" s="2" t="s">
        <v>7</v>
      </c>
      <c r="AF176" s="2">
        <f t="shared" ref="AF176:AO177" si="243">AN392</f>
        <v>-99999</v>
      </c>
      <c r="AG176" s="2">
        <f t="shared" si="243"/>
        <v>-99999</v>
      </c>
      <c r="AH176" s="2">
        <f t="shared" si="243"/>
        <v>-99999</v>
      </c>
      <c r="AI176" s="2">
        <f t="shared" si="243"/>
        <v>-99999</v>
      </c>
      <c r="AJ176" s="2">
        <f t="shared" si="243"/>
        <v>0</v>
      </c>
      <c r="AK176" s="2">
        <f t="shared" si="243"/>
        <v>0</v>
      </c>
      <c r="AL176" s="2">
        <f t="shared" si="243"/>
        <v>0</v>
      </c>
      <c r="AM176" s="2">
        <f t="shared" si="243"/>
        <v>0</v>
      </c>
      <c r="AN176" s="2">
        <f t="shared" si="243"/>
        <v>0</v>
      </c>
      <c r="AO176" s="2">
        <f t="shared" si="243"/>
        <v>0</v>
      </c>
      <c r="AP176" s="2">
        <f t="shared" ref="AP176:AY177" si="244">AX392</f>
        <v>0</v>
      </c>
      <c r="AQ176" s="2">
        <f t="shared" si="244"/>
        <v>0</v>
      </c>
      <c r="AR176" s="2">
        <f t="shared" si="244"/>
        <v>0</v>
      </c>
      <c r="AS176" s="2">
        <f t="shared" si="244"/>
        <v>0</v>
      </c>
      <c r="AT176" s="2">
        <f t="shared" si="244"/>
        <v>0</v>
      </c>
      <c r="AU176" s="2">
        <f t="shared" si="244"/>
        <v>0</v>
      </c>
      <c r="AV176" s="2">
        <f t="shared" si="244"/>
        <v>0</v>
      </c>
      <c r="AW176" s="2">
        <f t="shared" si="244"/>
        <v>0</v>
      </c>
      <c r="AX176" s="2">
        <f t="shared" si="244"/>
        <v>0</v>
      </c>
      <c r="AY176" s="2">
        <f t="shared" si="244"/>
        <v>0</v>
      </c>
      <c r="AZ176" s="2">
        <f t="shared" ref="AZ176:BI177" si="245">BH392</f>
        <v>0</v>
      </c>
      <c r="BA176" s="2">
        <f t="shared" si="245"/>
        <v>0</v>
      </c>
      <c r="BB176" s="2">
        <f t="shared" si="245"/>
        <v>0</v>
      </c>
      <c r="BC176" s="2">
        <f t="shared" si="245"/>
        <v>0</v>
      </c>
      <c r="BD176" s="2">
        <f t="shared" si="245"/>
        <v>0</v>
      </c>
      <c r="BE176" s="2">
        <f t="shared" si="245"/>
        <v>0</v>
      </c>
      <c r="BF176" s="2">
        <f t="shared" si="245"/>
        <v>0</v>
      </c>
      <c r="BG176" s="2">
        <f t="shared" si="245"/>
        <v>0</v>
      </c>
      <c r="BH176" s="2">
        <f t="shared" si="245"/>
        <v>0</v>
      </c>
      <c r="BI176" s="2">
        <f t="shared" si="245"/>
        <v>0</v>
      </c>
      <c r="BJ176" s="2">
        <f t="shared" ref="BJ176:BS177" si="246">BR392</f>
        <v>0</v>
      </c>
      <c r="BK176" s="2">
        <f t="shared" si="246"/>
        <v>0</v>
      </c>
      <c r="BL176" s="2">
        <f t="shared" si="246"/>
        <v>0</v>
      </c>
      <c r="BM176" s="2">
        <f t="shared" si="246"/>
        <v>0</v>
      </c>
      <c r="BN176" s="2">
        <f t="shared" si="246"/>
        <v>0</v>
      </c>
      <c r="BO176" s="2">
        <f t="shared" si="246"/>
        <v>0</v>
      </c>
      <c r="BP176" s="2">
        <f t="shared" si="246"/>
        <v>0</v>
      </c>
      <c r="BQ176" s="2">
        <f t="shared" si="246"/>
        <v>0</v>
      </c>
      <c r="BR176" s="2">
        <f t="shared" si="246"/>
        <v>0</v>
      </c>
      <c r="BS176" s="2">
        <f t="shared" si="242"/>
        <v>0</v>
      </c>
      <c r="BT176" s="2">
        <f t="shared" si="242"/>
        <v>0</v>
      </c>
      <c r="BU176" s="2">
        <f t="shared" si="242"/>
        <v>0</v>
      </c>
      <c r="BV176" s="2">
        <f t="shared" si="242"/>
        <v>0</v>
      </c>
      <c r="BW176" s="2">
        <f t="shared" si="242"/>
        <v>0</v>
      </c>
      <c r="BX176" s="2">
        <f t="shared" si="242"/>
        <v>0</v>
      </c>
      <c r="BY176" s="2">
        <f t="shared" si="242"/>
        <v>0</v>
      </c>
      <c r="BZ176" s="2">
        <f t="shared" si="242"/>
        <v>0</v>
      </c>
      <c r="CA176" s="2">
        <f t="shared" si="242"/>
        <v>0</v>
      </c>
      <c r="CB176" s="2">
        <f t="shared" si="242"/>
        <v>0</v>
      </c>
      <c r="CC176" s="2">
        <f t="shared" si="242"/>
        <v>0</v>
      </c>
      <c r="CD176" s="2">
        <f t="shared" si="242"/>
        <v>0</v>
      </c>
    </row>
    <row r="177" spans="3:82" s="2" customFormat="1" x14ac:dyDescent="0.2">
      <c r="E177" s="2" t="s">
        <v>114</v>
      </c>
      <c r="F177" s="2" t="s">
        <v>7</v>
      </c>
      <c r="AF177" s="2">
        <f t="shared" si="243"/>
        <v>-99999</v>
      </c>
      <c r="AG177" s="2">
        <f t="shared" si="243"/>
        <v>-99999</v>
      </c>
      <c r="AH177" s="2">
        <f t="shared" si="243"/>
        <v>-99999</v>
      </c>
      <c r="AI177" s="2">
        <f t="shared" si="243"/>
        <v>-99999</v>
      </c>
      <c r="AJ177" s="2">
        <f t="shared" si="243"/>
        <v>72.349294356187599</v>
      </c>
      <c r="AK177" s="2">
        <f t="shared" si="243"/>
        <v>68.804372720654783</v>
      </c>
      <c r="AL177" s="2">
        <f t="shared" si="243"/>
        <v>65.435251909370905</v>
      </c>
      <c r="AM177" s="2">
        <f t="shared" si="243"/>
        <v>62.262999470819899</v>
      </c>
      <c r="AN177" s="2">
        <f t="shared" si="243"/>
        <v>59.514566787195697</v>
      </c>
      <c r="AO177" s="2">
        <f t="shared" si="243"/>
        <v>57.382668913106599</v>
      </c>
      <c r="AP177" s="2">
        <f t="shared" si="244"/>
        <v>56.26384032611</v>
      </c>
      <c r="AQ177" s="2">
        <f t="shared" si="244"/>
        <v>65.913067483621205</v>
      </c>
      <c r="AR177" s="2">
        <f t="shared" si="244"/>
        <v>65.231878760545399</v>
      </c>
      <c r="AS177" s="2">
        <f t="shared" si="244"/>
        <v>64.584731984017992</v>
      </c>
      <c r="AT177" s="2">
        <f t="shared" si="244"/>
        <v>64.071207589958718</v>
      </c>
      <c r="AU177" s="2">
        <f t="shared" si="244"/>
        <v>63.841277089405501</v>
      </c>
      <c r="AV177" s="2">
        <f t="shared" si="244"/>
        <v>64.082919495537595</v>
      </c>
      <c r="AW177" s="2">
        <f t="shared" si="244"/>
        <v>64.846334043314002</v>
      </c>
      <c r="AX177" s="2">
        <f t="shared" si="244"/>
        <v>66.119106524269611</v>
      </c>
      <c r="AY177" s="2">
        <f t="shared" si="244"/>
        <v>67.819340047425996</v>
      </c>
      <c r="AZ177" s="2">
        <f t="shared" si="245"/>
        <v>69.798704539221106</v>
      </c>
      <c r="BA177" s="2">
        <f t="shared" si="245"/>
        <v>71.851730111103009</v>
      </c>
      <c r="BB177" s="2">
        <f t="shared" si="245"/>
        <v>73.730371688126297</v>
      </c>
      <c r="BC177" s="2">
        <f t="shared" si="245"/>
        <v>75.176668833175796</v>
      </c>
      <c r="BD177" s="2">
        <f t="shared" si="245"/>
        <v>75.986969977336003</v>
      </c>
      <c r="BE177" s="2">
        <f t="shared" si="245"/>
        <v>76.007251100564005</v>
      </c>
      <c r="BF177" s="2">
        <f t="shared" si="245"/>
        <v>75.158603147355393</v>
      </c>
      <c r="BG177" s="2">
        <f t="shared" si="245"/>
        <v>73.347904872040402</v>
      </c>
      <c r="BH177" s="2">
        <f t="shared" si="245"/>
        <v>70.612020802591402</v>
      </c>
      <c r="BI177" s="2">
        <f t="shared" si="245"/>
        <v>67.382077419023801</v>
      </c>
      <c r="BJ177" s="2">
        <f t="shared" si="246"/>
        <v>64.81312448920761</v>
      </c>
      <c r="BK177" s="2">
        <f t="shared" si="246"/>
        <v>63.054654853441498</v>
      </c>
      <c r="BL177" s="2">
        <f t="shared" si="246"/>
        <v>61.667127998553703</v>
      </c>
      <c r="BM177" s="2">
        <f t="shared" si="246"/>
        <v>60.021708997563302</v>
      </c>
      <c r="BN177" s="2">
        <f t="shared" si="246"/>
        <v>57.223594178053503</v>
      </c>
      <c r="BO177" s="2">
        <f t="shared" si="246"/>
        <v>54.5429103326477</v>
      </c>
      <c r="BP177" s="2">
        <f t="shared" si="246"/>
        <v>51.975608658436087</v>
      </c>
      <c r="BQ177" s="2">
        <f t="shared" si="246"/>
        <v>49.516686774158899</v>
      </c>
      <c r="BR177" s="2">
        <f t="shared" si="246"/>
        <v>47.169366397971608</v>
      </c>
      <c r="BS177" s="2">
        <f t="shared" si="242"/>
        <v>44.929650757516299</v>
      </c>
      <c r="BT177" s="2">
        <f t="shared" si="242"/>
        <v>42.796756840124701</v>
      </c>
      <c r="BU177" s="2">
        <f t="shared" si="242"/>
        <v>40.764437835372213</v>
      </c>
      <c r="BV177" s="2">
        <f t="shared" si="242"/>
        <v>38.826610573518003</v>
      </c>
      <c r="BW177" s="2">
        <f t="shared" si="242"/>
        <v>36.9774975147402</v>
      </c>
      <c r="BX177" s="2">
        <f t="shared" si="242"/>
        <v>35.213126143301999</v>
      </c>
      <c r="BY177" s="2">
        <f t="shared" si="242"/>
        <v>34.045878377822604</v>
      </c>
      <c r="BZ177" s="2">
        <f t="shared" si="242"/>
        <v>32.8648026354441</v>
      </c>
      <c r="CA177" s="2">
        <f t="shared" si="242"/>
        <v>31.6587895854768</v>
      </c>
      <c r="CB177" s="2">
        <f t="shared" si="242"/>
        <v>30.427384691695</v>
      </c>
      <c r="CC177" s="2">
        <f t="shared" si="242"/>
        <v>29.1733892367481</v>
      </c>
      <c r="CD177" s="2">
        <f t="shared" si="242"/>
        <v>30.561923040479201</v>
      </c>
    </row>
    <row r="178" spans="3:82" s="3" customFormat="1" x14ac:dyDescent="0.2">
      <c r="C178" s="3" t="s">
        <v>115</v>
      </c>
      <c r="G178" s="3">
        <f>SUM(G179:G184)</f>
        <v>0</v>
      </c>
      <c r="H178" s="3">
        <f t="shared" ref="H178:BS178" si="247">SUM(H179:H184)</f>
        <v>0</v>
      </c>
      <c r="I178" s="3">
        <f t="shared" si="247"/>
        <v>0</v>
      </c>
      <c r="J178" s="3">
        <f t="shared" si="247"/>
        <v>0</v>
      </c>
      <c r="K178" s="3">
        <f t="shared" si="247"/>
        <v>0</v>
      </c>
      <c r="L178" s="3">
        <f t="shared" si="247"/>
        <v>0</v>
      </c>
      <c r="M178" s="3">
        <f t="shared" si="247"/>
        <v>0</v>
      </c>
      <c r="N178" s="3">
        <f t="shared" si="247"/>
        <v>0</v>
      </c>
      <c r="O178" s="3">
        <f t="shared" si="247"/>
        <v>0</v>
      </c>
      <c r="P178" s="3">
        <f t="shared" si="247"/>
        <v>0</v>
      </c>
      <c r="Q178" s="3">
        <f t="shared" si="247"/>
        <v>0</v>
      </c>
      <c r="R178" s="3">
        <f t="shared" si="247"/>
        <v>0</v>
      </c>
      <c r="S178" s="3">
        <f t="shared" si="247"/>
        <v>0</v>
      </c>
      <c r="T178" s="3">
        <f t="shared" si="247"/>
        <v>0</v>
      </c>
      <c r="U178" s="3">
        <f t="shared" si="247"/>
        <v>0</v>
      </c>
      <c r="V178" s="3">
        <f t="shared" si="247"/>
        <v>0</v>
      </c>
      <c r="W178" s="3">
        <f t="shared" si="247"/>
        <v>0</v>
      </c>
      <c r="X178" s="3">
        <f t="shared" si="247"/>
        <v>0</v>
      </c>
      <c r="Y178" s="3">
        <f t="shared" si="247"/>
        <v>0</v>
      </c>
      <c r="Z178" s="3">
        <f t="shared" si="247"/>
        <v>0</v>
      </c>
      <c r="AA178" s="3">
        <f t="shared" si="247"/>
        <v>0</v>
      </c>
      <c r="AB178" s="3">
        <f t="shared" si="247"/>
        <v>0</v>
      </c>
      <c r="AC178" s="3">
        <f t="shared" si="247"/>
        <v>0</v>
      </c>
      <c r="AD178" s="3">
        <f t="shared" si="247"/>
        <v>0</v>
      </c>
      <c r="AE178" s="3">
        <f t="shared" si="247"/>
        <v>0</v>
      </c>
      <c r="AF178" s="3">
        <f t="shared" si="247"/>
        <v>-399996</v>
      </c>
      <c r="AG178" s="3">
        <f t="shared" si="247"/>
        <v>-399996</v>
      </c>
      <c r="AH178" s="3">
        <f t="shared" si="247"/>
        <v>-399996</v>
      </c>
      <c r="AI178" s="3">
        <f t="shared" si="247"/>
        <v>-399996</v>
      </c>
      <c r="AJ178" s="3">
        <f t="shared" si="247"/>
        <v>51.131500093274113</v>
      </c>
      <c r="AK178" s="3">
        <f t="shared" si="247"/>
        <v>49.0092956226637</v>
      </c>
      <c r="AL178" s="3">
        <f t="shared" si="247"/>
        <v>46.996851846661094</v>
      </c>
      <c r="AM178" s="3">
        <f t="shared" si="247"/>
        <v>44.846146455586798</v>
      </c>
      <c r="AN178" s="3">
        <f t="shared" si="247"/>
        <v>42.917674026994604</v>
      </c>
      <c r="AO178" s="3">
        <f t="shared" si="247"/>
        <v>41.3869341429142</v>
      </c>
      <c r="AP178" s="3">
        <f t="shared" si="247"/>
        <v>38.418289236423099</v>
      </c>
      <c r="AQ178" s="3">
        <f t="shared" si="247"/>
        <v>11.124901683632901</v>
      </c>
      <c r="AR178" s="3">
        <f t="shared" si="247"/>
        <v>11.014354415664499</v>
      </c>
      <c r="AS178" s="3">
        <f t="shared" si="247"/>
        <v>10.9230760153389</v>
      </c>
      <c r="AT178" s="3">
        <f t="shared" si="247"/>
        <v>10.8716359634388</v>
      </c>
      <c r="AU178" s="3">
        <f t="shared" si="247"/>
        <v>10.879091462417501</v>
      </c>
      <c r="AV178" s="3">
        <f t="shared" si="247"/>
        <v>10.9751118853747</v>
      </c>
      <c r="AW178" s="3">
        <f t="shared" si="247"/>
        <v>11.164912697974399</v>
      </c>
      <c r="AX178" s="3">
        <f t="shared" si="247"/>
        <v>11.442581517828399</v>
      </c>
      <c r="AY178" s="3">
        <f t="shared" si="247"/>
        <v>11.7890030236921</v>
      </c>
      <c r="AZ178" s="3">
        <f t="shared" si="247"/>
        <v>12.171598935195</v>
      </c>
      <c r="BA178" s="3">
        <f t="shared" si="247"/>
        <v>12.5457931544613</v>
      </c>
      <c r="BB178" s="3">
        <f t="shared" si="247"/>
        <v>12.8584557142297</v>
      </c>
      <c r="BC178" s="3">
        <f t="shared" si="247"/>
        <v>13.063796164063801</v>
      </c>
      <c r="BD178" s="3">
        <f t="shared" si="247"/>
        <v>13.124285235319</v>
      </c>
      <c r="BE178" s="3">
        <f t="shared" si="247"/>
        <v>13.027753327258401</v>
      </c>
      <c r="BF178" s="3">
        <f t="shared" si="247"/>
        <v>12.759537007600301</v>
      </c>
      <c r="BG178" s="3">
        <f t="shared" si="247"/>
        <v>12.313996039283699</v>
      </c>
      <c r="BH178" s="3">
        <f t="shared" si="247"/>
        <v>11.7069028446206</v>
      </c>
      <c r="BI178" s="3">
        <f t="shared" si="247"/>
        <v>10.885547943341299</v>
      </c>
      <c r="BJ178" s="3">
        <f t="shared" si="247"/>
        <v>9.0532571015283008</v>
      </c>
      <c r="BK178" s="3">
        <f t="shared" si="247"/>
        <v>6.0197536636980997</v>
      </c>
      <c r="BL178" s="3">
        <f t="shared" si="247"/>
        <v>2.6153821086115001</v>
      </c>
      <c r="BM178" s="3">
        <f t="shared" si="247"/>
        <v>0</v>
      </c>
      <c r="BN178" s="3">
        <f t="shared" si="247"/>
        <v>0</v>
      </c>
      <c r="BO178" s="3">
        <f t="shared" si="247"/>
        <v>0</v>
      </c>
      <c r="BP178" s="3">
        <f t="shared" si="247"/>
        <v>0</v>
      </c>
      <c r="BQ178" s="3">
        <f t="shared" si="247"/>
        <v>0</v>
      </c>
      <c r="BR178" s="3">
        <f t="shared" si="247"/>
        <v>0</v>
      </c>
      <c r="BS178" s="3">
        <f t="shared" si="247"/>
        <v>0</v>
      </c>
      <c r="BT178" s="3">
        <f t="shared" ref="BT178:CD178" si="248">SUM(BT179:BT184)</f>
        <v>0</v>
      </c>
      <c r="BU178" s="3">
        <f t="shared" si="248"/>
        <v>0</v>
      </c>
      <c r="BV178" s="3">
        <f t="shared" si="248"/>
        <v>0</v>
      </c>
      <c r="BW178" s="3">
        <f t="shared" si="248"/>
        <v>0</v>
      </c>
      <c r="BX178" s="3">
        <f t="shared" si="248"/>
        <v>0</v>
      </c>
      <c r="BY178" s="3">
        <f t="shared" si="248"/>
        <v>0</v>
      </c>
      <c r="BZ178" s="3">
        <f t="shared" si="248"/>
        <v>0</v>
      </c>
      <c r="CA178" s="3">
        <f t="shared" si="248"/>
        <v>0</v>
      </c>
      <c r="CB178" s="3">
        <f t="shared" si="248"/>
        <v>0</v>
      </c>
      <c r="CC178" s="3">
        <f t="shared" si="248"/>
        <v>0</v>
      </c>
      <c r="CD178" s="3">
        <f t="shared" si="248"/>
        <v>0</v>
      </c>
    </row>
    <row r="179" spans="3:82" s="2" customFormat="1" x14ac:dyDescent="0.2">
      <c r="D179" s="2" t="s">
        <v>116</v>
      </c>
    </row>
    <row r="180" spans="3:82" s="2" customFormat="1" x14ac:dyDescent="0.2">
      <c r="E180" s="2" t="s">
        <v>117</v>
      </c>
      <c r="F180" s="2" t="s">
        <v>7</v>
      </c>
      <c r="AF180" s="2">
        <f t="shared" ref="AF180:BS181" si="249">AN394</f>
        <v>-99999</v>
      </c>
      <c r="AG180" s="2">
        <f t="shared" si="249"/>
        <v>-99999</v>
      </c>
      <c r="AH180" s="2">
        <f t="shared" si="249"/>
        <v>-99999</v>
      </c>
      <c r="AI180" s="2">
        <f t="shared" si="249"/>
        <v>-99999</v>
      </c>
      <c r="AJ180" s="2">
        <f t="shared" si="249"/>
        <v>0</v>
      </c>
      <c r="AK180" s="2">
        <f t="shared" si="249"/>
        <v>0</v>
      </c>
      <c r="AL180" s="2">
        <f t="shared" si="249"/>
        <v>0</v>
      </c>
      <c r="AM180" s="2">
        <f t="shared" si="249"/>
        <v>0</v>
      </c>
      <c r="AN180" s="2">
        <f t="shared" si="249"/>
        <v>0</v>
      </c>
      <c r="AO180" s="2">
        <f t="shared" si="249"/>
        <v>0</v>
      </c>
      <c r="AP180" s="2">
        <f t="shared" si="249"/>
        <v>0</v>
      </c>
      <c r="AQ180" s="2">
        <f t="shared" si="249"/>
        <v>0</v>
      </c>
      <c r="AR180" s="2">
        <f t="shared" si="249"/>
        <v>0</v>
      </c>
      <c r="AS180" s="2">
        <f t="shared" si="249"/>
        <v>0</v>
      </c>
      <c r="AT180" s="2">
        <f t="shared" si="249"/>
        <v>0</v>
      </c>
      <c r="AU180" s="2">
        <f t="shared" si="249"/>
        <v>0</v>
      </c>
      <c r="AV180" s="2">
        <f t="shared" si="249"/>
        <v>0</v>
      </c>
      <c r="AW180" s="2">
        <f t="shared" si="249"/>
        <v>0</v>
      </c>
      <c r="AX180" s="2">
        <f t="shared" si="249"/>
        <v>0</v>
      </c>
      <c r="AY180" s="2">
        <f t="shared" si="249"/>
        <v>0</v>
      </c>
      <c r="AZ180" s="2">
        <f t="shared" si="249"/>
        <v>0</v>
      </c>
      <c r="BA180" s="2">
        <f t="shared" si="249"/>
        <v>0</v>
      </c>
      <c r="BB180" s="2">
        <f t="shared" si="249"/>
        <v>0</v>
      </c>
      <c r="BC180" s="2">
        <f t="shared" si="249"/>
        <v>0</v>
      </c>
      <c r="BD180" s="2">
        <f t="shared" si="249"/>
        <v>0</v>
      </c>
      <c r="BE180" s="2">
        <f t="shared" si="249"/>
        <v>0</v>
      </c>
      <c r="BF180" s="2">
        <f t="shared" si="249"/>
        <v>0</v>
      </c>
      <c r="BG180" s="2">
        <f t="shared" si="249"/>
        <v>0</v>
      </c>
      <c r="BH180" s="2">
        <f t="shared" si="249"/>
        <v>0</v>
      </c>
      <c r="BI180" s="2">
        <f t="shared" si="249"/>
        <v>0</v>
      </c>
      <c r="BJ180" s="2">
        <f t="shared" si="249"/>
        <v>0</v>
      </c>
      <c r="BK180" s="2">
        <f t="shared" si="249"/>
        <v>0</v>
      </c>
      <c r="BL180" s="2">
        <f t="shared" si="249"/>
        <v>0</v>
      </c>
      <c r="BM180" s="2">
        <f t="shared" si="249"/>
        <v>0</v>
      </c>
      <c r="BN180" s="2">
        <f t="shared" si="249"/>
        <v>0</v>
      </c>
      <c r="BO180" s="2">
        <f t="shared" si="249"/>
        <v>0</v>
      </c>
      <c r="BP180" s="2">
        <f t="shared" si="249"/>
        <v>0</v>
      </c>
      <c r="BQ180" s="2">
        <f t="shared" si="249"/>
        <v>0</v>
      </c>
      <c r="BR180" s="2">
        <f t="shared" si="249"/>
        <v>0</v>
      </c>
      <c r="BS180" s="2">
        <f t="shared" si="249"/>
        <v>0</v>
      </c>
      <c r="BT180" s="2">
        <f t="shared" ref="BT180:CD180" si="250">CB394</f>
        <v>0</v>
      </c>
      <c r="BU180" s="2">
        <f t="shared" si="250"/>
        <v>0</v>
      </c>
      <c r="BV180" s="2">
        <f t="shared" si="250"/>
        <v>0</v>
      </c>
      <c r="BW180" s="2">
        <f t="shared" si="250"/>
        <v>0</v>
      </c>
      <c r="BX180" s="2">
        <f t="shared" si="250"/>
        <v>0</v>
      </c>
      <c r="BY180" s="2">
        <f t="shared" si="250"/>
        <v>0</v>
      </c>
      <c r="BZ180" s="2">
        <f t="shared" si="250"/>
        <v>0</v>
      </c>
      <c r="CA180" s="2">
        <f t="shared" si="250"/>
        <v>0</v>
      </c>
      <c r="CB180" s="2">
        <f t="shared" si="250"/>
        <v>0</v>
      </c>
      <c r="CC180" s="2">
        <f t="shared" si="250"/>
        <v>0</v>
      </c>
      <c r="CD180" s="2">
        <f t="shared" si="250"/>
        <v>0</v>
      </c>
    </row>
    <row r="181" spans="3:82" s="2" customFormat="1" x14ac:dyDescent="0.2">
      <c r="E181" s="2" t="s">
        <v>119</v>
      </c>
      <c r="F181" s="2" t="s">
        <v>7</v>
      </c>
      <c r="AF181" s="2">
        <f t="shared" si="249"/>
        <v>-99999</v>
      </c>
      <c r="AG181" s="2">
        <f t="shared" si="249"/>
        <v>-99999</v>
      </c>
      <c r="AH181" s="2">
        <f t="shared" si="249"/>
        <v>-99999</v>
      </c>
      <c r="AI181" s="2">
        <f t="shared" si="249"/>
        <v>-99999</v>
      </c>
      <c r="AJ181" s="2">
        <f t="shared" si="249"/>
        <v>0</v>
      </c>
      <c r="AK181" s="2">
        <f t="shared" si="249"/>
        <v>0</v>
      </c>
      <c r="AL181" s="2">
        <f t="shared" si="249"/>
        <v>0</v>
      </c>
      <c r="AM181" s="2">
        <f t="shared" si="249"/>
        <v>0</v>
      </c>
      <c r="AN181" s="2">
        <f t="shared" si="249"/>
        <v>0</v>
      </c>
      <c r="AO181" s="2">
        <f t="shared" si="249"/>
        <v>0</v>
      </c>
      <c r="AP181" s="2">
        <f t="shared" si="249"/>
        <v>0</v>
      </c>
      <c r="AQ181" s="2">
        <f t="shared" si="249"/>
        <v>0</v>
      </c>
      <c r="AR181" s="2">
        <f t="shared" si="249"/>
        <v>0</v>
      </c>
      <c r="AS181" s="2">
        <f t="shared" si="249"/>
        <v>0</v>
      </c>
      <c r="AT181" s="2">
        <f t="shared" si="249"/>
        <v>0</v>
      </c>
      <c r="AU181" s="2">
        <f t="shared" si="249"/>
        <v>0</v>
      </c>
      <c r="AV181" s="2">
        <f t="shared" si="249"/>
        <v>0</v>
      </c>
      <c r="AW181" s="2">
        <f t="shared" si="249"/>
        <v>0</v>
      </c>
      <c r="AX181" s="2">
        <f t="shared" si="249"/>
        <v>0</v>
      </c>
      <c r="AY181" s="2">
        <f t="shared" si="249"/>
        <v>0</v>
      </c>
      <c r="AZ181" s="2">
        <f t="shared" si="249"/>
        <v>0</v>
      </c>
      <c r="BA181" s="2">
        <f t="shared" si="249"/>
        <v>0</v>
      </c>
      <c r="BB181" s="2">
        <f t="shared" si="249"/>
        <v>0</v>
      </c>
      <c r="BC181" s="2">
        <f t="shared" si="249"/>
        <v>0</v>
      </c>
      <c r="BD181" s="2">
        <f t="shared" si="249"/>
        <v>0</v>
      </c>
      <c r="BE181" s="2">
        <f t="shared" si="249"/>
        <v>0</v>
      </c>
      <c r="BF181" s="2">
        <f t="shared" si="249"/>
        <v>0</v>
      </c>
      <c r="BG181" s="2">
        <f t="shared" si="249"/>
        <v>0</v>
      </c>
      <c r="BH181" s="2">
        <f t="shared" si="249"/>
        <v>0</v>
      </c>
      <c r="BI181" s="2">
        <f t="shared" si="249"/>
        <v>0</v>
      </c>
      <c r="BJ181" s="2">
        <f t="shared" si="249"/>
        <v>0</v>
      </c>
      <c r="BK181" s="2">
        <f t="shared" si="249"/>
        <v>0</v>
      </c>
      <c r="BL181" s="2">
        <f t="shared" si="249"/>
        <v>0</v>
      </c>
      <c r="BM181" s="2">
        <f t="shared" si="249"/>
        <v>0</v>
      </c>
      <c r="BN181" s="2">
        <f t="shared" si="249"/>
        <v>0</v>
      </c>
      <c r="BO181" s="2">
        <f t="shared" si="249"/>
        <v>0</v>
      </c>
      <c r="BP181" s="2">
        <f t="shared" si="249"/>
        <v>0</v>
      </c>
      <c r="BQ181" s="2">
        <f t="shared" si="249"/>
        <v>0</v>
      </c>
      <c r="BR181" s="2">
        <f t="shared" si="249"/>
        <v>0</v>
      </c>
      <c r="BS181" s="2">
        <f t="shared" ref="BS181:CD181" si="251">CA395</f>
        <v>0</v>
      </c>
      <c r="BT181" s="2">
        <f t="shared" si="251"/>
        <v>0</v>
      </c>
      <c r="BU181" s="2">
        <f t="shared" si="251"/>
        <v>0</v>
      </c>
      <c r="BV181" s="2">
        <f t="shared" si="251"/>
        <v>0</v>
      </c>
      <c r="BW181" s="2">
        <f t="shared" si="251"/>
        <v>0</v>
      </c>
      <c r="BX181" s="2">
        <f t="shared" si="251"/>
        <v>0</v>
      </c>
      <c r="BY181" s="2">
        <f t="shared" si="251"/>
        <v>0</v>
      </c>
      <c r="BZ181" s="2">
        <f t="shared" si="251"/>
        <v>0</v>
      </c>
      <c r="CA181" s="2">
        <f t="shared" si="251"/>
        <v>0</v>
      </c>
      <c r="CB181" s="2">
        <f t="shared" si="251"/>
        <v>0</v>
      </c>
      <c r="CC181" s="2">
        <f t="shared" si="251"/>
        <v>0</v>
      </c>
      <c r="CD181" s="2">
        <f t="shared" si="251"/>
        <v>0</v>
      </c>
    </row>
    <row r="182" spans="3:82" s="2" customFormat="1" x14ac:dyDescent="0.2">
      <c r="D182" s="2" t="s">
        <v>120</v>
      </c>
    </row>
    <row r="183" spans="3:82" s="2" customFormat="1" x14ac:dyDescent="0.2">
      <c r="E183" s="2" t="s">
        <v>121</v>
      </c>
      <c r="F183" s="2" t="s">
        <v>7</v>
      </c>
      <c r="AF183" s="2">
        <f t="shared" ref="AF183:AO184" si="252">AN396</f>
        <v>-99999</v>
      </c>
      <c r="AG183" s="2">
        <f t="shared" si="252"/>
        <v>-99999</v>
      </c>
      <c r="AH183" s="2">
        <f t="shared" si="252"/>
        <v>-99999</v>
      </c>
      <c r="AI183" s="2">
        <f t="shared" si="252"/>
        <v>-99999</v>
      </c>
      <c r="AJ183" s="2">
        <f t="shared" si="252"/>
        <v>7.3449583924357</v>
      </c>
      <c r="AK183" s="2">
        <f t="shared" si="252"/>
        <v>6.9850751075088997</v>
      </c>
      <c r="AL183" s="2">
        <f t="shared" si="252"/>
        <v>6.6430392639845994</v>
      </c>
      <c r="AM183" s="2">
        <f t="shared" si="252"/>
        <v>6.3274375994124004</v>
      </c>
      <c r="AN183" s="2">
        <f t="shared" si="252"/>
        <v>6.0472792504125001</v>
      </c>
      <c r="AO183" s="2">
        <f t="shared" si="252"/>
        <v>5.8285548502460998</v>
      </c>
      <c r="AP183" s="2">
        <f t="shared" ref="AP183:AY184" si="253">AX396</f>
        <v>5.8918416571911996</v>
      </c>
      <c r="AQ183" s="2">
        <f t="shared" si="253"/>
        <v>11.124901683632901</v>
      </c>
      <c r="AR183" s="2">
        <f t="shared" si="253"/>
        <v>11.014354415664499</v>
      </c>
      <c r="AS183" s="2">
        <f t="shared" si="253"/>
        <v>10.9230760153389</v>
      </c>
      <c r="AT183" s="2">
        <f t="shared" si="253"/>
        <v>10.8716359634388</v>
      </c>
      <c r="AU183" s="2">
        <f t="shared" si="253"/>
        <v>10.879091462417501</v>
      </c>
      <c r="AV183" s="2">
        <f t="shared" si="253"/>
        <v>10.9751118853747</v>
      </c>
      <c r="AW183" s="2">
        <f t="shared" si="253"/>
        <v>11.164912697974399</v>
      </c>
      <c r="AX183" s="2">
        <f t="shared" si="253"/>
        <v>11.442581517828399</v>
      </c>
      <c r="AY183" s="2">
        <f t="shared" si="253"/>
        <v>11.7890030236921</v>
      </c>
      <c r="AZ183" s="2">
        <f t="shared" ref="AZ183:BI184" si="254">BH396</f>
        <v>12.171598935195</v>
      </c>
      <c r="BA183" s="2">
        <f t="shared" si="254"/>
        <v>12.5457931544613</v>
      </c>
      <c r="BB183" s="2">
        <f t="shared" si="254"/>
        <v>12.8584557142297</v>
      </c>
      <c r="BC183" s="2">
        <f t="shared" si="254"/>
        <v>13.063796164063801</v>
      </c>
      <c r="BD183" s="2">
        <f t="shared" si="254"/>
        <v>13.124285235319</v>
      </c>
      <c r="BE183" s="2">
        <f t="shared" si="254"/>
        <v>13.027753327258401</v>
      </c>
      <c r="BF183" s="2">
        <f t="shared" si="254"/>
        <v>12.759537007600301</v>
      </c>
      <c r="BG183" s="2">
        <f t="shared" si="254"/>
        <v>12.313996039283699</v>
      </c>
      <c r="BH183" s="2">
        <f t="shared" si="254"/>
        <v>11.7069028446206</v>
      </c>
      <c r="BI183" s="2">
        <f t="shared" si="254"/>
        <v>10.885547943341299</v>
      </c>
      <c r="BJ183" s="2">
        <f t="shared" ref="BJ183:BS184" si="255">BR396</f>
        <v>9.0532571015283008</v>
      </c>
      <c r="BK183" s="2">
        <f t="shared" si="255"/>
        <v>6.0197536636980997</v>
      </c>
      <c r="BL183" s="2">
        <f t="shared" si="255"/>
        <v>2.6153821086115001</v>
      </c>
      <c r="BM183" s="2">
        <f t="shared" si="255"/>
        <v>0</v>
      </c>
      <c r="BN183" s="2">
        <f t="shared" si="255"/>
        <v>0</v>
      </c>
      <c r="BO183" s="2">
        <f t="shared" si="255"/>
        <v>0</v>
      </c>
      <c r="BP183" s="2">
        <f t="shared" si="255"/>
        <v>0</v>
      </c>
      <c r="BQ183" s="2">
        <f t="shared" si="255"/>
        <v>0</v>
      </c>
      <c r="BR183" s="2">
        <f t="shared" si="255"/>
        <v>0</v>
      </c>
      <c r="BS183" s="2">
        <f t="shared" si="255"/>
        <v>0</v>
      </c>
      <c r="BT183" s="2">
        <f t="shared" ref="BT183:CC184" si="256">CB396</f>
        <v>0</v>
      </c>
      <c r="BU183" s="2">
        <f t="shared" si="256"/>
        <v>0</v>
      </c>
      <c r="BV183" s="2">
        <f t="shared" si="256"/>
        <v>0</v>
      </c>
      <c r="BW183" s="2">
        <f t="shared" si="256"/>
        <v>0</v>
      </c>
      <c r="BX183" s="2">
        <f t="shared" si="256"/>
        <v>0</v>
      </c>
      <c r="BY183" s="2">
        <f t="shared" si="256"/>
        <v>0</v>
      </c>
      <c r="BZ183" s="2">
        <f t="shared" si="256"/>
        <v>0</v>
      </c>
      <c r="CA183" s="2">
        <f t="shared" si="256"/>
        <v>0</v>
      </c>
      <c r="CB183" s="2">
        <f t="shared" si="256"/>
        <v>0</v>
      </c>
      <c r="CC183" s="2">
        <f t="shared" si="256"/>
        <v>0</v>
      </c>
      <c r="CD183" s="2">
        <f t="shared" ref="CD183:CM184" si="257">CL396</f>
        <v>0</v>
      </c>
    </row>
    <row r="184" spans="3:82" s="2" customFormat="1" x14ac:dyDescent="0.2">
      <c r="E184" s="2" t="s">
        <v>122</v>
      </c>
      <c r="F184" s="2" t="s">
        <v>7</v>
      </c>
      <c r="AF184" s="2">
        <f t="shared" si="252"/>
        <v>-99999</v>
      </c>
      <c r="AG184" s="2">
        <f t="shared" si="252"/>
        <v>-99999</v>
      </c>
      <c r="AH184" s="2">
        <f t="shared" si="252"/>
        <v>-99999</v>
      </c>
      <c r="AI184" s="2">
        <f t="shared" si="252"/>
        <v>-99999</v>
      </c>
      <c r="AJ184" s="2">
        <f t="shared" si="252"/>
        <v>43.786541700838413</v>
      </c>
      <c r="AK184" s="2">
        <f t="shared" si="252"/>
        <v>42.024220515154802</v>
      </c>
      <c r="AL184" s="2">
        <f t="shared" si="252"/>
        <v>40.353812582676497</v>
      </c>
      <c r="AM184" s="2">
        <f t="shared" si="252"/>
        <v>38.518708856174399</v>
      </c>
      <c r="AN184" s="2">
        <f t="shared" si="252"/>
        <v>36.870394776582103</v>
      </c>
      <c r="AO184" s="2">
        <f t="shared" si="252"/>
        <v>35.5583792926681</v>
      </c>
      <c r="AP184" s="2">
        <f t="shared" si="253"/>
        <v>32.526447579231899</v>
      </c>
      <c r="AQ184" s="2">
        <f t="shared" si="253"/>
        <v>0</v>
      </c>
      <c r="AR184" s="2">
        <f t="shared" si="253"/>
        <v>0</v>
      </c>
      <c r="AS184" s="2">
        <f t="shared" si="253"/>
        <v>0</v>
      </c>
      <c r="AT184" s="2">
        <f t="shared" si="253"/>
        <v>0</v>
      </c>
      <c r="AU184" s="2">
        <f t="shared" si="253"/>
        <v>0</v>
      </c>
      <c r="AV184" s="2">
        <f t="shared" si="253"/>
        <v>0</v>
      </c>
      <c r="AW184" s="2">
        <f t="shared" si="253"/>
        <v>0</v>
      </c>
      <c r="AX184" s="2">
        <f t="shared" si="253"/>
        <v>0</v>
      </c>
      <c r="AY184" s="2">
        <f t="shared" si="253"/>
        <v>0</v>
      </c>
      <c r="AZ184" s="2">
        <f t="shared" si="254"/>
        <v>0</v>
      </c>
      <c r="BA184" s="2">
        <f t="shared" si="254"/>
        <v>0</v>
      </c>
      <c r="BB184" s="2">
        <f t="shared" si="254"/>
        <v>0</v>
      </c>
      <c r="BC184" s="2">
        <f t="shared" si="254"/>
        <v>0</v>
      </c>
      <c r="BD184" s="2">
        <f t="shared" si="254"/>
        <v>0</v>
      </c>
      <c r="BE184" s="2">
        <f t="shared" si="254"/>
        <v>0</v>
      </c>
      <c r="BF184" s="2">
        <f t="shared" si="254"/>
        <v>0</v>
      </c>
      <c r="BG184" s="2">
        <f t="shared" si="254"/>
        <v>0</v>
      </c>
      <c r="BH184" s="2">
        <f t="shared" si="254"/>
        <v>0</v>
      </c>
      <c r="BI184" s="2">
        <f t="shared" si="254"/>
        <v>0</v>
      </c>
      <c r="BJ184" s="2">
        <f t="shared" si="255"/>
        <v>0</v>
      </c>
      <c r="BK184" s="2">
        <f t="shared" si="255"/>
        <v>0</v>
      </c>
      <c r="BL184" s="2">
        <f t="shared" si="255"/>
        <v>0</v>
      </c>
      <c r="BM184" s="2">
        <f t="shared" si="255"/>
        <v>0</v>
      </c>
      <c r="BN184" s="2">
        <f t="shared" si="255"/>
        <v>0</v>
      </c>
      <c r="BO184" s="2">
        <f t="shared" si="255"/>
        <v>0</v>
      </c>
      <c r="BP184" s="2">
        <f t="shared" si="255"/>
        <v>0</v>
      </c>
      <c r="BQ184" s="2">
        <f t="shared" si="255"/>
        <v>0</v>
      </c>
      <c r="BR184" s="2">
        <f t="shared" si="255"/>
        <v>0</v>
      </c>
      <c r="BS184" s="2">
        <f t="shared" si="255"/>
        <v>0</v>
      </c>
      <c r="BT184" s="2">
        <f t="shared" si="256"/>
        <v>0</v>
      </c>
      <c r="BU184" s="2">
        <f t="shared" si="256"/>
        <v>0</v>
      </c>
      <c r="BV184" s="2">
        <f t="shared" si="256"/>
        <v>0</v>
      </c>
      <c r="BW184" s="2">
        <f t="shared" si="256"/>
        <v>0</v>
      </c>
      <c r="BX184" s="2">
        <f t="shared" si="256"/>
        <v>0</v>
      </c>
      <c r="BY184" s="2">
        <f t="shared" si="256"/>
        <v>0</v>
      </c>
      <c r="BZ184" s="2">
        <f t="shared" si="256"/>
        <v>0</v>
      </c>
      <c r="CA184" s="2">
        <f t="shared" si="256"/>
        <v>0</v>
      </c>
      <c r="CB184" s="2">
        <f t="shared" si="256"/>
        <v>0</v>
      </c>
      <c r="CC184" s="2">
        <f t="shared" si="256"/>
        <v>0</v>
      </c>
      <c r="CD184" s="2">
        <f t="shared" si="257"/>
        <v>0</v>
      </c>
    </row>
    <row r="185" spans="3:82" s="3" customFormat="1" x14ac:dyDescent="0.2">
      <c r="C185" s="3" t="s">
        <v>123</v>
      </c>
      <c r="G185" s="3">
        <f>SUM(G186:G192)</f>
        <v>1</v>
      </c>
      <c r="H185" s="3">
        <f t="shared" ref="H185:BS185" si="258">SUM(H186:H192)</f>
        <v>1</v>
      </c>
      <c r="I185" s="3">
        <f t="shared" si="258"/>
        <v>0</v>
      </c>
      <c r="J185" s="3">
        <f t="shared" si="258"/>
        <v>0</v>
      </c>
      <c r="K185" s="3">
        <f t="shared" si="258"/>
        <v>0</v>
      </c>
      <c r="L185" s="3">
        <f t="shared" si="258"/>
        <v>0</v>
      </c>
      <c r="M185" s="3">
        <f t="shared" si="258"/>
        <v>0</v>
      </c>
      <c r="N185" s="3">
        <f t="shared" si="258"/>
        <v>0</v>
      </c>
      <c r="O185" s="3">
        <f t="shared" si="258"/>
        <v>0</v>
      </c>
      <c r="P185" s="3">
        <f t="shared" si="258"/>
        <v>0</v>
      </c>
      <c r="Q185" s="3">
        <f t="shared" si="258"/>
        <v>0</v>
      </c>
      <c r="R185" s="3">
        <f t="shared" si="258"/>
        <v>0</v>
      </c>
      <c r="S185" s="3">
        <f t="shared" si="258"/>
        <v>0</v>
      </c>
      <c r="T185" s="3">
        <f t="shared" si="258"/>
        <v>0</v>
      </c>
      <c r="U185" s="3">
        <f t="shared" si="258"/>
        <v>0</v>
      </c>
      <c r="V185" s="3">
        <f t="shared" si="258"/>
        <v>0</v>
      </c>
      <c r="W185" s="3">
        <f t="shared" si="258"/>
        <v>0</v>
      </c>
      <c r="X185" s="3">
        <f t="shared" si="258"/>
        <v>0</v>
      </c>
      <c r="Y185" s="3">
        <f t="shared" si="258"/>
        <v>0</v>
      </c>
      <c r="Z185" s="3">
        <f t="shared" si="258"/>
        <v>0</v>
      </c>
      <c r="AA185" s="3">
        <f t="shared" si="258"/>
        <v>0</v>
      </c>
      <c r="AB185" s="3">
        <f t="shared" si="258"/>
        <v>0</v>
      </c>
      <c r="AC185" s="3">
        <f t="shared" si="258"/>
        <v>0</v>
      </c>
      <c r="AD185" s="3">
        <f t="shared" si="258"/>
        <v>0</v>
      </c>
      <c r="AE185" s="3">
        <f t="shared" si="258"/>
        <v>0</v>
      </c>
      <c r="AF185" s="3">
        <f t="shared" si="258"/>
        <v>-499995</v>
      </c>
      <c r="AG185" s="3">
        <f t="shared" si="258"/>
        <v>-499995</v>
      </c>
      <c r="AH185" s="3">
        <f t="shared" si="258"/>
        <v>-499995</v>
      </c>
      <c r="AI185" s="3">
        <f t="shared" si="258"/>
        <v>-499995</v>
      </c>
      <c r="AJ185" s="3">
        <f t="shared" si="258"/>
        <v>9.7127670780225606E-2</v>
      </c>
      <c r="AK185" s="3">
        <f t="shared" si="258"/>
        <v>9.3619247153034602E-2</v>
      </c>
      <c r="AL185" s="3">
        <f t="shared" si="258"/>
        <v>9.0928523243181292E-2</v>
      </c>
      <c r="AM185" s="3">
        <f t="shared" si="258"/>
        <v>4.6708593566010599E-2</v>
      </c>
      <c r="AN185" s="3">
        <f t="shared" si="258"/>
        <v>0</v>
      </c>
      <c r="AO185" s="3">
        <f t="shared" si="258"/>
        <v>0</v>
      </c>
      <c r="AP185" s="3">
        <f t="shared" si="258"/>
        <v>0</v>
      </c>
      <c r="AQ185" s="3">
        <f t="shared" si="258"/>
        <v>0</v>
      </c>
      <c r="AR185" s="3">
        <f t="shared" si="258"/>
        <v>0</v>
      </c>
      <c r="AS185" s="3">
        <f t="shared" si="258"/>
        <v>0</v>
      </c>
      <c r="AT185" s="3">
        <f t="shared" si="258"/>
        <v>0</v>
      </c>
      <c r="AU185" s="3">
        <f t="shared" si="258"/>
        <v>0</v>
      </c>
      <c r="AV185" s="3">
        <f t="shared" si="258"/>
        <v>0</v>
      </c>
      <c r="AW185" s="3">
        <f t="shared" si="258"/>
        <v>0</v>
      </c>
      <c r="AX185" s="3">
        <f t="shared" si="258"/>
        <v>0</v>
      </c>
      <c r="AY185" s="3">
        <f t="shared" si="258"/>
        <v>0</v>
      </c>
      <c r="AZ185" s="3">
        <f t="shared" si="258"/>
        <v>0</v>
      </c>
      <c r="BA185" s="3">
        <f t="shared" si="258"/>
        <v>0</v>
      </c>
      <c r="BB185" s="3">
        <f t="shared" si="258"/>
        <v>0</v>
      </c>
      <c r="BC185" s="3">
        <f t="shared" si="258"/>
        <v>0</v>
      </c>
      <c r="BD185" s="3">
        <f t="shared" si="258"/>
        <v>0</v>
      </c>
      <c r="BE185" s="3">
        <f t="shared" si="258"/>
        <v>0</v>
      </c>
      <c r="BF185" s="3">
        <f t="shared" si="258"/>
        <v>0</v>
      </c>
      <c r="BG185" s="3">
        <f t="shared" si="258"/>
        <v>0</v>
      </c>
      <c r="BH185" s="3">
        <f t="shared" si="258"/>
        <v>0</v>
      </c>
      <c r="BI185" s="3">
        <f t="shared" si="258"/>
        <v>0</v>
      </c>
      <c r="BJ185" s="3">
        <f t="shared" si="258"/>
        <v>0</v>
      </c>
      <c r="BK185" s="3">
        <f t="shared" si="258"/>
        <v>0</v>
      </c>
      <c r="BL185" s="3">
        <f t="shared" si="258"/>
        <v>0</v>
      </c>
      <c r="BM185" s="3">
        <f t="shared" si="258"/>
        <v>0</v>
      </c>
      <c r="BN185" s="3">
        <f t="shared" si="258"/>
        <v>0</v>
      </c>
      <c r="BO185" s="3">
        <f t="shared" si="258"/>
        <v>0</v>
      </c>
      <c r="BP185" s="3">
        <f t="shared" si="258"/>
        <v>0</v>
      </c>
      <c r="BQ185" s="3">
        <f t="shared" si="258"/>
        <v>0</v>
      </c>
      <c r="BR185" s="3">
        <f t="shared" si="258"/>
        <v>0</v>
      </c>
      <c r="BS185" s="3">
        <f t="shared" si="258"/>
        <v>0</v>
      </c>
      <c r="BT185" s="3">
        <f t="shared" ref="BT185:CD185" si="259">SUM(BT186:BT192)</f>
        <v>0</v>
      </c>
      <c r="BU185" s="3">
        <f t="shared" si="259"/>
        <v>0</v>
      </c>
      <c r="BV185" s="3">
        <f t="shared" si="259"/>
        <v>0</v>
      </c>
      <c r="BW185" s="3">
        <f t="shared" si="259"/>
        <v>0</v>
      </c>
      <c r="BX185" s="3">
        <f t="shared" si="259"/>
        <v>0</v>
      </c>
      <c r="BY185" s="3">
        <f t="shared" si="259"/>
        <v>0</v>
      </c>
      <c r="BZ185" s="3">
        <f t="shared" si="259"/>
        <v>0</v>
      </c>
      <c r="CA185" s="3">
        <f t="shared" si="259"/>
        <v>0</v>
      </c>
      <c r="CB185" s="3">
        <f t="shared" si="259"/>
        <v>0</v>
      </c>
      <c r="CC185" s="3">
        <f t="shared" si="259"/>
        <v>0</v>
      </c>
      <c r="CD185" s="3">
        <f t="shared" si="259"/>
        <v>0</v>
      </c>
    </row>
    <row r="186" spans="3:82" s="2" customFormat="1" x14ac:dyDescent="0.2">
      <c r="D186" s="2" t="s">
        <v>124</v>
      </c>
      <c r="F186" s="2" t="s">
        <v>7</v>
      </c>
      <c r="AF186" s="2">
        <f t="shared" ref="AF186:BK186" si="260">AN398</f>
        <v>-99999</v>
      </c>
      <c r="AG186" s="2">
        <f t="shared" si="260"/>
        <v>-99999</v>
      </c>
      <c r="AH186" s="2">
        <f t="shared" si="260"/>
        <v>-99999</v>
      </c>
      <c r="AI186" s="2">
        <f t="shared" si="260"/>
        <v>-99999</v>
      </c>
      <c r="AJ186" s="2">
        <f t="shared" si="260"/>
        <v>0</v>
      </c>
      <c r="AK186" s="2">
        <f t="shared" si="260"/>
        <v>0</v>
      </c>
      <c r="AL186" s="2">
        <f t="shared" si="260"/>
        <v>0</v>
      </c>
      <c r="AM186" s="2">
        <f t="shared" si="260"/>
        <v>0</v>
      </c>
      <c r="AN186" s="2">
        <f t="shared" si="260"/>
        <v>0</v>
      </c>
      <c r="AO186" s="2">
        <f t="shared" si="260"/>
        <v>0</v>
      </c>
      <c r="AP186" s="2">
        <f t="shared" si="260"/>
        <v>0</v>
      </c>
      <c r="AQ186" s="2">
        <f t="shared" si="260"/>
        <v>0</v>
      </c>
      <c r="AR186" s="2">
        <f t="shared" si="260"/>
        <v>0</v>
      </c>
      <c r="AS186" s="2">
        <f t="shared" si="260"/>
        <v>0</v>
      </c>
      <c r="AT186" s="2">
        <f t="shared" si="260"/>
        <v>0</v>
      </c>
      <c r="AU186" s="2">
        <f t="shared" si="260"/>
        <v>0</v>
      </c>
      <c r="AV186" s="2">
        <f t="shared" si="260"/>
        <v>0</v>
      </c>
      <c r="AW186" s="2">
        <f t="shared" si="260"/>
        <v>0</v>
      </c>
      <c r="AX186" s="2">
        <f t="shared" si="260"/>
        <v>0</v>
      </c>
      <c r="AY186" s="2">
        <f t="shared" si="260"/>
        <v>0</v>
      </c>
      <c r="AZ186" s="2">
        <f t="shared" si="260"/>
        <v>0</v>
      </c>
      <c r="BA186" s="2">
        <f t="shared" si="260"/>
        <v>0</v>
      </c>
      <c r="BB186" s="2">
        <f t="shared" si="260"/>
        <v>0</v>
      </c>
      <c r="BC186" s="2">
        <f t="shared" si="260"/>
        <v>0</v>
      </c>
      <c r="BD186" s="2">
        <f t="shared" si="260"/>
        <v>0</v>
      </c>
      <c r="BE186" s="2">
        <f t="shared" si="260"/>
        <v>0</v>
      </c>
      <c r="BF186" s="2">
        <f t="shared" si="260"/>
        <v>0</v>
      </c>
      <c r="BG186" s="2">
        <f t="shared" si="260"/>
        <v>0</v>
      </c>
      <c r="BH186" s="2">
        <f t="shared" si="260"/>
        <v>0</v>
      </c>
      <c r="BI186" s="2">
        <f t="shared" si="260"/>
        <v>0</v>
      </c>
      <c r="BJ186" s="2">
        <f t="shared" si="260"/>
        <v>0</v>
      </c>
      <c r="BK186" s="2">
        <f t="shared" si="260"/>
        <v>0</v>
      </c>
      <c r="BL186" s="2">
        <f t="shared" ref="BL186:CQ186" si="261">BT398</f>
        <v>0</v>
      </c>
      <c r="BM186" s="2">
        <f t="shared" si="261"/>
        <v>0</v>
      </c>
      <c r="BN186" s="2">
        <f t="shared" si="261"/>
        <v>0</v>
      </c>
      <c r="BO186" s="2">
        <f t="shared" si="261"/>
        <v>0</v>
      </c>
      <c r="BP186" s="2">
        <f t="shared" si="261"/>
        <v>0</v>
      </c>
      <c r="BQ186" s="2">
        <f t="shared" si="261"/>
        <v>0</v>
      </c>
      <c r="BR186" s="2">
        <f t="shared" si="261"/>
        <v>0</v>
      </c>
      <c r="BS186" s="2">
        <f t="shared" si="261"/>
        <v>0</v>
      </c>
      <c r="BT186" s="2">
        <f t="shared" si="261"/>
        <v>0</v>
      </c>
      <c r="BU186" s="2">
        <f t="shared" si="261"/>
        <v>0</v>
      </c>
      <c r="BV186" s="2">
        <f t="shared" si="261"/>
        <v>0</v>
      </c>
      <c r="BW186" s="2">
        <f t="shared" si="261"/>
        <v>0</v>
      </c>
      <c r="BX186" s="2">
        <f t="shared" si="261"/>
        <v>0</v>
      </c>
      <c r="BY186" s="2">
        <f t="shared" si="261"/>
        <v>0</v>
      </c>
      <c r="BZ186" s="2">
        <f t="shared" si="261"/>
        <v>0</v>
      </c>
      <c r="CA186" s="2">
        <f t="shared" si="261"/>
        <v>0</v>
      </c>
      <c r="CB186" s="2">
        <f t="shared" si="261"/>
        <v>0</v>
      </c>
      <c r="CC186" s="2">
        <f t="shared" si="261"/>
        <v>0</v>
      </c>
      <c r="CD186" s="2">
        <f t="shared" si="261"/>
        <v>0</v>
      </c>
    </row>
    <row r="187" spans="3:82" s="2" customFormat="1" x14ac:dyDescent="0.2">
      <c r="D187" s="2" t="s">
        <v>126</v>
      </c>
    </row>
    <row r="188" spans="3:82" s="2" customFormat="1" x14ac:dyDescent="0.2">
      <c r="E188" s="2" t="s">
        <v>127</v>
      </c>
      <c r="F188" s="2" t="s">
        <v>7</v>
      </c>
      <c r="G188" s="2">
        <f>O399</f>
        <v>1</v>
      </c>
      <c r="H188" s="2">
        <f t="shared" ref="H188:BR188" si="262">P399</f>
        <v>1</v>
      </c>
      <c r="I188" s="2" t="str">
        <f t="shared" si="262"/>
        <v>emission_co2e_co2_lndu_conversion_forests_mangroves_to_settlements|emission_co2e_co2_lndu_conversion_forests_primary_to_settlements|emission_co2e_co2_lndu_conversion_forests_secondary_to_settlements</v>
      </c>
      <c r="J188" s="2">
        <f t="shared" si="262"/>
        <v>0</v>
      </c>
      <c r="K188" s="2">
        <f t="shared" si="262"/>
        <v>0</v>
      </c>
      <c r="L188" s="2">
        <f t="shared" si="262"/>
        <v>0</v>
      </c>
      <c r="M188" s="2">
        <f t="shared" si="262"/>
        <v>0</v>
      </c>
      <c r="N188" s="2">
        <f t="shared" si="262"/>
        <v>0</v>
      </c>
      <c r="O188" s="2">
        <f t="shared" si="262"/>
        <v>0</v>
      </c>
      <c r="P188" s="2">
        <f t="shared" si="262"/>
        <v>0</v>
      </c>
      <c r="Q188" s="2">
        <f t="shared" si="262"/>
        <v>0</v>
      </c>
      <c r="R188" s="2">
        <f t="shared" si="262"/>
        <v>0</v>
      </c>
      <c r="S188" s="2">
        <f t="shared" si="262"/>
        <v>0</v>
      </c>
      <c r="T188" s="2">
        <f t="shared" si="262"/>
        <v>0</v>
      </c>
      <c r="U188" s="2">
        <f t="shared" si="262"/>
        <v>0</v>
      </c>
      <c r="V188" s="2">
        <f t="shared" si="262"/>
        <v>0</v>
      </c>
      <c r="W188" s="2">
        <f t="shared" si="262"/>
        <v>0</v>
      </c>
      <c r="X188" s="2">
        <f t="shared" si="262"/>
        <v>0</v>
      </c>
      <c r="Y188" s="2">
        <f t="shared" si="262"/>
        <v>0</v>
      </c>
      <c r="Z188" s="2">
        <f t="shared" si="262"/>
        <v>0</v>
      </c>
      <c r="AA188" s="2">
        <f t="shared" si="262"/>
        <v>0</v>
      </c>
      <c r="AB188" s="2">
        <f t="shared" si="262"/>
        <v>0</v>
      </c>
      <c r="AC188" s="2">
        <f t="shared" si="262"/>
        <v>0</v>
      </c>
      <c r="AD188" s="2">
        <f t="shared" si="262"/>
        <v>0</v>
      </c>
      <c r="AE188" s="2">
        <f t="shared" si="262"/>
        <v>0</v>
      </c>
      <c r="AF188" s="2">
        <f t="shared" si="262"/>
        <v>0</v>
      </c>
      <c r="AG188" s="2">
        <f t="shared" si="262"/>
        <v>0</v>
      </c>
      <c r="AH188" s="2">
        <f t="shared" si="262"/>
        <v>0</v>
      </c>
      <c r="AI188" s="2">
        <f t="shared" si="262"/>
        <v>0</v>
      </c>
      <c r="AJ188" s="2">
        <f t="shared" si="262"/>
        <v>0</v>
      </c>
      <c r="AK188" s="2">
        <f t="shared" si="262"/>
        <v>0</v>
      </c>
      <c r="AL188" s="2">
        <f t="shared" si="262"/>
        <v>0</v>
      </c>
      <c r="AM188" s="2">
        <f t="shared" si="262"/>
        <v>0</v>
      </c>
      <c r="AN188" s="2">
        <f t="shared" si="262"/>
        <v>0</v>
      </c>
      <c r="AO188" s="2">
        <f t="shared" si="262"/>
        <v>0</v>
      </c>
      <c r="AP188" s="2">
        <f t="shared" si="262"/>
        <v>0</v>
      </c>
      <c r="AQ188" s="2">
        <f t="shared" si="262"/>
        <v>0</v>
      </c>
      <c r="AR188" s="2">
        <f t="shared" si="262"/>
        <v>0</v>
      </c>
      <c r="AS188" s="2">
        <f t="shared" si="262"/>
        <v>0</v>
      </c>
      <c r="AT188" s="2">
        <f t="shared" si="262"/>
        <v>0</v>
      </c>
      <c r="AU188" s="2">
        <f t="shared" si="262"/>
        <v>0</v>
      </c>
      <c r="AV188" s="2">
        <f t="shared" si="262"/>
        <v>0</v>
      </c>
      <c r="AW188" s="2">
        <f t="shared" si="262"/>
        <v>0</v>
      </c>
      <c r="AX188" s="2">
        <f t="shared" si="262"/>
        <v>0</v>
      </c>
      <c r="AY188" s="2">
        <f t="shared" si="262"/>
        <v>0</v>
      </c>
      <c r="AZ188" s="2">
        <f t="shared" si="262"/>
        <v>0</v>
      </c>
      <c r="BA188" s="2">
        <f t="shared" si="262"/>
        <v>0</v>
      </c>
      <c r="BB188" s="2">
        <f t="shared" si="262"/>
        <v>0</v>
      </c>
      <c r="BC188" s="2">
        <f t="shared" si="262"/>
        <v>0</v>
      </c>
      <c r="BD188" s="2">
        <f t="shared" si="262"/>
        <v>0</v>
      </c>
      <c r="BE188" s="2">
        <f t="shared" si="262"/>
        <v>0</v>
      </c>
      <c r="BF188" s="2">
        <f t="shared" si="262"/>
        <v>0</v>
      </c>
      <c r="BG188" s="2">
        <f t="shared" si="262"/>
        <v>0</v>
      </c>
      <c r="BH188" s="2">
        <f t="shared" si="262"/>
        <v>0</v>
      </c>
      <c r="BI188" s="2">
        <f t="shared" si="262"/>
        <v>0</v>
      </c>
      <c r="BJ188" s="2">
        <f t="shared" si="262"/>
        <v>0</v>
      </c>
      <c r="BK188" s="2">
        <f t="shared" si="262"/>
        <v>0</v>
      </c>
      <c r="BL188" s="2">
        <f t="shared" si="262"/>
        <v>0</v>
      </c>
      <c r="BM188" s="2">
        <f t="shared" si="262"/>
        <v>0</v>
      </c>
      <c r="BN188" s="2">
        <f t="shared" si="262"/>
        <v>0</v>
      </c>
      <c r="BO188" s="2">
        <f t="shared" si="262"/>
        <v>0</v>
      </c>
      <c r="BP188" s="2">
        <f t="shared" si="262"/>
        <v>0</v>
      </c>
      <c r="BQ188" s="2">
        <f t="shared" si="262"/>
        <v>0</v>
      </c>
      <c r="BR188" s="2">
        <f t="shared" si="262"/>
        <v>0</v>
      </c>
      <c r="BS188" s="2">
        <f t="shared" ref="BS188:CD191" si="263">CA399</f>
        <v>0</v>
      </c>
      <c r="BT188" s="2">
        <f t="shared" si="263"/>
        <v>0</v>
      </c>
      <c r="BU188" s="2">
        <f t="shared" si="263"/>
        <v>0</v>
      </c>
      <c r="BV188" s="2">
        <f t="shared" si="263"/>
        <v>0</v>
      </c>
      <c r="BW188" s="2">
        <f t="shared" si="263"/>
        <v>0</v>
      </c>
      <c r="BX188" s="2">
        <f t="shared" si="263"/>
        <v>0</v>
      </c>
      <c r="BY188" s="2">
        <f t="shared" si="263"/>
        <v>0</v>
      </c>
      <c r="BZ188" s="2">
        <f t="shared" si="263"/>
        <v>0</v>
      </c>
      <c r="CA188" s="2">
        <f t="shared" si="263"/>
        <v>0</v>
      </c>
      <c r="CB188" s="2">
        <f t="shared" si="263"/>
        <v>0</v>
      </c>
      <c r="CC188" s="2">
        <f t="shared" si="263"/>
        <v>0</v>
      </c>
      <c r="CD188" s="2">
        <f t="shared" si="263"/>
        <v>0</v>
      </c>
    </row>
    <row r="189" spans="3:82" s="2" customFormat="1" x14ac:dyDescent="0.2">
      <c r="E189" s="2" t="s">
        <v>128</v>
      </c>
      <c r="F189" s="2" t="s">
        <v>7</v>
      </c>
      <c r="AF189" s="2">
        <f t="shared" ref="AF189:BS192" si="264">AN400</f>
        <v>-99999</v>
      </c>
      <c r="AG189" s="2">
        <f t="shared" si="264"/>
        <v>-99999</v>
      </c>
      <c r="AH189" s="2">
        <f t="shared" si="264"/>
        <v>-99999</v>
      </c>
      <c r="AI189" s="2">
        <f t="shared" si="264"/>
        <v>-99999</v>
      </c>
      <c r="AJ189" s="2">
        <f t="shared" si="264"/>
        <v>0</v>
      </c>
      <c r="AK189" s="2">
        <f t="shared" si="264"/>
        <v>0</v>
      </c>
      <c r="AL189" s="2">
        <f t="shared" si="264"/>
        <v>0</v>
      </c>
      <c r="AM189" s="2">
        <f t="shared" si="264"/>
        <v>0</v>
      </c>
      <c r="AN189" s="2">
        <f t="shared" si="264"/>
        <v>0</v>
      </c>
      <c r="AO189" s="2">
        <f t="shared" si="264"/>
        <v>0</v>
      </c>
      <c r="AP189" s="2">
        <f t="shared" si="264"/>
        <v>0</v>
      </c>
      <c r="AQ189" s="2">
        <f t="shared" si="264"/>
        <v>0</v>
      </c>
      <c r="AR189" s="2">
        <f t="shared" si="264"/>
        <v>0</v>
      </c>
      <c r="AS189" s="2">
        <f t="shared" si="264"/>
        <v>0</v>
      </c>
      <c r="AT189" s="2">
        <f t="shared" si="264"/>
        <v>0</v>
      </c>
      <c r="AU189" s="2">
        <f t="shared" si="264"/>
        <v>0</v>
      </c>
      <c r="AV189" s="2">
        <f t="shared" si="264"/>
        <v>0</v>
      </c>
      <c r="AW189" s="2">
        <f t="shared" si="264"/>
        <v>0</v>
      </c>
      <c r="AX189" s="2">
        <f t="shared" si="264"/>
        <v>0</v>
      </c>
      <c r="AY189" s="2">
        <f t="shared" si="264"/>
        <v>0</v>
      </c>
      <c r="AZ189" s="2">
        <f t="shared" si="264"/>
        <v>0</v>
      </c>
      <c r="BA189" s="2">
        <f t="shared" si="264"/>
        <v>0</v>
      </c>
      <c r="BB189" s="2">
        <f t="shared" si="264"/>
        <v>0</v>
      </c>
      <c r="BC189" s="2">
        <f t="shared" si="264"/>
        <v>0</v>
      </c>
      <c r="BD189" s="2">
        <f t="shared" si="264"/>
        <v>0</v>
      </c>
      <c r="BE189" s="2">
        <f t="shared" si="264"/>
        <v>0</v>
      </c>
      <c r="BF189" s="2">
        <f t="shared" si="264"/>
        <v>0</v>
      </c>
      <c r="BG189" s="2">
        <f t="shared" si="264"/>
        <v>0</v>
      </c>
      <c r="BH189" s="2">
        <f t="shared" si="264"/>
        <v>0</v>
      </c>
      <c r="BI189" s="2">
        <f t="shared" si="264"/>
        <v>0</v>
      </c>
      <c r="BJ189" s="2">
        <f t="shared" si="264"/>
        <v>0</v>
      </c>
      <c r="BK189" s="2">
        <f t="shared" si="264"/>
        <v>0</v>
      </c>
      <c r="BL189" s="2">
        <f t="shared" si="264"/>
        <v>0</v>
      </c>
      <c r="BM189" s="2">
        <f t="shared" si="264"/>
        <v>0</v>
      </c>
      <c r="BN189" s="2">
        <f t="shared" si="264"/>
        <v>0</v>
      </c>
      <c r="BO189" s="2">
        <f t="shared" si="264"/>
        <v>0</v>
      </c>
      <c r="BP189" s="2">
        <f t="shared" si="264"/>
        <v>0</v>
      </c>
      <c r="BQ189" s="2">
        <f t="shared" si="264"/>
        <v>0</v>
      </c>
      <c r="BR189" s="2">
        <f t="shared" si="264"/>
        <v>0</v>
      </c>
      <c r="BS189" s="2">
        <f t="shared" si="264"/>
        <v>0</v>
      </c>
      <c r="BT189" s="2">
        <f t="shared" si="263"/>
        <v>0</v>
      </c>
      <c r="BU189" s="2">
        <f t="shared" si="263"/>
        <v>0</v>
      </c>
      <c r="BV189" s="2">
        <f t="shared" si="263"/>
        <v>0</v>
      </c>
      <c r="BW189" s="2">
        <f t="shared" si="263"/>
        <v>0</v>
      </c>
      <c r="BX189" s="2">
        <f t="shared" si="263"/>
        <v>0</v>
      </c>
      <c r="BY189" s="2">
        <f t="shared" si="263"/>
        <v>0</v>
      </c>
      <c r="BZ189" s="2">
        <f t="shared" si="263"/>
        <v>0</v>
      </c>
      <c r="CA189" s="2">
        <f t="shared" si="263"/>
        <v>0</v>
      </c>
      <c r="CB189" s="2">
        <f t="shared" si="263"/>
        <v>0</v>
      </c>
      <c r="CC189" s="2">
        <f t="shared" si="263"/>
        <v>0</v>
      </c>
      <c r="CD189" s="2">
        <f t="shared" si="263"/>
        <v>0</v>
      </c>
    </row>
    <row r="190" spans="3:82" s="2" customFormat="1" x14ac:dyDescent="0.2">
      <c r="E190" s="2" t="s">
        <v>129</v>
      </c>
      <c r="F190" s="2" t="s">
        <v>7</v>
      </c>
      <c r="AF190" s="2">
        <f t="shared" si="264"/>
        <v>-99999</v>
      </c>
      <c r="AG190" s="2">
        <f t="shared" si="264"/>
        <v>-99999</v>
      </c>
      <c r="AH190" s="2">
        <f t="shared" si="264"/>
        <v>-99999</v>
      </c>
      <c r="AI190" s="2">
        <f t="shared" si="264"/>
        <v>-99999</v>
      </c>
      <c r="AJ190" s="2">
        <f t="shared" si="264"/>
        <v>9.7127670780225606E-2</v>
      </c>
      <c r="AK190" s="2">
        <f t="shared" si="264"/>
        <v>9.3619247153034602E-2</v>
      </c>
      <c r="AL190" s="2">
        <f t="shared" si="264"/>
        <v>9.0928523243181292E-2</v>
      </c>
      <c r="AM190" s="2">
        <f t="shared" si="264"/>
        <v>4.6708593566010599E-2</v>
      </c>
      <c r="AN190" s="2">
        <f t="shared" si="264"/>
        <v>0</v>
      </c>
      <c r="AO190" s="2">
        <f t="shared" si="264"/>
        <v>0</v>
      </c>
      <c r="AP190" s="2">
        <f t="shared" si="264"/>
        <v>0</v>
      </c>
      <c r="AQ190" s="2">
        <f t="shared" si="264"/>
        <v>0</v>
      </c>
      <c r="AR190" s="2">
        <f t="shared" si="264"/>
        <v>0</v>
      </c>
      <c r="AS190" s="2">
        <f t="shared" si="264"/>
        <v>0</v>
      </c>
      <c r="AT190" s="2">
        <f t="shared" si="264"/>
        <v>0</v>
      </c>
      <c r="AU190" s="2">
        <f t="shared" si="264"/>
        <v>0</v>
      </c>
      <c r="AV190" s="2">
        <f t="shared" si="264"/>
        <v>0</v>
      </c>
      <c r="AW190" s="2">
        <f t="shared" si="264"/>
        <v>0</v>
      </c>
      <c r="AX190" s="2">
        <f t="shared" si="264"/>
        <v>0</v>
      </c>
      <c r="AY190" s="2">
        <f t="shared" si="264"/>
        <v>0</v>
      </c>
      <c r="AZ190" s="2">
        <f t="shared" si="264"/>
        <v>0</v>
      </c>
      <c r="BA190" s="2">
        <f t="shared" si="264"/>
        <v>0</v>
      </c>
      <c r="BB190" s="2">
        <f t="shared" si="264"/>
        <v>0</v>
      </c>
      <c r="BC190" s="2">
        <f t="shared" si="264"/>
        <v>0</v>
      </c>
      <c r="BD190" s="2">
        <f t="shared" si="264"/>
        <v>0</v>
      </c>
      <c r="BE190" s="2">
        <f t="shared" si="264"/>
        <v>0</v>
      </c>
      <c r="BF190" s="2">
        <f t="shared" si="264"/>
        <v>0</v>
      </c>
      <c r="BG190" s="2">
        <f t="shared" si="264"/>
        <v>0</v>
      </c>
      <c r="BH190" s="2">
        <f t="shared" si="264"/>
        <v>0</v>
      </c>
      <c r="BI190" s="2">
        <f t="shared" si="264"/>
        <v>0</v>
      </c>
      <c r="BJ190" s="2">
        <f t="shared" si="264"/>
        <v>0</v>
      </c>
      <c r="BK190" s="2">
        <f t="shared" si="264"/>
        <v>0</v>
      </c>
      <c r="BL190" s="2">
        <f t="shared" si="264"/>
        <v>0</v>
      </c>
      <c r="BM190" s="2">
        <f t="shared" si="264"/>
        <v>0</v>
      </c>
      <c r="BN190" s="2">
        <f t="shared" si="264"/>
        <v>0</v>
      </c>
      <c r="BO190" s="2">
        <f t="shared" si="264"/>
        <v>0</v>
      </c>
      <c r="BP190" s="2">
        <f t="shared" si="264"/>
        <v>0</v>
      </c>
      <c r="BQ190" s="2">
        <f t="shared" si="264"/>
        <v>0</v>
      </c>
      <c r="BR190" s="2">
        <f t="shared" si="264"/>
        <v>0</v>
      </c>
      <c r="BS190" s="2">
        <f t="shared" si="264"/>
        <v>0</v>
      </c>
      <c r="BT190" s="2">
        <f t="shared" si="263"/>
        <v>0</v>
      </c>
      <c r="BU190" s="2">
        <f t="shared" si="263"/>
        <v>0</v>
      </c>
      <c r="BV190" s="2">
        <f t="shared" si="263"/>
        <v>0</v>
      </c>
      <c r="BW190" s="2">
        <f t="shared" si="263"/>
        <v>0</v>
      </c>
      <c r="BX190" s="2">
        <f t="shared" si="263"/>
        <v>0</v>
      </c>
      <c r="BY190" s="2">
        <f t="shared" si="263"/>
        <v>0</v>
      </c>
      <c r="BZ190" s="2">
        <f t="shared" si="263"/>
        <v>0</v>
      </c>
      <c r="CA190" s="2">
        <f t="shared" si="263"/>
        <v>0</v>
      </c>
      <c r="CB190" s="2">
        <f t="shared" si="263"/>
        <v>0</v>
      </c>
      <c r="CC190" s="2">
        <f t="shared" si="263"/>
        <v>0</v>
      </c>
      <c r="CD190" s="2">
        <f t="shared" si="263"/>
        <v>0</v>
      </c>
    </row>
    <row r="191" spans="3:82" s="2" customFormat="1" x14ac:dyDescent="0.2">
      <c r="E191" s="2" t="s">
        <v>130</v>
      </c>
      <c r="F191" s="2" t="s">
        <v>7</v>
      </c>
      <c r="AF191" s="2">
        <f t="shared" si="264"/>
        <v>-99999</v>
      </c>
      <c r="AG191" s="2">
        <f t="shared" si="264"/>
        <v>-99999</v>
      </c>
      <c r="AH191" s="2">
        <f t="shared" si="264"/>
        <v>-99999</v>
      </c>
      <c r="AI191" s="2">
        <f t="shared" si="264"/>
        <v>-99999</v>
      </c>
      <c r="AJ191" s="2">
        <f t="shared" si="264"/>
        <v>0</v>
      </c>
      <c r="AK191" s="2">
        <f t="shared" si="264"/>
        <v>0</v>
      </c>
      <c r="AL191" s="2">
        <f t="shared" si="264"/>
        <v>0</v>
      </c>
      <c r="AM191" s="2">
        <f t="shared" si="264"/>
        <v>0</v>
      </c>
      <c r="AN191" s="2">
        <f t="shared" si="264"/>
        <v>0</v>
      </c>
      <c r="AO191" s="2">
        <f t="shared" si="264"/>
        <v>0</v>
      </c>
      <c r="AP191" s="2">
        <f t="shared" si="264"/>
        <v>0</v>
      </c>
      <c r="AQ191" s="2">
        <f t="shared" si="264"/>
        <v>0</v>
      </c>
      <c r="AR191" s="2">
        <f t="shared" si="264"/>
        <v>0</v>
      </c>
      <c r="AS191" s="2">
        <f t="shared" si="264"/>
        <v>0</v>
      </c>
      <c r="AT191" s="2">
        <f t="shared" si="264"/>
        <v>0</v>
      </c>
      <c r="AU191" s="2">
        <f t="shared" si="264"/>
        <v>0</v>
      </c>
      <c r="AV191" s="2">
        <f t="shared" si="264"/>
        <v>0</v>
      </c>
      <c r="AW191" s="2">
        <f t="shared" si="264"/>
        <v>0</v>
      </c>
      <c r="AX191" s="2">
        <f t="shared" si="264"/>
        <v>0</v>
      </c>
      <c r="AY191" s="2">
        <f t="shared" si="264"/>
        <v>0</v>
      </c>
      <c r="AZ191" s="2">
        <f t="shared" si="264"/>
        <v>0</v>
      </c>
      <c r="BA191" s="2">
        <f t="shared" si="264"/>
        <v>0</v>
      </c>
      <c r="BB191" s="2">
        <f t="shared" si="264"/>
        <v>0</v>
      </c>
      <c r="BC191" s="2">
        <f t="shared" si="264"/>
        <v>0</v>
      </c>
      <c r="BD191" s="2">
        <f t="shared" si="264"/>
        <v>0</v>
      </c>
      <c r="BE191" s="2">
        <f t="shared" si="264"/>
        <v>0</v>
      </c>
      <c r="BF191" s="2">
        <f t="shared" si="264"/>
        <v>0</v>
      </c>
      <c r="BG191" s="2">
        <f t="shared" si="264"/>
        <v>0</v>
      </c>
      <c r="BH191" s="2">
        <f t="shared" si="264"/>
        <v>0</v>
      </c>
      <c r="BI191" s="2">
        <f t="shared" si="264"/>
        <v>0</v>
      </c>
      <c r="BJ191" s="2">
        <f t="shared" si="264"/>
        <v>0</v>
      </c>
      <c r="BK191" s="2">
        <f t="shared" si="264"/>
        <v>0</v>
      </c>
      <c r="BL191" s="2">
        <f t="shared" si="264"/>
        <v>0</v>
      </c>
      <c r="BM191" s="2">
        <f t="shared" si="264"/>
        <v>0</v>
      </c>
      <c r="BN191" s="2">
        <f t="shared" si="264"/>
        <v>0</v>
      </c>
      <c r="BO191" s="2">
        <f t="shared" si="264"/>
        <v>0</v>
      </c>
      <c r="BP191" s="2">
        <f t="shared" si="264"/>
        <v>0</v>
      </c>
      <c r="BQ191" s="2">
        <f t="shared" si="264"/>
        <v>0</v>
      </c>
      <c r="BR191" s="2">
        <f t="shared" si="264"/>
        <v>0</v>
      </c>
      <c r="BS191" s="2">
        <f t="shared" si="264"/>
        <v>0</v>
      </c>
      <c r="BT191" s="2">
        <f t="shared" si="263"/>
        <v>0</v>
      </c>
      <c r="BU191" s="2">
        <f t="shared" si="263"/>
        <v>0</v>
      </c>
      <c r="BV191" s="2">
        <f t="shared" si="263"/>
        <v>0</v>
      </c>
      <c r="BW191" s="2">
        <f t="shared" si="263"/>
        <v>0</v>
      </c>
      <c r="BX191" s="2">
        <f t="shared" si="263"/>
        <v>0</v>
      </c>
      <c r="BY191" s="2">
        <f t="shared" si="263"/>
        <v>0</v>
      </c>
      <c r="BZ191" s="2">
        <f t="shared" si="263"/>
        <v>0</v>
      </c>
      <c r="CA191" s="2">
        <f t="shared" si="263"/>
        <v>0</v>
      </c>
      <c r="CB191" s="2">
        <f t="shared" si="263"/>
        <v>0</v>
      </c>
      <c r="CC191" s="2">
        <f t="shared" si="263"/>
        <v>0</v>
      </c>
      <c r="CD191" s="2">
        <f t="shared" si="263"/>
        <v>0</v>
      </c>
    </row>
    <row r="192" spans="3:82" s="2" customFormat="1" x14ac:dyDescent="0.2">
      <c r="E192" s="2" t="s">
        <v>131</v>
      </c>
      <c r="F192" s="2" t="s">
        <v>7</v>
      </c>
      <c r="AF192" s="2">
        <f t="shared" si="264"/>
        <v>-99999</v>
      </c>
      <c r="AG192" s="2">
        <f t="shared" si="264"/>
        <v>-99999</v>
      </c>
      <c r="AH192" s="2">
        <f t="shared" si="264"/>
        <v>-99999</v>
      </c>
      <c r="AI192" s="2">
        <f t="shared" si="264"/>
        <v>-99999</v>
      </c>
      <c r="AJ192" s="2">
        <f t="shared" si="264"/>
        <v>0</v>
      </c>
      <c r="AK192" s="2">
        <f t="shared" si="264"/>
        <v>0</v>
      </c>
      <c r="AL192" s="2">
        <f t="shared" si="264"/>
        <v>0</v>
      </c>
      <c r="AM192" s="2">
        <f t="shared" si="264"/>
        <v>0</v>
      </c>
      <c r="AN192" s="2">
        <f t="shared" si="264"/>
        <v>0</v>
      </c>
      <c r="AO192" s="2">
        <f t="shared" si="264"/>
        <v>0</v>
      </c>
      <c r="AP192" s="2">
        <f t="shared" si="264"/>
        <v>0</v>
      </c>
      <c r="AQ192" s="2">
        <f t="shared" si="264"/>
        <v>0</v>
      </c>
      <c r="AR192" s="2">
        <f t="shared" si="264"/>
        <v>0</v>
      </c>
      <c r="AS192" s="2">
        <f t="shared" si="264"/>
        <v>0</v>
      </c>
      <c r="AT192" s="2">
        <f t="shared" si="264"/>
        <v>0</v>
      </c>
      <c r="AU192" s="2">
        <f t="shared" si="264"/>
        <v>0</v>
      </c>
      <c r="AV192" s="2">
        <f t="shared" si="264"/>
        <v>0</v>
      </c>
      <c r="AW192" s="2">
        <f t="shared" si="264"/>
        <v>0</v>
      </c>
      <c r="AX192" s="2">
        <f t="shared" si="264"/>
        <v>0</v>
      </c>
      <c r="AY192" s="2">
        <f t="shared" si="264"/>
        <v>0</v>
      </c>
      <c r="AZ192" s="2">
        <f t="shared" si="264"/>
        <v>0</v>
      </c>
      <c r="BA192" s="2">
        <f t="shared" si="264"/>
        <v>0</v>
      </c>
      <c r="BB192" s="2">
        <f t="shared" si="264"/>
        <v>0</v>
      </c>
      <c r="BC192" s="2">
        <f t="shared" si="264"/>
        <v>0</v>
      </c>
      <c r="BD192" s="2">
        <f t="shared" si="264"/>
        <v>0</v>
      </c>
      <c r="BE192" s="2">
        <f t="shared" si="264"/>
        <v>0</v>
      </c>
      <c r="BF192" s="2">
        <f t="shared" si="264"/>
        <v>0</v>
      </c>
      <c r="BG192" s="2">
        <f t="shared" si="264"/>
        <v>0</v>
      </c>
      <c r="BH192" s="2">
        <f t="shared" si="264"/>
        <v>0</v>
      </c>
      <c r="BI192" s="2">
        <f t="shared" si="264"/>
        <v>0</v>
      </c>
      <c r="BJ192" s="2">
        <f t="shared" si="264"/>
        <v>0</v>
      </c>
      <c r="BK192" s="2">
        <f t="shared" si="264"/>
        <v>0</v>
      </c>
      <c r="BL192" s="2">
        <f t="shared" si="264"/>
        <v>0</v>
      </c>
      <c r="BM192" s="2">
        <f t="shared" si="264"/>
        <v>0</v>
      </c>
      <c r="BN192" s="2">
        <f t="shared" si="264"/>
        <v>0</v>
      </c>
      <c r="BO192" s="2">
        <f t="shared" si="264"/>
        <v>0</v>
      </c>
      <c r="BP192" s="2">
        <f t="shared" si="264"/>
        <v>0</v>
      </c>
      <c r="BQ192" s="2">
        <f t="shared" si="264"/>
        <v>0</v>
      </c>
      <c r="BR192" s="2">
        <f t="shared" si="264"/>
        <v>0</v>
      </c>
      <c r="BS192" s="2">
        <f t="shared" ref="BS192:CD192" si="265">CA403</f>
        <v>0</v>
      </c>
      <c r="BT192" s="2">
        <f t="shared" si="265"/>
        <v>0</v>
      </c>
      <c r="BU192" s="2">
        <f t="shared" si="265"/>
        <v>0</v>
      </c>
      <c r="BV192" s="2">
        <f t="shared" si="265"/>
        <v>0</v>
      </c>
      <c r="BW192" s="2">
        <f t="shared" si="265"/>
        <v>0</v>
      </c>
      <c r="BX192" s="2">
        <f t="shared" si="265"/>
        <v>0</v>
      </c>
      <c r="BY192" s="2">
        <f t="shared" si="265"/>
        <v>0</v>
      </c>
      <c r="BZ192" s="2">
        <f t="shared" si="265"/>
        <v>0</v>
      </c>
      <c r="CA192" s="2">
        <f t="shared" si="265"/>
        <v>0</v>
      </c>
      <c r="CB192" s="2">
        <f t="shared" si="265"/>
        <v>0</v>
      </c>
      <c r="CC192" s="2">
        <f t="shared" si="265"/>
        <v>0</v>
      </c>
      <c r="CD192" s="2">
        <f t="shared" si="265"/>
        <v>0</v>
      </c>
    </row>
    <row r="193" spans="2:82" s="3" customFormat="1" x14ac:dyDescent="0.2">
      <c r="C193" s="3" t="s">
        <v>132</v>
      </c>
      <c r="G193" s="3">
        <f>SUM(G197)</f>
        <v>1</v>
      </c>
      <c r="H193" s="3">
        <f t="shared" ref="H193:BS193" si="266">SUM(H197)</f>
        <v>1</v>
      </c>
      <c r="I193" s="3">
        <f t="shared" si="266"/>
        <v>0</v>
      </c>
      <c r="J193" s="3">
        <f t="shared" si="266"/>
        <v>0</v>
      </c>
      <c r="K193" s="3">
        <f t="shared" si="266"/>
        <v>0</v>
      </c>
      <c r="L193" s="3">
        <f t="shared" si="266"/>
        <v>0</v>
      </c>
      <c r="M193" s="3">
        <f t="shared" si="266"/>
        <v>0</v>
      </c>
      <c r="N193" s="3">
        <f t="shared" si="266"/>
        <v>0</v>
      </c>
      <c r="O193" s="3">
        <f t="shared" si="266"/>
        <v>0</v>
      </c>
      <c r="P193" s="3">
        <f t="shared" si="266"/>
        <v>0</v>
      </c>
      <c r="Q193" s="3">
        <f t="shared" si="266"/>
        <v>0</v>
      </c>
      <c r="R193" s="3">
        <f t="shared" si="266"/>
        <v>0</v>
      </c>
      <c r="S193" s="3">
        <f t="shared" si="266"/>
        <v>0</v>
      </c>
      <c r="T193" s="3">
        <f t="shared" si="266"/>
        <v>0</v>
      </c>
      <c r="U193" s="3">
        <f t="shared" si="266"/>
        <v>0</v>
      </c>
      <c r="V193" s="3">
        <f t="shared" si="266"/>
        <v>0</v>
      </c>
      <c r="W193" s="3">
        <f t="shared" si="266"/>
        <v>0</v>
      </c>
      <c r="X193" s="3">
        <f t="shared" si="266"/>
        <v>0</v>
      </c>
      <c r="Y193" s="3">
        <f t="shared" si="266"/>
        <v>0</v>
      </c>
      <c r="Z193" s="3">
        <f t="shared" si="266"/>
        <v>0</v>
      </c>
      <c r="AA193" s="3">
        <f t="shared" si="266"/>
        <v>0</v>
      </c>
      <c r="AB193" s="3">
        <f t="shared" si="266"/>
        <v>0</v>
      </c>
      <c r="AC193" s="3">
        <f t="shared" si="266"/>
        <v>0</v>
      </c>
      <c r="AD193" s="3">
        <f t="shared" si="266"/>
        <v>0</v>
      </c>
      <c r="AE193" s="3">
        <f t="shared" si="266"/>
        <v>0</v>
      </c>
      <c r="AF193" s="3">
        <f t="shared" si="266"/>
        <v>-399996</v>
      </c>
      <c r="AG193" s="3">
        <f t="shared" si="266"/>
        <v>-399996</v>
      </c>
      <c r="AH193" s="3">
        <f t="shared" si="266"/>
        <v>-399996</v>
      </c>
      <c r="AI193" s="3">
        <f t="shared" si="266"/>
        <v>-399996</v>
      </c>
      <c r="AJ193" s="3">
        <f t="shared" si="266"/>
        <v>6049.3660618158628</v>
      </c>
      <c r="AK193" s="3">
        <f t="shared" si="266"/>
        <v>6000.515855564825</v>
      </c>
      <c r="AL193" s="3">
        <f t="shared" si="266"/>
        <v>5951.7262803587164</v>
      </c>
      <c r="AM193" s="3">
        <f t="shared" si="266"/>
        <v>5735.6803047733538</v>
      </c>
      <c r="AN193" s="3">
        <f t="shared" si="266"/>
        <v>5424.4343029908478</v>
      </c>
      <c r="AO193" s="3">
        <f t="shared" si="266"/>
        <v>5128.7803352810743</v>
      </c>
      <c r="AP193" s="3">
        <f t="shared" si="266"/>
        <v>3699.8849779131629</v>
      </c>
      <c r="AQ193" s="3">
        <f t="shared" si="266"/>
        <v>2780.8637955907689</v>
      </c>
      <c r="AR193" s="3">
        <f t="shared" si="266"/>
        <v>2776.6216854270483</v>
      </c>
      <c r="AS193" s="3">
        <f t="shared" si="266"/>
        <v>2801.2082461143264</v>
      </c>
      <c r="AT193" s="3">
        <f t="shared" si="266"/>
        <v>2863.5977890157551</v>
      </c>
      <c r="AU193" s="3">
        <f t="shared" si="266"/>
        <v>2951.8203972108804</v>
      </c>
      <c r="AV193" s="3">
        <f t="shared" si="266"/>
        <v>3058.4202656278485</v>
      </c>
      <c r="AW193" s="3">
        <f t="shared" si="266"/>
        <v>3171.7707874894136</v>
      </c>
      <c r="AX193" s="3">
        <f t="shared" si="266"/>
        <v>3279.2567738144967</v>
      </c>
      <c r="AY193" s="3">
        <f t="shared" si="266"/>
        <v>3368.0126806117787</v>
      </c>
      <c r="AZ193" s="3">
        <f t="shared" si="266"/>
        <v>3425.5604550341782</v>
      </c>
      <c r="BA193" s="3">
        <f t="shared" si="266"/>
        <v>3440.421903830224</v>
      </c>
      <c r="BB193" s="3">
        <f t="shared" si="266"/>
        <v>3402.7638023858476</v>
      </c>
      <c r="BC193" s="3">
        <f t="shared" si="266"/>
        <v>3317.4427363623745</v>
      </c>
      <c r="BD193" s="3">
        <f t="shared" si="266"/>
        <v>3183.4911294867748</v>
      </c>
      <c r="BE193" s="3">
        <f t="shared" si="266"/>
        <v>3020.6744468192123</v>
      </c>
      <c r="BF193" s="3">
        <f t="shared" si="266"/>
        <v>2818.8231293869708</v>
      </c>
      <c r="BG193" s="3">
        <f t="shared" si="266"/>
        <v>2582.4442686219181</v>
      </c>
      <c r="BH193" s="3">
        <f t="shared" si="266"/>
        <v>2314.3261691235193</v>
      </c>
      <c r="BI193" s="3">
        <f t="shared" si="266"/>
        <v>1829.2257815174521</v>
      </c>
      <c r="BJ193" s="3">
        <f t="shared" si="266"/>
        <v>811.79187600428691</v>
      </c>
      <c r="BK193" s="3">
        <f t="shared" si="266"/>
        <v>744.35271266609288</v>
      </c>
      <c r="BL193" s="3">
        <f t="shared" si="266"/>
        <v>660.431011758978</v>
      </c>
      <c r="BM193" s="3">
        <f t="shared" si="266"/>
        <v>576.05941775974304</v>
      </c>
      <c r="BN193" s="3">
        <f t="shared" si="266"/>
        <v>493.68935275142951</v>
      </c>
      <c r="BO193" s="3">
        <f t="shared" si="266"/>
        <v>413.84436945491831</v>
      </c>
      <c r="BP193" s="3">
        <f t="shared" si="266"/>
        <v>336.66112884314231</v>
      </c>
      <c r="BQ193" s="3">
        <f t="shared" si="266"/>
        <v>282.23791781125402</v>
      </c>
      <c r="BR193" s="3">
        <f t="shared" si="266"/>
        <v>203.64208020064001</v>
      </c>
      <c r="BS193" s="3">
        <f t="shared" si="266"/>
        <v>118.90585945584</v>
      </c>
      <c r="BT193" s="3">
        <f t="shared" ref="BT193:CD193" si="267">SUM(BT197)</f>
        <v>33.969129030190103</v>
      </c>
      <c r="BU193" s="3">
        <f t="shared" si="267"/>
        <v>0</v>
      </c>
      <c r="BV193" s="3">
        <f t="shared" si="267"/>
        <v>0</v>
      </c>
      <c r="BW193" s="3">
        <f t="shared" si="267"/>
        <v>0</v>
      </c>
      <c r="BX193" s="3">
        <f t="shared" si="267"/>
        <v>0</v>
      </c>
      <c r="BY193" s="3">
        <f t="shared" si="267"/>
        <v>0</v>
      </c>
      <c r="BZ193" s="3">
        <f t="shared" si="267"/>
        <v>0</v>
      </c>
      <c r="CA193" s="3">
        <f t="shared" si="267"/>
        <v>0</v>
      </c>
      <c r="CB193" s="3">
        <f t="shared" si="267"/>
        <v>0</v>
      </c>
      <c r="CC193" s="3">
        <f t="shared" si="267"/>
        <v>0</v>
      </c>
      <c r="CD193" s="3">
        <f t="shared" si="267"/>
        <v>0</v>
      </c>
    </row>
    <row r="194" spans="2:82" s="4" customFormat="1" x14ac:dyDescent="0.2">
      <c r="D194" s="4" t="s">
        <v>133</v>
      </c>
    </row>
    <row r="195" spans="2:82" s="8" customFormat="1" x14ac:dyDescent="0.2">
      <c r="E195" s="8" t="s">
        <v>193</v>
      </c>
      <c r="F195" s="8" t="s">
        <v>7</v>
      </c>
      <c r="AF195" s="8">
        <f t="shared" ref="AF195:AO196" si="268">AN404</f>
        <v>-99999</v>
      </c>
      <c r="AG195" s="8">
        <f t="shared" si="268"/>
        <v>-99999</v>
      </c>
      <c r="AH195" s="8">
        <f t="shared" si="268"/>
        <v>-99999</v>
      </c>
      <c r="AI195" s="8">
        <f t="shared" si="268"/>
        <v>-99999</v>
      </c>
      <c r="AJ195" s="8">
        <f t="shared" si="268"/>
        <v>0</v>
      </c>
      <c r="AK195" s="8">
        <f t="shared" si="268"/>
        <v>0</v>
      </c>
      <c r="AL195" s="8">
        <f t="shared" si="268"/>
        <v>0</v>
      </c>
      <c r="AM195" s="8">
        <f t="shared" si="268"/>
        <v>0</v>
      </c>
      <c r="AN195" s="8">
        <f t="shared" si="268"/>
        <v>0</v>
      </c>
      <c r="AO195" s="8">
        <f t="shared" si="268"/>
        <v>0</v>
      </c>
      <c r="AP195" s="8">
        <f t="shared" ref="AP195:AY196" si="269">AX404</f>
        <v>0</v>
      </c>
      <c r="AQ195" s="8">
        <f t="shared" si="269"/>
        <v>0</v>
      </c>
      <c r="AR195" s="8">
        <f t="shared" si="269"/>
        <v>0</v>
      </c>
      <c r="AS195" s="8">
        <f t="shared" si="269"/>
        <v>0</v>
      </c>
      <c r="AT195" s="8">
        <f t="shared" si="269"/>
        <v>0</v>
      </c>
      <c r="AU195" s="8">
        <f t="shared" si="269"/>
        <v>0</v>
      </c>
      <c r="AV195" s="8">
        <f t="shared" si="269"/>
        <v>0</v>
      </c>
      <c r="AW195" s="8">
        <f t="shared" si="269"/>
        <v>0</v>
      </c>
      <c r="AX195" s="8">
        <f t="shared" si="269"/>
        <v>0</v>
      </c>
      <c r="AY195" s="8">
        <f t="shared" si="269"/>
        <v>0</v>
      </c>
      <c r="AZ195" s="8">
        <f t="shared" ref="AZ195:BI196" si="270">BH404</f>
        <v>0</v>
      </c>
      <c r="BA195" s="8">
        <f t="shared" si="270"/>
        <v>0</v>
      </c>
      <c r="BB195" s="8">
        <f t="shared" si="270"/>
        <v>0</v>
      </c>
      <c r="BC195" s="8">
        <f t="shared" si="270"/>
        <v>0</v>
      </c>
      <c r="BD195" s="8">
        <f t="shared" si="270"/>
        <v>0</v>
      </c>
      <c r="BE195" s="8">
        <f t="shared" si="270"/>
        <v>0</v>
      </c>
      <c r="BF195" s="8">
        <f t="shared" si="270"/>
        <v>0</v>
      </c>
      <c r="BG195" s="8">
        <f t="shared" si="270"/>
        <v>0</v>
      </c>
      <c r="BH195" s="8">
        <f t="shared" si="270"/>
        <v>0</v>
      </c>
      <c r="BI195" s="8">
        <f t="shared" si="270"/>
        <v>0</v>
      </c>
      <c r="BJ195" s="8">
        <f t="shared" ref="BJ195:BS196" si="271">BR404</f>
        <v>0</v>
      </c>
      <c r="BK195" s="8">
        <f t="shared" si="271"/>
        <v>0</v>
      </c>
      <c r="BL195" s="8">
        <f t="shared" si="271"/>
        <v>0</v>
      </c>
      <c r="BM195" s="8">
        <f t="shared" si="271"/>
        <v>0</v>
      </c>
      <c r="BN195" s="8">
        <f t="shared" si="271"/>
        <v>0</v>
      </c>
      <c r="BO195" s="8">
        <f t="shared" si="271"/>
        <v>0</v>
      </c>
      <c r="BP195" s="8">
        <f t="shared" si="271"/>
        <v>0</v>
      </c>
      <c r="BQ195" s="8">
        <f t="shared" si="271"/>
        <v>0</v>
      </c>
      <c r="BR195" s="8">
        <f t="shared" si="271"/>
        <v>0</v>
      </c>
      <c r="BS195" s="8">
        <f t="shared" si="271"/>
        <v>0</v>
      </c>
      <c r="BT195" s="8">
        <f t="shared" ref="BT195:CC196" si="272">CB404</f>
        <v>0</v>
      </c>
      <c r="BU195" s="8">
        <f t="shared" si="272"/>
        <v>0</v>
      </c>
      <c r="BV195" s="8">
        <f t="shared" si="272"/>
        <v>0</v>
      </c>
      <c r="BW195" s="8">
        <f t="shared" si="272"/>
        <v>0</v>
      </c>
      <c r="BX195" s="8">
        <f t="shared" si="272"/>
        <v>0</v>
      </c>
      <c r="BY195" s="8">
        <f t="shared" si="272"/>
        <v>0</v>
      </c>
      <c r="BZ195" s="8">
        <f t="shared" si="272"/>
        <v>0</v>
      </c>
      <c r="CA195" s="8">
        <f t="shared" si="272"/>
        <v>0</v>
      </c>
      <c r="CB195" s="8">
        <f t="shared" si="272"/>
        <v>0</v>
      </c>
      <c r="CC195" s="8">
        <f t="shared" si="272"/>
        <v>0</v>
      </c>
      <c r="CD195" s="8">
        <f t="shared" ref="CD195:CM196" si="273">CL404</f>
        <v>0</v>
      </c>
    </row>
    <row r="196" spans="2:82" s="8" customFormat="1" x14ac:dyDescent="0.2">
      <c r="E196" s="8" t="s">
        <v>192</v>
      </c>
      <c r="F196" s="8" t="s">
        <v>7</v>
      </c>
      <c r="AF196" s="8">
        <f t="shared" si="268"/>
        <v>-99999</v>
      </c>
      <c r="AG196" s="8">
        <f t="shared" si="268"/>
        <v>-99999</v>
      </c>
      <c r="AH196" s="8">
        <f t="shared" si="268"/>
        <v>-99999</v>
      </c>
      <c r="AI196" s="8">
        <f t="shared" si="268"/>
        <v>-99999</v>
      </c>
      <c r="AJ196" s="8">
        <f t="shared" si="268"/>
        <v>-595.29836038355995</v>
      </c>
      <c r="AK196" s="8">
        <f t="shared" si="268"/>
        <v>-566.13033522416504</v>
      </c>
      <c r="AL196" s="8">
        <f t="shared" si="268"/>
        <v>-538.40881949078903</v>
      </c>
      <c r="AM196" s="8">
        <f t="shared" si="268"/>
        <v>-512.06183247430602</v>
      </c>
      <c r="AN196" s="8">
        <f t="shared" si="268"/>
        <v>-489.752525921744</v>
      </c>
      <c r="AO196" s="8">
        <f t="shared" si="268"/>
        <v>-472.48981149847998</v>
      </c>
      <c r="AP196" s="8">
        <f t="shared" si="269"/>
        <v>-459.87071208139997</v>
      </c>
      <c r="AQ196" s="8">
        <f t="shared" si="269"/>
        <v>-451.66692743661599</v>
      </c>
      <c r="AR196" s="8">
        <f t="shared" si="269"/>
        <v>-446.70939267782097</v>
      </c>
      <c r="AS196" s="8">
        <f t="shared" si="269"/>
        <v>-441.78842087844498</v>
      </c>
      <c r="AT196" s="8">
        <f t="shared" si="269"/>
        <v>-437.54631092232898</v>
      </c>
      <c r="AU196" s="8">
        <f t="shared" si="269"/>
        <v>-435.08542205889898</v>
      </c>
      <c r="AV196" s="8">
        <f t="shared" si="269"/>
        <v>-435.72170122789498</v>
      </c>
      <c r="AW196" s="8">
        <f t="shared" si="269"/>
        <v>-439.837838005908</v>
      </c>
      <c r="AX196" s="8">
        <f t="shared" si="269"/>
        <v>-447.39449936981202</v>
      </c>
      <c r="AY196" s="8">
        <f t="shared" si="269"/>
        <v>-457.89952863473798</v>
      </c>
      <c r="AZ196" s="8">
        <f t="shared" si="270"/>
        <v>-470.44162795051</v>
      </c>
      <c r="BA196" s="8">
        <f t="shared" si="270"/>
        <v>-483.75699965354499</v>
      </c>
      <c r="BB196" s="8">
        <f t="shared" si="270"/>
        <v>-496.31639025166697</v>
      </c>
      <c r="BC196" s="8">
        <f t="shared" si="270"/>
        <v>-506.42095939728512</v>
      </c>
      <c r="BD196" s="8">
        <f t="shared" si="270"/>
        <v>-512.74831266115598</v>
      </c>
      <c r="BE196" s="8">
        <f t="shared" si="270"/>
        <v>-514.07432062184296</v>
      </c>
      <c r="BF196" s="8">
        <f t="shared" si="270"/>
        <v>-509.90452017590599</v>
      </c>
      <c r="BG196" s="8">
        <f t="shared" si="270"/>
        <v>-499.42183761029901</v>
      </c>
      <c r="BH196" s="8">
        <f t="shared" si="270"/>
        <v>-482.58282887957301</v>
      </c>
      <c r="BI196" s="8">
        <f t="shared" si="270"/>
        <v>-461.178184249222</v>
      </c>
      <c r="BJ196" s="8">
        <f t="shared" si="271"/>
        <v>-439.138684489166</v>
      </c>
      <c r="BK196" s="8">
        <f t="shared" si="271"/>
        <v>-417.72696613288701</v>
      </c>
      <c r="BL196" s="8">
        <f t="shared" si="271"/>
        <v>-397.29231634688801</v>
      </c>
      <c r="BM196" s="8">
        <f t="shared" si="271"/>
        <v>-377.76635536981701</v>
      </c>
      <c r="BN196" s="8">
        <f t="shared" si="271"/>
        <v>-359.10699200748297</v>
      </c>
      <c r="BO196" s="8">
        <f t="shared" si="271"/>
        <v>-341.27213567679098</v>
      </c>
      <c r="BP196" s="8">
        <f t="shared" si="271"/>
        <v>-324.22920053667599</v>
      </c>
      <c r="BQ196" s="8">
        <f t="shared" si="271"/>
        <v>-307.94667234014003</v>
      </c>
      <c r="BR196" s="8">
        <f t="shared" si="271"/>
        <v>-292.44620654955798</v>
      </c>
      <c r="BS196" s="8">
        <f t="shared" si="271"/>
        <v>-277.70548043167099</v>
      </c>
      <c r="BT196" s="8">
        <f t="shared" si="272"/>
        <v>-263.69047456962102</v>
      </c>
      <c r="BU196" s="8">
        <f t="shared" si="272"/>
        <v>-250.36699817642901</v>
      </c>
      <c r="BV196" s="8">
        <f t="shared" si="272"/>
        <v>-237.70233186121399</v>
      </c>
      <c r="BW196" s="8">
        <f t="shared" si="272"/>
        <v>-225.66533542907899</v>
      </c>
      <c r="BX196" s="8">
        <f t="shared" si="272"/>
        <v>-214.226391699788</v>
      </c>
      <c r="BY196" s="8">
        <f t="shared" si="272"/>
        <v>-203.35667508519401</v>
      </c>
      <c r="BZ196" s="8">
        <f t="shared" si="272"/>
        <v>-193.02532290746501</v>
      </c>
      <c r="CA196" s="8">
        <f t="shared" si="272"/>
        <v>-183.208500161937</v>
      </c>
      <c r="CB196" s="8">
        <f t="shared" si="272"/>
        <v>-173.88224804120301</v>
      </c>
      <c r="CC196" s="8">
        <f t="shared" si="272"/>
        <v>-165.02374638594799</v>
      </c>
      <c r="CD196" s="8">
        <f t="shared" si="273"/>
        <v>-156.61119384269199</v>
      </c>
    </row>
    <row r="197" spans="2:82" s="3" customFormat="1" x14ac:dyDescent="0.2">
      <c r="D197" s="3" t="s">
        <v>134</v>
      </c>
      <c r="G197" s="3">
        <f>SUM(G198:G202)</f>
        <v>1</v>
      </c>
      <c r="H197" s="3">
        <f t="shared" ref="H197:BS197" si="274">SUM(H198:H202)</f>
        <v>1</v>
      </c>
      <c r="I197" s="3">
        <f t="shared" si="274"/>
        <v>0</v>
      </c>
      <c r="J197" s="3">
        <f t="shared" si="274"/>
        <v>0</v>
      </c>
      <c r="K197" s="3">
        <f t="shared" si="274"/>
        <v>0</v>
      </c>
      <c r="L197" s="3">
        <f t="shared" si="274"/>
        <v>0</v>
      </c>
      <c r="M197" s="3">
        <f t="shared" si="274"/>
        <v>0</v>
      </c>
      <c r="N197" s="3">
        <f t="shared" si="274"/>
        <v>0</v>
      </c>
      <c r="O197" s="3">
        <f t="shared" si="274"/>
        <v>0</v>
      </c>
      <c r="P197" s="3">
        <f t="shared" si="274"/>
        <v>0</v>
      </c>
      <c r="Q197" s="3">
        <f t="shared" si="274"/>
        <v>0</v>
      </c>
      <c r="R197" s="3">
        <f t="shared" si="274"/>
        <v>0</v>
      </c>
      <c r="S197" s="3">
        <f t="shared" si="274"/>
        <v>0</v>
      </c>
      <c r="T197" s="3">
        <f t="shared" si="274"/>
        <v>0</v>
      </c>
      <c r="U197" s="3">
        <f t="shared" si="274"/>
        <v>0</v>
      </c>
      <c r="V197" s="3">
        <f t="shared" si="274"/>
        <v>0</v>
      </c>
      <c r="W197" s="3">
        <f t="shared" si="274"/>
        <v>0</v>
      </c>
      <c r="X197" s="3">
        <f t="shared" si="274"/>
        <v>0</v>
      </c>
      <c r="Y197" s="3">
        <f t="shared" si="274"/>
        <v>0</v>
      </c>
      <c r="Z197" s="3">
        <f t="shared" si="274"/>
        <v>0</v>
      </c>
      <c r="AA197" s="3">
        <f t="shared" si="274"/>
        <v>0</v>
      </c>
      <c r="AB197" s="3">
        <f t="shared" si="274"/>
        <v>0</v>
      </c>
      <c r="AC197" s="3">
        <f t="shared" si="274"/>
        <v>0</v>
      </c>
      <c r="AD197" s="3">
        <f t="shared" si="274"/>
        <v>0</v>
      </c>
      <c r="AE197" s="3">
        <f t="shared" si="274"/>
        <v>0</v>
      </c>
      <c r="AF197" s="3">
        <f t="shared" si="274"/>
        <v>-399996</v>
      </c>
      <c r="AG197" s="3">
        <f t="shared" si="274"/>
        <v>-399996</v>
      </c>
      <c r="AH197" s="3">
        <f t="shared" si="274"/>
        <v>-399996</v>
      </c>
      <c r="AI197" s="3">
        <f t="shared" si="274"/>
        <v>-399996</v>
      </c>
      <c r="AJ197" s="3">
        <f t="shared" si="274"/>
        <v>6049.3660618158628</v>
      </c>
      <c r="AK197" s="3">
        <f t="shared" si="274"/>
        <v>6000.515855564825</v>
      </c>
      <c r="AL197" s="3">
        <f t="shared" si="274"/>
        <v>5951.7262803587164</v>
      </c>
      <c r="AM197" s="3">
        <f t="shared" si="274"/>
        <v>5735.6803047733538</v>
      </c>
      <c r="AN197" s="3">
        <f t="shared" si="274"/>
        <v>5424.4343029908478</v>
      </c>
      <c r="AO197" s="3">
        <f t="shared" si="274"/>
        <v>5128.7803352810743</v>
      </c>
      <c r="AP197" s="3">
        <f t="shared" si="274"/>
        <v>3699.8849779131629</v>
      </c>
      <c r="AQ197" s="3">
        <f t="shared" si="274"/>
        <v>2780.8637955907689</v>
      </c>
      <c r="AR197" s="3">
        <f t="shared" si="274"/>
        <v>2776.6216854270483</v>
      </c>
      <c r="AS197" s="3">
        <f t="shared" si="274"/>
        <v>2801.2082461143264</v>
      </c>
      <c r="AT197" s="3">
        <f t="shared" si="274"/>
        <v>2863.5977890157551</v>
      </c>
      <c r="AU197" s="3">
        <f t="shared" si="274"/>
        <v>2951.8203972108804</v>
      </c>
      <c r="AV197" s="3">
        <f t="shared" si="274"/>
        <v>3058.4202656278485</v>
      </c>
      <c r="AW197" s="3">
        <f t="shared" si="274"/>
        <v>3171.7707874894136</v>
      </c>
      <c r="AX197" s="3">
        <f t="shared" si="274"/>
        <v>3279.2567738144967</v>
      </c>
      <c r="AY197" s="3">
        <f t="shared" si="274"/>
        <v>3368.0126806117787</v>
      </c>
      <c r="AZ197" s="3">
        <f t="shared" si="274"/>
        <v>3425.5604550341782</v>
      </c>
      <c r="BA197" s="3">
        <f t="shared" si="274"/>
        <v>3440.421903830224</v>
      </c>
      <c r="BB197" s="3">
        <f t="shared" si="274"/>
        <v>3402.7638023858476</v>
      </c>
      <c r="BC197" s="3">
        <f t="shared" si="274"/>
        <v>3317.4427363623745</v>
      </c>
      <c r="BD197" s="3">
        <f t="shared" si="274"/>
        <v>3183.4911294867748</v>
      </c>
      <c r="BE197" s="3">
        <f t="shared" si="274"/>
        <v>3020.6744468192123</v>
      </c>
      <c r="BF197" s="3">
        <f t="shared" si="274"/>
        <v>2818.8231293869708</v>
      </c>
      <c r="BG197" s="3">
        <f t="shared" si="274"/>
        <v>2582.4442686219181</v>
      </c>
      <c r="BH197" s="3">
        <f t="shared" si="274"/>
        <v>2314.3261691235193</v>
      </c>
      <c r="BI197" s="3">
        <f t="shared" si="274"/>
        <v>1829.2257815174521</v>
      </c>
      <c r="BJ197" s="3">
        <f t="shared" si="274"/>
        <v>811.79187600428691</v>
      </c>
      <c r="BK197" s="3">
        <f t="shared" si="274"/>
        <v>744.35271266609288</v>
      </c>
      <c r="BL197" s="3">
        <f t="shared" si="274"/>
        <v>660.431011758978</v>
      </c>
      <c r="BM197" s="3">
        <f t="shared" si="274"/>
        <v>576.05941775974304</v>
      </c>
      <c r="BN197" s="3">
        <f t="shared" si="274"/>
        <v>493.68935275142951</v>
      </c>
      <c r="BO197" s="3">
        <f t="shared" si="274"/>
        <v>413.84436945491831</v>
      </c>
      <c r="BP197" s="3">
        <f t="shared" si="274"/>
        <v>336.66112884314231</v>
      </c>
      <c r="BQ197" s="3">
        <f t="shared" si="274"/>
        <v>282.23791781125402</v>
      </c>
      <c r="BR197" s="3">
        <f t="shared" si="274"/>
        <v>203.64208020064001</v>
      </c>
      <c r="BS197" s="3">
        <f t="shared" si="274"/>
        <v>118.90585945584</v>
      </c>
      <c r="BT197" s="3">
        <f t="shared" ref="BT197:CD197" si="275">SUM(BT198:BT202)</f>
        <v>33.969129030190103</v>
      </c>
      <c r="BU197" s="3">
        <f t="shared" si="275"/>
        <v>0</v>
      </c>
      <c r="BV197" s="3">
        <f t="shared" si="275"/>
        <v>0</v>
      </c>
      <c r="BW197" s="3">
        <f t="shared" si="275"/>
        <v>0</v>
      </c>
      <c r="BX197" s="3">
        <f t="shared" si="275"/>
        <v>0</v>
      </c>
      <c r="BY197" s="3">
        <f t="shared" si="275"/>
        <v>0</v>
      </c>
      <c r="BZ197" s="3">
        <f t="shared" si="275"/>
        <v>0</v>
      </c>
      <c r="CA197" s="3">
        <f t="shared" si="275"/>
        <v>0</v>
      </c>
      <c r="CB197" s="3">
        <f t="shared" si="275"/>
        <v>0</v>
      </c>
      <c r="CC197" s="3">
        <f t="shared" si="275"/>
        <v>0</v>
      </c>
      <c r="CD197" s="3">
        <f t="shared" si="275"/>
        <v>0</v>
      </c>
    </row>
    <row r="198" spans="2:82" s="2" customFormat="1" x14ac:dyDescent="0.2">
      <c r="E198" s="2" t="s">
        <v>135</v>
      </c>
      <c r="F198" s="2" t="s">
        <v>7</v>
      </c>
      <c r="G198" s="2">
        <f>O406</f>
        <v>1</v>
      </c>
      <c r="H198" s="2">
        <f t="shared" ref="H198:BS199" si="276">P406</f>
        <v>1</v>
      </c>
      <c r="I198" s="2" t="str">
        <f t="shared" si="276"/>
        <v>emission_co2e_co2_lndu_conversion_forests_mangroves_to_flooded|emission_co2e_co2_lndu_conversion_forests_mangroves_to_other|emission_co2e_co2_lndu_conversion_forests_mangroves_to_shrublands|emission_co2e_co2_lndu_conversion_forests_mangroves_to_wetlands|emission_co2e_co2_lndu_conversion_forests_primary_to_flooded|emission_co2e_co2_lndu_conversion_forests_primary_to_other|emission_co2e_co2_lndu_conversion_forests_primary_to_shrublands|emission_co2e_co2_lndu_conversion_forests_primary_to_wetlands|emission_co2e_co2_lndu_conversion_forests_secondary_to_flooded|emission_co2e_co2_lndu_conversion_forests_secondary_to_other|emission_co2e_co2_lndu_conversion_forests_secondary_to_shrublands|emission_co2e_co2_lndu_conversion_forests_secondary_to_wetlands</v>
      </c>
      <c r="J198" s="2">
        <f t="shared" si="276"/>
        <v>0</v>
      </c>
      <c r="K198" s="2">
        <f t="shared" si="276"/>
        <v>0</v>
      </c>
      <c r="L198" s="2">
        <f t="shared" si="276"/>
        <v>0</v>
      </c>
      <c r="M198" s="2">
        <f t="shared" si="276"/>
        <v>0</v>
      </c>
      <c r="N198" s="2">
        <f t="shared" si="276"/>
        <v>0</v>
      </c>
      <c r="O198" s="2">
        <f t="shared" si="276"/>
        <v>0</v>
      </c>
      <c r="P198" s="2">
        <f t="shared" si="276"/>
        <v>0</v>
      </c>
      <c r="Q198" s="2">
        <f t="shared" si="276"/>
        <v>0</v>
      </c>
      <c r="R198" s="2">
        <f t="shared" si="276"/>
        <v>0</v>
      </c>
      <c r="S198" s="2">
        <f t="shared" si="276"/>
        <v>0</v>
      </c>
      <c r="T198" s="2">
        <f t="shared" si="276"/>
        <v>0</v>
      </c>
      <c r="U198" s="2">
        <f t="shared" si="276"/>
        <v>0</v>
      </c>
      <c r="V198" s="2">
        <f t="shared" si="276"/>
        <v>0</v>
      </c>
      <c r="W198" s="2">
        <f t="shared" si="276"/>
        <v>0</v>
      </c>
      <c r="X198" s="2">
        <f t="shared" si="276"/>
        <v>0</v>
      </c>
      <c r="Y198" s="2">
        <f t="shared" si="276"/>
        <v>0</v>
      </c>
      <c r="Z198" s="2">
        <f t="shared" si="276"/>
        <v>0</v>
      </c>
      <c r="AA198" s="2">
        <f t="shared" si="276"/>
        <v>0</v>
      </c>
      <c r="AB198" s="2">
        <f t="shared" si="276"/>
        <v>0</v>
      </c>
      <c r="AC198" s="2">
        <f t="shared" si="276"/>
        <v>0</v>
      </c>
      <c r="AD198" s="2">
        <f t="shared" si="276"/>
        <v>0</v>
      </c>
      <c r="AE198" s="2">
        <f t="shared" si="276"/>
        <v>0</v>
      </c>
      <c r="AF198" s="2">
        <f t="shared" si="276"/>
        <v>0</v>
      </c>
      <c r="AG198" s="2">
        <f t="shared" si="276"/>
        <v>0</v>
      </c>
      <c r="AH198" s="2">
        <f t="shared" si="276"/>
        <v>0</v>
      </c>
      <c r="AI198" s="2">
        <f t="shared" si="276"/>
        <v>0</v>
      </c>
      <c r="AJ198" s="2">
        <f t="shared" si="276"/>
        <v>6048.7412894549116</v>
      </c>
      <c r="AK198" s="2">
        <f t="shared" si="276"/>
        <v>5999.8460204409912</v>
      </c>
      <c r="AL198" s="2">
        <f t="shared" si="276"/>
        <v>5951.0127252469083</v>
      </c>
      <c r="AM198" s="2">
        <f t="shared" si="276"/>
        <v>5734.9199774476256</v>
      </c>
      <c r="AN198" s="2">
        <f t="shared" si="276"/>
        <v>5423.6352588158315</v>
      </c>
      <c r="AO198" s="2">
        <f t="shared" si="276"/>
        <v>5127.9488231145006</v>
      </c>
      <c r="AP198" s="2">
        <f t="shared" si="276"/>
        <v>3698.8609770750281</v>
      </c>
      <c r="AQ198" s="2">
        <f t="shared" si="276"/>
        <v>2779.3020709115149</v>
      </c>
      <c r="AR198" s="2">
        <f t="shared" si="276"/>
        <v>2775.0188227480289</v>
      </c>
      <c r="AS198" s="2">
        <f t="shared" si="276"/>
        <v>2799.5606438703371</v>
      </c>
      <c r="AT198" s="2">
        <f t="shared" si="276"/>
        <v>2861.8813478984721</v>
      </c>
      <c r="AU198" s="2">
        <f t="shared" si="276"/>
        <v>2950.0153258860591</v>
      </c>
      <c r="AV198" s="2">
        <f t="shared" si="276"/>
        <v>3056.509367324411</v>
      </c>
      <c r="AW198" s="2">
        <f t="shared" si="276"/>
        <v>3169.7427269952868</v>
      </c>
      <c r="AX198" s="2">
        <f t="shared" si="276"/>
        <v>3277.1079937606642</v>
      </c>
      <c r="AY198" s="2">
        <f t="shared" si="276"/>
        <v>3365.7491413065818</v>
      </c>
      <c r="AZ198" s="2">
        <f t="shared" si="276"/>
        <v>3423.1990836711411</v>
      </c>
      <c r="BA198" s="2">
        <f t="shared" si="276"/>
        <v>3437.9915188761979</v>
      </c>
      <c r="BB198" s="2">
        <f t="shared" si="276"/>
        <v>3400.3052048348618</v>
      </c>
      <c r="BC198" s="2">
        <f t="shared" si="276"/>
        <v>3314.9978583978382</v>
      </c>
      <c r="BD198" s="2">
        <f t="shared" si="276"/>
        <v>3181.106539018389</v>
      </c>
      <c r="BE198" s="2">
        <f t="shared" si="276"/>
        <v>3018.3834091311001</v>
      </c>
      <c r="BF198" s="2">
        <f t="shared" si="276"/>
        <v>2816.6684304666278</v>
      </c>
      <c r="BG198" s="2">
        <f t="shared" si="276"/>
        <v>2580.465871018504</v>
      </c>
      <c r="BH198" s="2">
        <f t="shared" si="276"/>
        <v>2312.5618986800928</v>
      </c>
      <c r="BI198" s="2">
        <f t="shared" si="276"/>
        <v>1827.8454861096379</v>
      </c>
      <c r="BJ198" s="2">
        <f t="shared" si="276"/>
        <v>811.79187600428691</v>
      </c>
      <c r="BK198" s="2">
        <f t="shared" si="276"/>
        <v>744.35271266609288</v>
      </c>
      <c r="BL198" s="2">
        <f t="shared" si="276"/>
        <v>660.431011758978</v>
      </c>
      <c r="BM198" s="2">
        <f t="shared" si="276"/>
        <v>576.05941775974304</v>
      </c>
      <c r="BN198" s="2">
        <f t="shared" si="276"/>
        <v>493.68935275142951</v>
      </c>
      <c r="BO198" s="2">
        <f t="shared" si="276"/>
        <v>413.84436945491831</v>
      </c>
      <c r="BP198" s="2">
        <f t="shared" si="276"/>
        <v>336.66112884314231</v>
      </c>
      <c r="BQ198" s="2">
        <f t="shared" si="276"/>
        <v>282.23791781125402</v>
      </c>
      <c r="BR198" s="2">
        <f t="shared" si="276"/>
        <v>203.64208020064001</v>
      </c>
      <c r="BS198" s="2">
        <f t="shared" si="276"/>
        <v>118.90585945584</v>
      </c>
      <c r="BT198" s="2">
        <f t="shared" ref="BT198:CD198" si="277">CB406</f>
        <v>33.969129030190103</v>
      </c>
      <c r="BU198" s="2">
        <f t="shared" si="277"/>
        <v>0</v>
      </c>
      <c r="BV198" s="2">
        <f t="shared" si="277"/>
        <v>0</v>
      </c>
      <c r="BW198" s="2">
        <f t="shared" si="277"/>
        <v>0</v>
      </c>
      <c r="BX198" s="2">
        <f t="shared" si="277"/>
        <v>0</v>
      </c>
      <c r="BY198" s="2">
        <f t="shared" si="277"/>
        <v>0</v>
      </c>
      <c r="BZ198" s="2">
        <f t="shared" si="277"/>
        <v>0</v>
      </c>
      <c r="CA198" s="2">
        <f t="shared" si="277"/>
        <v>0</v>
      </c>
      <c r="CB198" s="2">
        <f t="shared" si="277"/>
        <v>0</v>
      </c>
      <c r="CC198" s="2">
        <f t="shared" si="277"/>
        <v>0</v>
      </c>
      <c r="CD198" s="2">
        <f t="shared" si="277"/>
        <v>0</v>
      </c>
    </row>
    <row r="199" spans="2:82" s="2" customFormat="1" x14ac:dyDescent="0.2">
      <c r="E199" s="2" t="s">
        <v>136</v>
      </c>
      <c r="F199" s="2" t="s">
        <v>7</v>
      </c>
      <c r="AF199" s="2">
        <f t="shared" si="276"/>
        <v>-99999</v>
      </c>
      <c r="AG199" s="2">
        <f t="shared" si="276"/>
        <v>-99999</v>
      </c>
      <c r="AH199" s="2">
        <f t="shared" si="276"/>
        <v>-99999</v>
      </c>
      <c r="AI199" s="2">
        <f t="shared" si="276"/>
        <v>-99999</v>
      </c>
      <c r="AJ199" s="2">
        <f t="shared" si="276"/>
        <v>0</v>
      </c>
      <c r="AK199" s="2">
        <f t="shared" si="276"/>
        <v>0</v>
      </c>
      <c r="AL199" s="2">
        <f t="shared" si="276"/>
        <v>0</v>
      </c>
      <c r="AM199" s="2">
        <f t="shared" si="276"/>
        <v>0</v>
      </c>
      <c r="AN199" s="2">
        <f t="shared" si="276"/>
        <v>0</v>
      </c>
      <c r="AO199" s="2">
        <f t="shared" si="276"/>
        <v>0</v>
      </c>
      <c r="AP199" s="2">
        <f t="shared" si="276"/>
        <v>0</v>
      </c>
      <c r="AQ199" s="2">
        <f t="shared" si="276"/>
        <v>0</v>
      </c>
      <c r="AR199" s="2">
        <f t="shared" si="276"/>
        <v>0</v>
      </c>
      <c r="AS199" s="2">
        <f t="shared" si="276"/>
        <v>0</v>
      </c>
      <c r="AT199" s="2">
        <f t="shared" si="276"/>
        <v>0</v>
      </c>
      <c r="AU199" s="2">
        <f t="shared" si="276"/>
        <v>0</v>
      </c>
      <c r="AV199" s="2">
        <f t="shared" si="276"/>
        <v>0</v>
      </c>
      <c r="AW199" s="2">
        <f t="shared" si="276"/>
        <v>0</v>
      </c>
      <c r="AX199" s="2">
        <f t="shared" si="276"/>
        <v>0</v>
      </c>
      <c r="AY199" s="2">
        <f t="shared" si="276"/>
        <v>0</v>
      </c>
      <c r="AZ199" s="2">
        <f t="shared" si="276"/>
        <v>0</v>
      </c>
      <c r="BA199" s="2">
        <f t="shared" si="276"/>
        <v>0</v>
      </c>
      <c r="BB199" s="2">
        <f t="shared" si="276"/>
        <v>0</v>
      </c>
      <c r="BC199" s="2">
        <f t="shared" si="276"/>
        <v>0</v>
      </c>
      <c r="BD199" s="2">
        <f t="shared" si="276"/>
        <v>0</v>
      </c>
      <c r="BE199" s="2">
        <f t="shared" si="276"/>
        <v>0</v>
      </c>
      <c r="BF199" s="2">
        <f t="shared" si="276"/>
        <v>0</v>
      </c>
      <c r="BG199" s="2">
        <f t="shared" si="276"/>
        <v>0</v>
      </c>
      <c r="BH199" s="2">
        <f t="shared" si="276"/>
        <v>0</v>
      </c>
      <c r="BI199" s="2">
        <f t="shared" si="276"/>
        <v>0</v>
      </c>
      <c r="BJ199" s="2">
        <f t="shared" si="276"/>
        <v>0</v>
      </c>
      <c r="BK199" s="2">
        <f t="shared" si="276"/>
        <v>0</v>
      </c>
      <c r="BL199" s="2">
        <f t="shared" si="276"/>
        <v>0</v>
      </c>
      <c r="BM199" s="2">
        <f t="shared" si="276"/>
        <v>0</v>
      </c>
      <c r="BN199" s="2">
        <f t="shared" si="276"/>
        <v>0</v>
      </c>
      <c r="BO199" s="2">
        <f t="shared" si="276"/>
        <v>0</v>
      </c>
      <c r="BP199" s="2">
        <f t="shared" si="276"/>
        <v>0</v>
      </c>
      <c r="BQ199" s="2">
        <f t="shared" si="276"/>
        <v>0</v>
      </c>
      <c r="BR199" s="2">
        <f t="shared" si="276"/>
        <v>0</v>
      </c>
      <c r="BS199" s="2">
        <f t="shared" ref="BS199:CD202" si="278">CA407</f>
        <v>0</v>
      </c>
      <c r="BT199" s="2">
        <f t="shared" si="278"/>
        <v>0</v>
      </c>
      <c r="BU199" s="2">
        <f t="shared" si="278"/>
        <v>0</v>
      </c>
      <c r="BV199" s="2">
        <f t="shared" si="278"/>
        <v>0</v>
      </c>
      <c r="BW199" s="2">
        <f t="shared" si="278"/>
        <v>0</v>
      </c>
      <c r="BX199" s="2">
        <f t="shared" si="278"/>
        <v>0</v>
      </c>
      <c r="BY199" s="2">
        <f t="shared" si="278"/>
        <v>0</v>
      </c>
      <c r="BZ199" s="2">
        <f t="shared" si="278"/>
        <v>0</v>
      </c>
      <c r="CA199" s="2">
        <f t="shared" si="278"/>
        <v>0</v>
      </c>
      <c r="CB199" s="2">
        <f t="shared" si="278"/>
        <v>0</v>
      </c>
      <c r="CC199" s="2">
        <f t="shared" si="278"/>
        <v>0</v>
      </c>
      <c r="CD199" s="2">
        <f t="shared" si="278"/>
        <v>0</v>
      </c>
    </row>
    <row r="200" spans="2:82" s="2" customFormat="1" x14ac:dyDescent="0.2">
      <c r="E200" s="2" t="s">
        <v>137</v>
      </c>
      <c r="F200" s="2" t="s">
        <v>7</v>
      </c>
      <c r="AF200" s="2">
        <f t="shared" ref="AF200:BS203" si="279">AN408</f>
        <v>-99999</v>
      </c>
      <c r="AG200" s="2">
        <f t="shared" si="279"/>
        <v>-99999</v>
      </c>
      <c r="AH200" s="2">
        <f t="shared" si="279"/>
        <v>-99999</v>
      </c>
      <c r="AI200" s="2">
        <f t="shared" si="279"/>
        <v>-99999</v>
      </c>
      <c r="AJ200" s="2">
        <f t="shared" si="279"/>
        <v>0</v>
      </c>
      <c r="AK200" s="2">
        <f t="shared" si="279"/>
        <v>0</v>
      </c>
      <c r="AL200" s="2">
        <f t="shared" si="279"/>
        <v>0</v>
      </c>
      <c r="AM200" s="2">
        <f t="shared" si="279"/>
        <v>0</v>
      </c>
      <c r="AN200" s="2">
        <f t="shared" si="279"/>
        <v>0</v>
      </c>
      <c r="AO200" s="2">
        <f t="shared" si="279"/>
        <v>0</v>
      </c>
      <c r="AP200" s="2">
        <f t="shared" si="279"/>
        <v>0</v>
      </c>
      <c r="AQ200" s="2">
        <f t="shared" si="279"/>
        <v>0</v>
      </c>
      <c r="AR200" s="2">
        <f t="shared" si="279"/>
        <v>0</v>
      </c>
      <c r="AS200" s="2">
        <f t="shared" si="279"/>
        <v>0</v>
      </c>
      <c r="AT200" s="2">
        <f t="shared" si="279"/>
        <v>0</v>
      </c>
      <c r="AU200" s="2">
        <f t="shared" si="279"/>
        <v>0</v>
      </c>
      <c r="AV200" s="2">
        <f t="shared" si="279"/>
        <v>0</v>
      </c>
      <c r="AW200" s="2">
        <f t="shared" si="279"/>
        <v>0</v>
      </c>
      <c r="AX200" s="2">
        <f t="shared" si="279"/>
        <v>0</v>
      </c>
      <c r="AY200" s="2">
        <f t="shared" si="279"/>
        <v>0</v>
      </c>
      <c r="AZ200" s="2">
        <f t="shared" si="279"/>
        <v>0</v>
      </c>
      <c r="BA200" s="2">
        <f t="shared" si="279"/>
        <v>0</v>
      </c>
      <c r="BB200" s="2">
        <f t="shared" si="279"/>
        <v>0</v>
      </c>
      <c r="BC200" s="2">
        <f t="shared" si="279"/>
        <v>0</v>
      </c>
      <c r="BD200" s="2">
        <f t="shared" si="279"/>
        <v>0</v>
      </c>
      <c r="BE200" s="2">
        <f t="shared" si="279"/>
        <v>0</v>
      </c>
      <c r="BF200" s="2">
        <f t="shared" si="279"/>
        <v>0</v>
      </c>
      <c r="BG200" s="2">
        <f t="shared" si="279"/>
        <v>0</v>
      </c>
      <c r="BH200" s="2">
        <f t="shared" si="279"/>
        <v>0</v>
      </c>
      <c r="BI200" s="2">
        <f t="shared" si="279"/>
        <v>0</v>
      </c>
      <c r="BJ200" s="2">
        <f t="shared" si="279"/>
        <v>0</v>
      </c>
      <c r="BK200" s="2">
        <f t="shared" si="279"/>
        <v>0</v>
      </c>
      <c r="BL200" s="2">
        <f t="shared" si="279"/>
        <v>0</v>
      </c>
      <c r="BM200" s="2">
        <f t="shared" si="279"/>
        <v>0</v>
      </c>
      <c r="BN200" s="2">
        <f t="shared" si="279"/>
        <v>0</v>
      </c>
      <c r="BO200" s="2">
        <f t="shared" si="279"/>
        <v>0</v>
      </c>
      <c r="BP200" s="2">
        <f t="shared" si="279"/>
        <v>0</v>
      </c>
      <c r="BQ200" s="2">
        <f t="shared" si="279"/>
        <v>0</v>
      </c>
      <c r="BR200" s="2">
        <f t="shared" si="279"/>
        <v>0</v>
      </c>
      <c r="BS200" s="2">
        <f t="shared" si="279"/>
        <v>0</v>
      </c>
      <c r="BT200" s="2">
        <f t="shared" si="278"/>
        <v>0</v>
      </c>
      <c r="BU200" s="2">
        <f t="shared" si="278"/>
        <v>0</v>
      </c>
      <c r="BV200" s="2">
        <f t="shared" si="278"/>
        <v>0</v>
      </c>
      <c r="BW200" s="2">
        <f t="shared" si="278"/>
        <v>0</v>
      </c>
      <c r="BX200" s="2">
        <f t="shared" si="278"/>
        <v>0</v>
      </c>
      <c r="BY200" s="2">
        <f t="shared" si="278"/>
        <v>0</v>
      </c>
      <c r="BZ200" s="2">
        <f t="shared" si="278"/>
        <v>0</v>
      </c>
      <c r="CA200" s="2">
        <f t="shared" si="278"/>
        <v>0</v>
      </c>
      <c r="CB200" s="2">
        <f t="shared" si="278"/>
        <v>0</v>
      </c>
      <c r="CC200" s="2">
        <f t="shared" si="278"/>
        <v>0</v>
      </c>
      <c r="CD200" s="2">
        <f t="shared" si="278"/>
        <v>0</v>
      </c>
    </row>
    <row r="201" spans="2:82" s="2" customFormat="1" x14ac:dyDescent="0.2">
      <c r="E201" s="2" t="s">
        <v>138</v>
      </c>
      <c r="F201" s="2" t="s">
        <v>7</v>
      </c>
      <c r="AF201" s="2">
        <f t="shared" si="279"/>
        <v>-99999</v>
      </c>
      <c r="AG201" s="2">
        <f t="shared" si="279"/>
        <v>-99999</v>
      </c>
      <c r="AH201" s="2">
        <f t="shared" si="279"/>
        <v>-99999</v>
      </c>
      <c r="AI201" s="2">
        <f t="shared" si="279"/>
        <v>-99999</v>
      </c>
      <c r="AJ201" s="2">
        <f t="shared" si="279"/>
        <v>0.62477236095090005</v>
      </c>
      <c r="AK201" s="2">
        <f t="shared" si="279"/>
        <v>0.66983512383340005</v>
      </c>
      <c r="AL201" s="2">
        <f t="shared" si="279"/>
        <v>0.71355511180819997</v>
      </c>
      <c r="AM201" s="2">
        <f t="shared" si="279"/>
        <v>0.76032732572850004</v>
      </c>
      <c r="AN201" s="2">
        <f t="shared" si="279"/>
        <v>0.799044175016</v>
      </c>
      <c r="AO201" s="2">
        <f t="shared" si="279"/>
        <v>0.83151216657330007</v>
      </c>
      <c r="AP201" s="2">
        <f t="shared" si="279"/>
        <v>1.0240008381346</v>
      </c>
      <c r="AQ201" s="2">
        <f t="shared" si="279"/>
        <v>1.5617246792538999</v>
      </c>
      <c r="AR201" s="2">
        <f t="shared" si="279"/>
        <v>1.6028626790192</v>
      </c>
      <c r="AS201" s="2">
        <f t="shared" si="279"/>
        <v>1.6476022439892</v>
      </c>
      <c r="AT201" s="2">
        <f t="shared" si="279"/>
        <v>1.7164411172831999</v>
      </c>
      <c r="AU201" s="2">
        <f t="shared" si="279"/>
        <v>1.8050713248212999</v>
      </c>
      <c r="AV201" s="2">
        <f t="shared" si="279"/>
        <v>1.9108983034375999</v>
      </c>
      <c r="AW201" s="2">
        <f t="shared" si="279"/>
        <v>2.0280604941268998</v>
      </c>
      <c r="AX201" s="2">
        <f t="shared" si="279"/>
        <v>2.1487800538326001</v>
      </c>
      <c r="AY201" s="2">
        <f t="shared" si="279"/>
        <v>2.2635393051968</v>
      </c>
      <c r="AZ201" s="2">
        <f t="shared" si="279"/>
        <v>2.3613713630370001</v>
      </c>
      <c r="BA201" s="2">
        <f t="shared" si="279"/>
        <v>2.4303849540261</v>
      </c>
      <c r="BB201" s="2">
        <f t="shared" si="279"/>
        <v>2.4585975509860001</v>
      </c>
      <c r="BC201" s="2">
        <f t="shared" si="279"/>
        <v>2.4448779645360998</v>
      </c>
      <c r="BD201" s="2">
        <f t="shared" si="279"/>
        <v>2.384590468386</v>
      </c>
      <c r="BE201" s="2">
        <f t="shared" si="279"/>
        <v>2.2910376881125001</v>
      </c>
      <c r="BF201" s="2">
        <f t="shared" si="279"/>
        <v>2.1546989203432001</v>
      </c>
      <c r="BG201" s="2">
        <f t="shared" si="279"/>
        <v>1.9783976034138999</v>
      </c>
      <c r="BH201" s="2">
        <f t="shared" si="279"/>
        <v>1.7642704434266001</v>
      </c>
      <c r="BI201" s="2">
        <f t="shared" si="279"/>
        <v>1.3802954078142</v>
      </c>
      <c r="BJ201" s="2">
        <f t="shared" si="279"/>
        <v>0</v>
      </c>
      <c r="BK201" s="2">
        <f t="shared" si="279"/>
        <v>0</v>
      </c>
      <c r="BL201" s="2">
        <f t="shared" si="279"/>
        <v>0</v>
      </c>
      <c r="BM201" s="2">
        <f t="shared" si="279"/>
        <v>0</v>
      </c>
      <c r="BN201" s="2">
        <f t="shared" si="279"/>
        <v>0</v>
      </c>
      <c r="BO201" s="2">
        <f t="shared" si="279"/>
        <v>0</v>
      </c>
      <c r="BP201" s="2">
        <f t="shared" si="279"/>
        <v>0</v>
      </c>
      <c r="BQ201" s="2">
        <f t="shared" si="279"/>
        <v>0</v>
      </c>
      <c r="BR201" s="2">
        <f t="shared" si="279"/>
        <v>0</v>
      </c>
      <c r="BS201" s="2">
        <f t="shared" si="279"/>
        <v>0</v>
      </c>
      <c r="BT201" s="2">
        <f t="shared" si="278"/>
        <v>0</v>
      </c>
      <c r="BU201" s="2">
        <f t="shared" si="278"/>
        <v>0</v>
      </c>
      <c r="BV201" s="2">
        <f t="shared" si="278"/>
        <v>0</v>
      </c>
      <c r="BW201" s="2">
        <f t="shared" si="278"/>
        <v>0</v>
      </c>
      <c r="BX201" s="2">
        <f t="shared" si="278"/>
        <v>0</v>
      </c>
      <c r="BY201" s="2">
        <f t="shared" si="278"/>
        <v>0</v>
      </c>
      <c r="BZ201" s="2">
        <f t="shared" si="278"/>
        <v>0</v>
      </c>
      <c r="CA201" s="2">
        <f t="shared" si="278"/>
        <v>0</v>
      </c>
      <c r="CB201" s="2">
        <f t="shared" si="278"/>
        <v>0</v>
      </c>
      <c r="CC201" s="2">
        <f t="shared" si="278"/>
        <v>0</v>
      </c>
      <c r="CD201" s="2">
        <f t="shared" si="278"/>
        <v>0</v>
      </c>
    </row>
    <row r="202" spans="2:82" s="2" customFormat="1" x14ac:dyDescent="0.2">
      <c r="E202" s="2" t="s">
        <v>139</v>
      </c>
      <c r="F202" s="2" t="s">
        <v>7</v>
      </c>
      <c r="AF202" s="2">
        <f t="shared" si="279"/>
        <v>-99999</v>
      </c>
      <c r="AG202" s="2">
        <f t="shared" si="279"/>
        <v>-99999</v>
      </c>
      <c r="AH202" s="2">
        <f t="shared" si="279"/>
        <v>-99999</v>
      </c>
      <c r="AI202" s="2">
        <f t="shared" si="279"/>
        <v>-99999</v>
      </c>
      <c r="AJ202" s="2">
        <f t="shared" si="279"/>
        <v>0</v>
      </c>
      <c r="AK202" s="2">
        <f t="shared" si="279"/>
        <v>0</v>
      </c>
      <c r="AL202" s="2">
        <f t="shared" si="279"/>
        <v>0</v>
      </c>
      <c r="AM202" s="2">
        <f t="shared" si="279"/>
        <v>0</v>
      </c>
      <c r="AN202" s="2">
        <f t="shared" si="279"/>
        <v>0</v>
      </c>
      <c r="AO202" s="2">
        <f t="shared" si="279"/>
        <v>0</v>
      </c>
      <c r="AP202" s="2">
        <f t="shared" si="279"/>
        <v>0</v>
      </c>
      <c r="AQ202" s="2">
        <f t="shared" si="279"/>
        <v>0</v>
      </c>
      <c r="AR202" s="2">
        <f t="shared" si="279"/>
        <v>0</v>
      </c>
      <c r="AS202" s="2">
        <f t="shared" si="279"/>
        <v>0</v>
      </c>
      <c r="AT202" s="2">
        <f t="shared" si="279"/>
        <v>0</v>
      </c>
      <c r="AU202" s="2">
        <f t="shared" si="279"/>
        <v>0</v>
      </c>
      <c r="AV202" s="2">
        <f t="shared" si="279"/>
        <v>0</v>
      </c>
      <c r="AW202" s="2">
        <f t="shared" si="279"/>
        <v>0</v>
      </c>
      <c r="AX202" s="2">
        <f t="shared" si="279"/>
        <v>0</v>
      </c>
      <c r="AY202" s="2">
        <f t="shared" si="279"/>
        <v>0</v>
      </c>
      <c r="AZ202" s="2">
        <f t="shared" si="279"/>
        <v>0</v>
      </c>
      <c r="BA202" s="2">
        <f t="shared" si="279"/>
        <v>0</v>
      </c>
      <c r="BB202" s="2">
        <f t="shared" si="279"/>
        <v>0</v>
      </c>
      <c r="BC202" s="2">
        <f t="shared" si="279"/>
        <v>0</v>
      </c>
      <c r="BD202" s="2">
        <f t="shared" si="279"/>
        <v>0</v>
      </c>
      <c r="BE202" s="2">
        <f t="shared" si="279"/>
        <v>0</v>
      </c>
      <c r="BF202" s="2">
        <f t="shared" si="279"/>
        <v>0</v>
      </c>
      <c r="BG202" s="2">
        <f t="shared" si="279"/>
        <v>0</v>
      </c>
      <c r="BH202" s="2">
        <f t="shared" si="279"/>
        <v>0</v>
      </c>
      <c r="BI202" s="2">
        <f t="shared" si="279"/>
        <v>0</v>
      </c>
      <c r="BJ202" s="2">
        <f t="shared" si="279"/>
        <v>0</v>
      </c>
      <c r="BK202" s="2">
        <f t="shared" si="279"/>
        <v>0</v>
      </c>
      <c r="BL202" s="2">
        <f t="shared" si="279"/>
        <v>0</v>
      </c>
      <c r="BM202" s="2">
        <f t="shared" si="279"/>
        <v>0</v>
      </c>
      <c r="BN202" s="2">
        <f t="shared" si="279"/>
        <v>0</v>
      </c>
      <c r="BO202" s="2">
        <f t="shared" si="279"/>
        <v>0</v>
      </c>
      <c r="BP202" s="2">
        <f t="shared" si="279"/>
        <v>0</v>
      </c>
      <c r="BQ202" s="2">
        <f t="shared" si="279"/>
        <v>0</v>
      </c>
      <c r="BR202" s="2">
        <f t="shared" si="279"/>
        <v>0</v>
      </c>
      <c r="BS202" s="2">
        <f t="shared" si="279"/>
        <v>0</v>
      </c>
      <c r="BT202" s="2">
        <f t="shared" si="278"/>
        <v>0</v>
      </c>
      <c r="BU202" s="2">
        <f t="shared" si="278"/>
        <v>0</v>
      </c>
      <c r="BV202" s="2">
        <f t="shared" si="278"/>
        <v>0</v>
      </c>
      <c r="BW202" s="2">
        <f t="shared" si="278"/>
        <v>0</v>
      </c>
      <c r="BX202" s="2">
        <f t="shared" si="278"/>
        <v>0</v>
      </c>
      <c r="BY202" s="2">
        <f t="shared" si="278"/>
        <v>0</v>
      </c>
      <c r="BZ202" s="2">
        <f t="shared" si="278"/>
        <v>0</v>
      </c>
      <c r="CA202" s="2">
        <f t="shared" si="278"/>
        <v>0</v>
      </c>
      <c r="CB202" s="2">
        <f t="shared" si="278"/>
        <v>0</v>
      </c>
      <c r="CC202" s="2">
        <f t="shared" si="278"/>
        <v>0</v>
      </c>
      <c r="CD202" s="2">
        <f t="shared" si="278"/>
        <v>0</v>
      </c>
    </row>
    <row r="203" spans="2:82" s="8" customFormat="1" x14ac:dyDescent="0.2">
      <c r="E203" s="8" t="s">
        <v>191</v>
      </c>
      <c r="F203" s="8" t="s">
        <v>7</v>
      </c>
      <c r="AF203" s="8">
        <f t="shared" si="279"/>
        <v>-99999</v>
      </c>
      <c r="AG203" s="8">
        <f t="shared" si="279"/>
        <v>-99999</v>
      </c>
      <c r="AH203" s="8">
        <f t="shared" si="279"/>
        <v>-99999</v>
      </c>
      <c r="AI203" s="8">
        <f t="shared" si="279"/>
        <v>-99999</v>
      </c>
      <c r="AJ203" s="8">
        <f t="shared" si="279"/>
        <v>2984.1777643445298</v>
      </c>
      <c r="AK203" s="8">
        <f t="shared" si="279"/>
        <v>3391.4204937289001</v>
      </c>
      <c r="AL203" s="8">
        <f t="shared" si="279"/>
        <v>3746.0645298816498</v>
      </c>
      <c r="AM203" s="8">
        <f t="shared" si="279"/>
        <v>4025.6709102096302</v>
      </c>
      <c r="AN203" s="8">
        <f t="shared" si="279"/>
        <v>4210.5535385497697</v>
      </c>
      <c r="AO203" s="8">
        <f t="shared" si="279"/>
        <v>4287.5076878844702</v>
      </c>
      <c r="AP203" s="8">
        <f t="shared" si="279"/>
        <v>4255.7669516844799</v>
      </c>
      <c r="AQ203" s="8">
        <f t="shared" si="279"/>
        <v>4125.6737315159398</v>
      </c>
      <c r="AR203" s="8">
        <f t="shared" si="279"/>
        <v>3903.6756391928302</v>
      </c>
      <c r="AS203" s="8">
        <f t="shared" si="279"/>
        <v>3598.0383429127901</v>
      </c>
      <c r="AT203" s="8">
        <f t="shared" si="279"/>
        <v>3212.7589558786099</v>
      </c>
      <c r="AU203" s="8">
        <f t="shared" si="279"/>
        <v>2748.7025716195599</v>
      </c>
      <c r="AV203" s="8">
        <f t="shared" si="279"/>
        <v>2205.72022756768</v>
      </c>
      <c r="AW203" s="8">
        <f t="shared" si="279"/>
        <v>1584.2612805327101</v>
      </c>
      <c r="AX203" s="8">
        <f t="shared" si="279"/>
        <v>886.04934867022905</v>
      </c>
      <c r="AY203" s="8">
        <f t="shared" si="279"/>
        <v>716.18056549503899</v>
      </c>
      <c r="AZ203" s="8">
        <f t="shared" si="279"/>
        <v>660.53798877299801</v>
      </c>
      <c r="BA203" s="8">
        <f t="shared" si="279"/>
        <v>569.18483811725901</v>
      </c>
      <c r="BB203" s="8">
        <f t="shared" si="279"/>
        <v>671.18617265977798</v>
      </c>
      <c r="BC203" s="8">
        <f t="shared" si="279"/>
        <v>286.36212502236901</v>
      </c>
      <c r="BD203" s="8">
        <f t="shared" si="279"/>
        <v>268.449245036528</v>
      </c>
      <c r="BE203" s="8">
        <f t="shared" si="279"/>
        <v>246.46253949380699</v>
      </c>
      <c r="BF203" s="8">
        <f t="shared" si="279"/>
        <v>226.61101334202101</v>
      </c>
      <c r="BG203" s="8">
        <f t="shared" si="279"/>
        <v>207.31640865846899</v>
      </c>
      <c r="BH203" s="8">
        <f t="shared" si="279"/>
        <v>191.04947091868701</v>
      </c>
      <c r="BI203" s="8">
        <f t="shared" si="279"/>
        <v>180.264636272149</v>
      </c>
      <c r="BJ203" s="8">
        <f t="shared" si="279"/>
        <v>197.94094685912</v>
      </c>
      <c r="BK203" s="8">
        <f t="shared" si="279"/>
        <v>256.68407997063503</v>
      </c>
      <c r="BL203" s="8">
        <f t="shared" si="279"/>
        <v>356.66654412715201</v>
      </c>
      <c r="BM203" s="8">
        <f t="shared" si="279"/>
        <v>504.35674142924</v>
      </c>
      <c r="BN203" s="8">
        <f t="shared" si="279"/>
        <v>705.48599182535997</v>
      </c>
      <c r="BO203" s="8">
        <f t="shared" si="279"/>
        <v>962.37801390554603</v>
      </c>
      <c r="BP203" s="8">
        <f t="shared" si="279"/>
        <v>1274.6723415429101</v>
      </c>
      <c r="BQ203" s="8">
        <f t="shared" si="279"/>
        <v>1638.60105830112</v>
      </c>
      <c r="BR203" s="8">
        <f t="shared" si="279"/>
        <v>2047.1042837196401</v>
      </c>
      <c r="BS203" s="8">
        <f t="shared" ref="BS203:CD203" si="280">CA411</f>
        <v>2490.50096930477</v>
      </c>
      <c r="BT203" s="8">
        <f t="shared" si="280"/>
        <v>2959.1535657589002</v>
      </c>
      <c r="BU203" s="8">
        <f t="shared" si="280"/>
        <v>3442.1285256367</v>
      </c>
      <c r="BV203" s="8">
        <f t="shared" si="280"/>
        <v>3927.9573387217301</v>
      </c>
      <c r="BW203" s="8">
        <f t="shared" si="280"/>
        <v>4406.9021736766699</v>
      </c>
      <c r="BX203" s="8">
        <f t="shared" si="280"/>
        <v>4870.04884550114</v>
      </c>
      <c r="BY203" s="8">
        <f t="shared" si="280"/>
        <v>5310.9549521881399</v>
      </c>
      <c r="BZ203" s="8">
        <f t="shared" si="280"/>
        <v>5724.4701298481205</v>
      </c>
      <c r="CA203" s="8">
        <f t="shared" si="280"/>
        <v>6104.7285379965406</v>
      </c>
      <c r="CB203" s="8">
        <f t="shared" si="280"/>
        <v>6445.6919845652801</v>
      </c>
      <c r="CC203" s="8">
        <f t="shared" si="280"/>
        <v>6749.8450232791301</v>
      </c>
      <c r="CD203" s="8">
        <f t="shared" si="280"/>
        <v>7042.6720545990402</v>
      </c>
    </row>
    <row r="204" spans="2:82" s="7" customFormat="1" x14ac:dyDescent="0.2">
      <c r="B204" s="7" t="s">
        <v>140</v>
      </c>
      <c r="G204" s="7">
        <f>SUM(G205,G208:G212)</f>
        <v>7</v>
      </c>
      <c r="H204" s="7">
        <f t="shared" ref="H204:BS204" si="281">SUM(H205,H208:H212)</f>
        <v>0</v>
      </c>
      <c r="I204" s="7">
        <f t="shared" si="281"/>
        <v>0</v>
      </c>
      <c r="J204" s="7">
        <f t="shared" si="281"/>
        <v>0</v>
      </c>
      <c r="K204" s="7">
        <f t="shared" si="281"/>
        <v>700.35079999999994</v>
      </c>
      <c r="L204" s="7">
        <f t="shared" si="281"/>
        <v>633.49189999999999</v>
      </c>
      <c r="M204" s="7">
        <f t="shared" si="281"/>
        <v>653.41909999999996</v>
      </c>
      <c r="N204" s="7">
        <f t="shared" si="281"/>
        <v>670.64420000000007</v>
      </c>
      <c r="O204" s="7">
        <f t="shared" si="281"/>
        <v>676.13030000000003</v>
      </c>
      <c r="P204" s="7">
        <f t="shared" si="281"/>
        <v>687.07639999999992</v>
      </c>
      <c r="Q204" s="7">
        <f t="shared" si="281"/>
        <v>698.81359999999995</v>
      </c>
      <c r="R204" s="7">
        <f t="shared" si="281"/>
        <v>711.10429999999997</v>
      </c>
      <c r="S204" s="7">
        <f t="shared" si="281"/>
        <v>720.96530000000007</v>
      </c>
      <c r="T204" s="7">
        <f t="shared" si="281"/>
        <v>730.84950000000003</v>
      </c>
      <c r="U204" s="7">
        <f t="shared" si="281"/>
        <v>841.83170000000007</v>
      </c>
      <c r="V204" s="7">
        <f t="shared" si="281"/>
        <v>743.89580000000001</v>
      </c>
      <c r="W204" s="7">
        <f t="shared" si="281"/>
        <v>745.69699999999989</v>
      </c>
      <c r="X204" s="7">
        <f t="shared" si="281"/>
        <v>773.61830000000009</v>
      </c>
      <c r="Y204" s="7">
        <f t="shared" si="281"/>
        <v>1006.5824</v>
      </c>
      <c r="Z204" s="7">
        <f t="shared" si="281"/>
        <v>897.17660000000001</v>
      </c>
      <c r="AA204" s="7">
        <f t="shared" si="281"/>
        <v>818.67679999999996</v>
      </c>
      <c r="AB204" s="7">
        <f t="shared" si="281"/>
        <v>849.74559999999997</v>
      </c>
      <c r="AC204" s="7">
        <f t="shared" si="281"/>
        <v>868.65130000000011</v>
      </c>
      <c r="AD204" s="7">
        <f t="shared" si="281"/>
        <v>920.27329999999995</v>
      </c>
      <c r="AE204" s="7">
        <f t="shared" si="281"/>
        <v>1938.4665999999997</v>
      </c>
      <c r="AF204" s="7">
        <f t="shared" si="281"/>
        <v>964.80179999999996</v>
      </c>
      <c r="AG204" s="7">
        <f t="shared" si="281"/>
        <v>958.93819999999994</v>
      </c>
      <c r="AH204" s="7">
        <f t="shared" si="281"/>
        <v>1025.9922999999999</v>
      </c>
      <c r="AI204" s="7">
        <f t="shared" si="281"/>
        <v>2139.5228999999999</v>
      </c>
      <c r="AJ204" s="7">
        <f t="shared" si="281"/>
        <v>2177.7096610573371</v>
      </c>
      <c r="AK204" s="7">
        <f t="shared" si="281"/>
        <v>2325.5812427395508</v>
      </c>
      <c r="AL204" s="7">
        <f t="shared" si="281"/>
        <v>2330.545110337021</v>
      </c>
      <c r="AM204" s="7">
        <f t="shared" si="281"/>
        <v>2362.2720691923441</v>
      </c>
      <c r="AN204" s="7">
        <f t="shared" si="281"/>
        <v>2447.2682207160842</v>
      </c>
      <c r="AO204" s="7">
        <f t="shared" si="281"/>
        <v>2534.8652638177959</v>
      </c>
      <c r="AP204" s="7">
        <f t="shared" si="281"/>
        <v>2629.3820318561679</v>
      </c>
      <c r="AQ204" s="7">
        <f t="shared" si="281"/>
        <v>2732.2348867070496</v>
      </c>
      <c r="AR204" s="7">
        <f t="shared" si="281"/>
        <v>2843.5619911214385</v>
      </c>
      <c r="AS204" s="7">
        <f t="shared" si="281"/>
        <v>2961.9605296160757</v>
      </c>
      <c r="AT204" s="7">
        <f t="shared" si="281"/>
        <v>3084.8498695683888</v>
      </c>
      <c r="AU204" s="7">
        <f t="shared" si="281"/>
        <v>3207.9946433216451</v>
      </c>
      <c r="AV204" s="7">
        <f t="shared" si="281"/>
        <v>3328.8841428883266</v>
      </c>
      <c r="AW204" s="7">
        <f t="shared" si="281"/>
        <v>3443.7957059551854</v>
      </c>
      <c r="AX204" s="7">
        <f t="shared" si="281"/>
        <v>3549.2768108640844</v>
      </c>
      <c r="AY204" s="7">
        <f t="shared" si="281"/>
        <v>3680.9300917426335</v>
      </c>
      <c r="AZ204" s="7">
        <f t="shared" si="281"/>
        <v>3810.1510769598649</v>
      </c>
      <c r="BA204" s="7">
        <f t="shared" si="281"/>
        <v>3926.2045601808368</v>
      </c>
      <c r="BB204" s="7">
        <f t="shared" si="281"/>
        <v>4043.5866843187591</v>
      </c>
      <c r="BC204" s="7">
        <f t="shared" si="281"/>
        <v>4119.7214752837463</v>
      </c>
      <c r="BD204" s="7">
        <f t="shared" si="281"/>
        <v>4209.6659062129993</v>
      </c>
      <c r="BE204" s="7">
        <f t="shared" si="281"/>
        <v>4291.2512049487996</v>
      </c>
      <c r="BF204" s="7">
        <f t="shared" si="281"/>
        <v>4365.9760938731979</v>
      </c>
      <c r="BG204" s="7">
        <f t="shared" si="281"/>
        <v>4435.6338864844556</v>
      </c>
      <c r="BH204" s="7">
        <f t="shared" si="281"/>
        <v>4498.9275840032797</v>
      </c>
      <c r="BI204" s="7">
        <f t="shared" si="281"/>
        <v>4550.1807212677468</v>
      </c>
      <c r="BJ204" s="7">
        <f t="shared" si="281"/>
        <v>4603.0384539460383</v>
      </c>
      <c r="BK204" s="7">
        <f t="shared" si="281"/>
        <v>4668.7470549658574</v>
      </c>
      <c r="BL204" s="7">
        <f t="shared" si="281"/>
        <v>4744.5777845985722</v>
      </c>
      <c r="BM204" s="7">
        <f t="shared" si="281"/>
        <v>4826.9700957654504</v>
      </c>
      <c r="BN204" s="7">
        <f t="shared" si="281"/>
        <v>4915.9706731601555</v>
      </c>
      <c r="BO204" s="7">
        <f t="shared" si="281"/>
        <v>5011.4069755900591</v>
      </c>
      <c r="BP204" s="7">
        <f t="shared" si="281"/>
        <v>5112.9762223782227</v>
      </c>
      <c r="BQ204" s="7">
        <f t="shared" si="281"/>
        <v>5220.1763808316391</v>
      </c>
      <c r="BR204" s="7">
        <f t="shared" si="281"/>
        <v>5332.2373585450714</v>
      </c>
      <c r="BS204" s="7">
        <f t="shared" si="281"/>
        <v>5448.1925203268984</v>
      </c>
      <c r="BT204" s="7">
        <f t="shared" ref="BT204:CD204" si="282">SUM(BT205,BT208:BT212)</f>
        <v>5567.0959770011796</v>
      </c>
      <c r="BU204" s="7">
        <f t="shared" si="282"/>
        <v>5688.9405713341912</v>
      </c>
      <c r="BV204" s="7">
        <f t="shared" si="282"/>
        <v>5813.2421929262164</v>
      </c>
      <c r="BW204" s="7">
        <f t="shared" si="282"/>
        <v>5939.4788057052365</v>
      </c>
      <c r="BX204" s="7">
        <f t="shared" si="282"/>
        <v>6067.0767262098561</v>
      </c>
      <c r="BY204" s="7">
        <f t="shared" si="282"/>
        <v>6195.7541256051672</v>
      </c>
      <c r="BZ204" s="7">
        <f t="shared" si="282"/>
        <v>6325.3357086519745</v>
      </c>
      <c r="CA204" s="7">
        <f t="shared" si="282"/>
        <v>6455.1410487286303</v>
      </c>
      <c r="CB204" s="7">
        <f t="shared" si="282"/>
        <v>6584.8316275762172</v>
      </c>
      <c r="CC204" s="7">
        <f t="shared" si="282"/>
        <v>6714.5630265462123</v>
      </c>
      <c r="CD204" s="7">
        <f t="shared" si="282"/>
        <v>6845.9673187059179</v>
      </c>
    </row>
    <row r="205" spans="2:82" s="3" customFormat="1" x14ac:dyDescent="0.2">
      <c r="C205" s="3" t="s">
        <v>141</v>
      </c>
      <c r="G205" s="3">
        <f>SUM(G206,G207)</f>
        <v>2</v>
      </c>
      <c r="H205" s="3">
        <f t="shared" ref="H205:BS205" si="283">SUM(H206,H207)</f>
        <v>0</v>
      </c>
      <c r="I205" s="3">
        <f t="shared" si="283"/>
        <v>0</v>
      </c>
      <c r="J205" s="3">
        <f t="shared" si="283"/>
        <v>0</v>
      </c>
      <c r="K205" s="3">
        <f t="shared" si="283"/>
        <v>80.968499999999992</v>
      </c>
      <c r="L205" s="3">
        <f t="shared" si="283"/>
        <v>80.968499999999992</v>
      </c>
      <c r="M205" s="3">
        <f t="shared" si="283"/>
        <v>80.968499999999992</v>
      </c>
      <c r="N205" s="3">
        <f t="shared" si="283"/>
        <v>80.968499999999992</v>
      </c>
      <c r="O205" s="3">
        <f t="shared" si="283"/>
        <v>80.968499999999992</v>
      </c>
      <c r="P205" s="3">
        <f t="shared" si="283"/>
        <v>80.968499999999992</v>
      </c>
      <c r="Q205" s="3">
        <f t="shared" si="283"/>
        <v>80.968499999999992</v>
      </c>
      <c r="R205" s="3">
        <f t="shared" si="283"/>
        <v>81.10799999999999</v>
      </c>
      <c r="S205" s="3">
        <f t="shared" si="283"/>
        <v>81.219599999999986</v>
      </c>
      <c r="T205" s="3">
        <f t="shared" si="283"/>
        <v>81.331199999999981</v>
      </c>
      <c r="U205" s="3">
        <f t="shared" si="283"/>
        <v>81.442799999999991</v>
      </c>
      <c r="V205" s="3">
        <f t="shared" si="283"/>
        <v>73.856099999999998</v>
      </c>
      <c r="W205" s="3">
        <f t="shared" si="283"/>
        <v>65.968500000000006</v>
      </c>
      <c r="X205" s="3">
        <f t="shared" si="283"/>
        <v>58.108800000000002</v>
      </c>
      <c r="Y205" s="3">
        <f t="shared" si="283"/>
        <v>50.221199999999996</v>
      </c>
      <c r="Z205" s="3">
        <f t="shared" si="283"/>
        <v>42.361499999999999</v>
      </c>
      <c r="AA205" s="3">
        <f t="shared" si="283"/>
        <v>42.361499999999999</v>
      </c>
      <c r="AB205" s="3">
        <f t="shared" si="283"/>
        <v>56.4129</v>
      </c>
      <c r="AC205" s="3">
        <f t="shared" si="283"/>
        <v>56.4129</v>
      </c>
      <c r="AD205" s="3">
        <f t="shared" si="283"/>
        <v>96.331199999999995</v>
      </c>
      <c r="AE205" s="3">
        <f t="shared" si="283"/>
        <v>78.190499999999986</v>
      </c>
      <c r="AF205" s="3">
        <f t="shared" si="283"/>
        <v>103.9119</v>
      </c>
      <c r="AG205" s="3">
        <f t="shared" si="283"/>
        <v>35.884799999999998</v>
      </c>
      <c r="AH205" s="3">
        <f t="shared" si="283"/>
        <v>13.694700000000001</v>
      </c>
      <c r="AI205" s="3">
        <f t="shared" si="283"/>
        <v>3.1965000000000003</v>
      </c>
      <c r="AJ205" s="3">
        <f t="shared" si="283"/>
        <v>28.520098231285601</v>
      </c>
      <c r="AK205" s="3">
        <f t="shared" si="283"/>
        <v>36.7037669867183</v>
      </c>
      <c r="AL205" s="3">
        <f t="shared" si="283"/>
        <v>34.166733392432199</v>
      </c>
      <c r="AM205" s="3">
        <f t="shared" si="283"/>
        <v>34.297840604692496</v>
      </c>
      <c r="AN205" s="3">
        <f t="shared" si="283"/>
        <v>35.820380366524198</v>
      </c>
      <c r="AO205" s="3">
        <f t="shared" si="283"/>
        <v>37.5783063880992</v>
      </c>
      <c r="AP205" s="3">
        <f t="shared" si="283"/>
        <v>39.588724924375001</v>
      </c>
      <c r="AQ205" s="3">
        <f t="shared" si="283"/>
        <v>41.860933961275606</v>
      </c>
      <c r="AR205" s="3">
        <f t="shared" si="283"/>
        <v>44.393400214881616</v>
      </c>
      <c r="AS205" s="3">
        <f t="shared" si="283"/>
        <v>47.099340809645796</v>
      </c>
      <c r="AT205" s="3">
        <f t="shared" si="283"/>
        <v>49.927967657722903</v>
      </c>
      <c r="AU205" s="3">
        <f t="shared" si="283"/>
        <v>52.810096235813802</v>
      </c>
      <c r="AV205" s="3">
        <f t="shared" si="283"/>
        <v>55.665254942805205</v>
      </c>
      <c r="AW205" s="3">
        <f t="shared" si="283"/>
        <v>58.408171075590317</v>
      </c>
      <c r="AX205" s="3">
        <f t="shared" si="283"/>
        <v>60.957371610280504</v>
      </c>
      <c r="AY205" s="3">
        <f t="shared" si="283"/>
        <v>63.243772422532302</v>
      </c>
      <c r="AZ205" s="3">
        <f t="shared" si="283"/>
        <v>65.217621666132104</v>
      </c>
      <c r="BA205" s="3">
        <f t="shared" si="283"/>
        <v>66.852623794469594</v>
      </c>
      <c r="BB205" s="3">
        <f t="shared" si="283"/>
        <v>68.146791573916005</v>
      </c>
      <c r="BC205" s="3">
        <f t="shared" si="283"/>
        <v>69.120340517355004</v>
      </c>
      <c r="BD205" s="3">
        <f t="shared" si="283"/>
        <v>69.8078898665308</v>
      </c>
      <c r="BE205" s="3">
        <f t="shared" si="283"/>
        <v>70.25561893520549</v>
      </c>
      <c r="BF205" s="3">
        <f t="shared" si="283"/>
        <v>70.509570390976506</v>
      </c>
      <c r="BG205" s="3">
        <f t="shared" si="283"/>
        <v>70.622918798244399</v>
      </c>
      <c r="BH205" s="3">
        <f t="shared" si="283"/>
        <v>70.646459846604003</v>
      </c>
      <c r="BI205" s="3">
        <f t="shared" si="283"/>
        <v>70.624377584527991</v>
      </c>
      <c r="BJ205" s="3">
        <f t="shared" si="283"/>
        <v>70.583581037570099</v>
      </c>
      <c r="BK205" s="3">
        <f t="shared" si="283"/>
        <v>70.564219383375999</v>
      </c>
      <c r="BL205" s="3">
        <f t="shared" si="283"/>
        <v>70.598479203273797</v>
      </c>
      <c r="BM205" s="3">
        <f t="shared" si="283"/>
        <v>70.710170078841102</v>
      </c>
      <c r="BN205" s="3">
        <f t="shared" si="283"/>
        <v>70.9157935277333</v>
      </c>
      <c r="BO205" s="3">
        <f t="shared" si="283"/>
        <v>71.2256239249012</v>
      </c>
      <c r="BP205" s="3">
        <f t="shared" si="283"/>
        <v>71.644542666439008</v>
      </c>
      <c r="BQ205" s="3">
        <f t="shared" si="283"/>
        <v>72.172891094941406</v>
      </c>
      <c r="BR205" s="3">
        <f t="shared" si="283"/>
        <v>72.806705071332587</v>
      </c>
      <c r="BS205" s="3">
        <f t="shared" si="283"/>
        <v>73.53872940760229</v>
      </c>
      <c r="BT205" s="3">
        <f t="shared" ref="BT205:CD205" si="284">SUM(BT206,BT207)</f>
        <v>74.359756210650204</v>
      </c>
      <c r="BU205" s="3">
        <f t="shared" si="284"/>
        <v>75.264274535445097</v>
      </c>
      <c r="BV205" s="3">
        <f t="shared" si="284"/>
        <v>76.246093725118399</v>
      </c>
      <c r="BW205" s="3">
        <f t="shared" si="284"/>
        <v>77.29813944439482</v>
      </c>
      <c r="BX205" s="3">
        <f t="shared" si="284"/>
        <v>78.412630715703997</v>
      </c>
      <c r="BY205" s="3">
        <f t="shared" si="284"/>
        <v>79.583083424816706</v>
      </c>
      <c r="BZ205" s="3">
        <f t="shared" si="284"/>
        <v>80.803542636738797</v>
      </c>
      <c r="CA205" s="3">
        <f t="shared" si="284"/>
        <v>82.066962976209496</v>
      </c>
      <c r="CB205" s="3">
        <f t="shared" si="284"/>
        <v>83.367352631646199</v>
      </c>
      <c r="CC205" s="3">
        <f t="shared" si="284"/>
        <v>84.69905782993699</v>
      </c>
      <c r="CD205" s="3">
        <f t="shared" si="284"/>
        <v>86.057177323552494</v>
      </c>
    </row>
    <row r="206" spans="2:82" s="2" customFormat="1" x14ac:dyDescent="0.2">
      <c r="D206" s="2" t="s">
        <v>142</v>
      </c>
      <c r="F206" s="2" t="s">
        <v>6</v>
      </c>
      <c r="G206" s="2">
        <f t="shared" ref="G206:P207" si="285">O412</f>
        <v>1</v>
      </c>
      <c r="H206" s="2">
        <f t="shared" si="285"/>
        <v>0</v>
      </c>
      <c r="I206" s="2" t="str">
        <f t="shared" si="285"/>
        <v>emission_co2e_ch4_agrc_biomass_burning</v>
      </c>
      <c r="J206" s="2">
        <f t="shared" si="285"/>
        <v>0</v>
      </c>
      <c r="K206" s="2">
        <f t="shared" si="285"/>
        <v>64.588499999999996</v>
      </c>
      <c r="L206" s="2">
        <f t="shared" si="285"/>
        <v>64.588499999999996</v>
      </c>
      <c r="M206" s="2">
        <f t="shared" si="285"/>
        <v>64.588499999999996</v>
      </c>
      <c r="N206" s="2">
        <f t="shared" si="285"/>
        <v>64.588499999999996</v>
      </c>
      <c r="O206" s="2">
        <f t="shared" si="285"/>
        <v>64.588499999999996</v>
      </c>
      <c r="P206" s="2">
        <f t="shared" si="285"/>
        <v>64.588499999999996</v>
      </c>
      <c r="Q206" s="2">
        <f t="shared" ref="Q206:Z207" si="286">Y412</f>
        <v>64.588499999999996</v>
      </c>
      <c r="R206" s="2">
        <f t="shared" si="286"/>
        <v>64.727999999999994</v>
      </c>
      <c r="S206" s="2">
        <f t="shared" si="286"/>
        <v>64.83959999999999</v>
      </c>
      <c r="T206" s="2">
        <f t="shared" si="286"/>
        <v>64.951199999999986</v>
      </c>
      <c r="U206" s="2">
        <f t="shared" si="286"/>
        <v>65.062799999999996</v>
      </c>
      <c r="V206" s="2">
        <f t="shared" si="286"/>
        <v>58.841099999999997</v>
      </c>
      <c r="W206" s="2">
        <f t="shared" si="286"/>
        <v>52.591500000000003</v>
      </c>
      <c r="X206" s="2">
        <f t="shared" si="286"/>
        <v>46.369799999999998</v>
      </c>
      <c r="Y206" s="2">
        <f t="shared" si="286"/>
        <v>40.120199999999997</v>
      </c>
      <c r="Z206" s="2">
        <f t="shared" si="286"/>
        <v>33.898499999999999</v>
      </c>
      <c r="AA206" s="2">
        <f t="shared" ref="AA206:AJ207" si="287">AI412</f>
        <v>33.898499999999999</v>
      </c>
      <c r="AB206" s="2">
        <f t="shared" si="287"/>
        <v>44.946899999999999</v>
      </c>
      <c r="AC206" s="2">
        <f t="shared" si="287"/>
        <v>44.946899999999999</v>
      </c>
      <c r="AD206" s="2">
        <f t="shared" si="287"/>
        <v>76.9482</v>
      </c>
      <c r="AE206" s="2">
        <f t="shared" si="287"/>
        <v>62.35649999999999</v>
      </c>
      <c r="AF206" s="2">
        <f t="shared" si="287"/>
        <v>82.890900000000002</v>
      </c>
      <c r="AG206" s="2">
        <f t="shared" si="287"/>
        <v>28.5138</v>
      </c>
      <c r="AH206" s="2">
        <f t="shared" si="287"/>
        <v>10.964700000000001</v>
      </c>
      <c r="AI206" s="2">
        <f t="shared" si="287"/>
        <v>2.6505000000000001</v>
      </c>
      <c r="AJ206" s="2">
        <f t="shared" si="287"/>
        <v>23.0185355017713</v>
      </c>
      <c r="AK206" s="2">
        <f t="shared" ref="AK206:AT207" si="288">AS412</f>
        <v>29.623564287226898</v>
      </c>
      <c r="AL206" s="2">
        <f t="shared" si="288"/>
        <v>27.575927656186199</v>
      </c>
      <c r="AM206" s="2">
        <f t="shared" si="288"/>
        <v>27.681744122717198</v>
      </c>
      <c r="AN206" s="2">
        <f t="shared" si="288"/>
        <v>28.910584054346</v>
      </c>
      <c r="AO206" s="2">
        <f t="shared" si="288"/>
        <v>30.329403940903202</v>
      </c>
      <c r="AP206" s="2">
        <f t="shared" si="288"/>
        <v>31.952010219303698</v>
      </c>
      <c r="AQ206" s="2">
        <f t="shared" si="288"/>
        <v>33.785907282321801</v>
      </c>
      <c r="AR206" s="2">
        <f t="shared" si="288"/>
        <v>35.829857618429713</v>
      </c>
      <c r="AS206" s="2">
        <f t="shared" si="288"/>
        <v>38.0138188776493</v>
      </c>
      <c r="AT206" s="2">
        <f t="shared" si="288"/>
        <v>40.296800057998098</v>
      </c>
      <c r="AU206" s="2">
        <f t="shared" ref="AU206:BD207" si="289">BC412</f>
        <v>42.622962417518998</v>
      </c>
      <c r="AV206" s="2">
        <f t="shared" si="289"/>
        <v>44.927357427911303</v>
      </c>
      <c r="AW206" s="2">
        <f t="shared" si="289"/>
        <v>47.141161597478813</v>
      </c>
      <c r="AX206" s="2">
        <f t="shared" si="289"/>
        <v>49.198618150855303</v>
      </c>
      <c r="AY206" s="2">
        <f t="shared" si="289"/>
        <v>51.043969377954603</v>
      </c>
      <c r="AZ206" s="2">
        <f t="shared" si="289"/>
        <v>52.637060626115399</v>
      </c>
      <c r="BA206" s="2">
        <f t="shared" si="289"/>
        <v>53.956668792658299</v>
      </c>
      <c r="BB206" s="2">
        <f t="shared" si="289"/>
        <v>55.001189983814498</v>
      </c>
      <c r="BC206" s="2">
        <f t="shared" si="289"/>
        <v>55.7869401146706</v>
      </c>
      <c r="BD206" s="2">
        <f t="shared" si="289"/>
        <v>56.341860331805897</v>
      </c>
      <c r="BE206" s="2">
        <f t="shared" ref="BE206:BN207" si="290">BM412</f>
        <v>56.703221901421998</v>
      </c>
      <c r="BF206" s="2">
        <f t="shared" si="290"/>
        <v>56.908185802772699</v>
      </c>
      <c r="BG206" s="2">
        <f t="shared" si="290"/>
        <v>56.999669160074198</v>
      </c>
      <c r="BH206" s="2">
        <f t="shared" si="290"/>
        <v>57.018669110671098</v>
      </c>
      <c r="BI206" s="2">
        <f t="shared" si="290"/>
        <v>57.000846544653498</v>
      </c>
      <c r="BJ206" s="2">
        <f t="shared" si="290"/>
        <v>56.967919702786197</v>
      </c>
      <c r="BK206" s="2">
        <f t="shared" si="290"/>
        <v>56.952292935976899</v>
      </c>
      <c r="BL206" s="2">
        <f t="shared" si="290"/>
        <v>56.979943993634798</v>
      </c>
      <c r="BM206" s="2">
        <f t="shared" si="290"/>
        <v>57.070089559180197</v>
      </c>
      <c r="BN206" s="2">
        <f t="shared" si="290"/>
        <v>57.236047986810298</v>
      </c>
      <c r="BO206" s="2">
        <f t="shared" ref="BO206:BX207" si="291">BW412</f>
        <v>57.486111711658097</v>
      </c>
      <c r="BP206" s="2">
        <f t="shared" si="291"/>
        <v>57.824220502386801</v>
      </c>
      <c r="BQ206" s="2">
        <f t="shared" si="291"/>
        <v>58.250649856176601</v>
      </c>
      <c r="BR206" s="2">
        <f t="shared" si="291"/>
        <v>58.762200321352587</v>
      </c>
      <c r="BS206" s="2">
        <f t="shared" si="291"/>
        <v>59.353016244773897</v>
      </c>
      <c r="BT206" s="2">
        <f t="shared" si="291"/>
        <v>60.015665947471398</v>
      </c>
      <c r="BU206" s="2">
        <f t="shared" si="291"/>
        <v>60.745701552624197</v>
      </c>
      <c r="BV206" s="2">
        <f t="shared" si="291"/>
        <v>61.538126588840399</v>
      </c>
      <c r="BW206" s="2">
        <f t="shared" si="291"/>
        <v>62.387231368994513</v>
      </c>
      <c r="BX206" s="2">
        <f t="shared" si="291"/>
        <v>63.286735875851498</v>
      </c>
      <c r="BY206" s="2">
        <f t="shared" ref="BY206:CH207" si="292">CG412</f>
        <v>64.231406788951602</v>
      </c>
      <c r="BZ206" s="2">
        <f t="shared" si="292"/>
        <v>65.216437887732198</v>
      </c>
      <c r="CA206" s="2">
        <f t="shared" si="292"/>
        <v>66.236142858659093</v>
      </c>
      <c r="CB206" s="2">
        <f t="shared" si="292"/>
        <v>67.2856857181213</v>
      </c>
      <c r="CC206" s="2">
        <f t="shared" si="292"/>
        <v>68.36050331293319</v>
      </c>
      <c r="CD206" s="2">
        <f t="shared" si="292"/>
        <v>69.456639852362898</v>
      </c>
    </row>
    <row r="207" spans="2:82" s="2" customFormat="1" x14ac:dyDescent="0.2">
      <c r="D207" s="2" t="s">
        <v>143</v>
      </c>
      <c r="F207" s="2" t="s">
        <v>8</v>
      </c>
      <c r="G207" s="2">
        <f t="shared" si="285"/>
        <v>1</v>
      </c>
      <c r="H207" s="2">
        <f t="shared" si="285"/>
        <v>0</v>
      </c>
      <c r="I207" s="2" t="str">
        <f t="shared" si="285"/>
        <v>emission_co2e_n2o_agrc_biomass_burning</v>
      </c>
      <c r="J207" s="2">
        <f t="shared" si="285"/>
        <v>0</v>
      </c>
      <c r="K207" s="2">
        <f t="shared" si="285"/>
        <v>16.38</v>
      </c>
      <c r="L207" s="2">
        <f t="shared" si="285"/>
        <v>16.38</v>
      </c>
      <c r="M207" s="2">
        <f t="shared" si="285"/>
        <v>16.38</v>
      </c>
      <c r="N207" s="2">
        <f t="shared" si="285"/>
        <v>16.38</v>
      </c>
      <c r="O207" s="2">
        <f t="shared" si="285"/>
        <v>16.38</v>
      </c>
      <c r="P207" s="2">
        <f t="shared" si="285"/>
        <v>16.38</v>
      </c>
      <c r="Q207" s="2">
        <f t="shared" si="286"/>
        <v>16.38</v>
      </c>
      <c r="R207" s="2">
        <f t="shared" si="286"/>
        <v>16.38</v>
      </c>
      <c r="S207" s="2">
        <f t="shared" si="286"/>
        <v>16.38</v>
      </c>
      <c r="T207" s="2">
        <f t="shared" si="286"/>
        <v>16.38</v>
      </c>
      <c r="U207" s="2">
        <f t="shared" si="286"/>
        <v>16.38</v>
      </c>
      <c r="V207" s="2">
        <f t="shared" si="286"/>
        <v>15.015000000000001</v>
      </c>
      <c r="W207" s="2">
        <f t="shared" si="286"/>
        <v>13.377000000000001</v>
      </c>
      <c r="X207" s="2">
        <f t="shared" si="286"/>
        <v>11.739000000000001</v>
      </c>
      <c r="Y207" s="2">
        <f t="shared" si="286"/>
        <v>10.101000000000001</v>
      </c>
      <c r="Z207" s="2">
        <f t="shared" si="286"/>
        <v>8.4629999999999992</v>
      </c>
      <c r="AA207" s="2">
        <f t="shared" si="287"/>
        <v>8.4629999999999992</v>
      </c>
      <c r="AB207" s="2">
        <f t="shared" si="287"/>
        <v>11.465999999999999</v>
      </c>
      <c r="AC207" s="2">
        <f t="shared" si="287"/>
        <v>11.465999999999999</v>
      </c>
      <c r="AD207" s="2">
        <f t="shared" si="287"/>
        <v>19.382999999999999</v>
      </c>
      <c r="AE207" s="2">
        <f t="shared" si="287"/>
        <v>15.834</v>
      </c>
      <c r="AF207" s="2">
        <f t="shared" si="287"/>
        <v>21.021000000000001</v>
      </c>
      <c r="AG207" s="2">
        <f t="shared" si="287"/>
        <v>7.3710000000000004</v>
      </c>
      <c r="AH207" s="2">
        <f t="shared" si="287"/>
        <v>2.73</v>
      </c>
      <c r="AI207" s="2">
        <f t="shared" si="287"/>
        <v>0.54600000000000004</v>
      </c>
      <c r="AJ207" s="2">
        <f t="shared" si="287"/>
        <v>5.5015627295143004</v>
      </c>
      <c r="AK207" s="2">
        <f t="shared" si="288"/>
        <v>7.0802026994914007</v>
      </c>
      <c r="AL207" s="2">
        <f t="shared" si="288"/>
        <v>6.5908057362459997</v>
      </c>
      <c r="AM207" s="2">
        <f t="shared" si="288"/>
        <v>6.6160964819753003</v>
      </c>
      <c r="AN207" s="2">
        <f t="shared" si="288"/>
        <v>6.9097963121781998</v>
      </c>
      <c r="AO207" s="2">
        <f t="shared" si="288"/>
        <v>7.2489024471960004</v>
      </c>
      <c r="AP207" s="2">
        <f t="shared" si="288"/>
        <v>7.6367147050712996</v>
      </c>
      <c r="AQ207" s="2">
        <f t="shared" si="288"/>
        <v>8.075026678953801</v>
      </c>
      <c r="AR207" s="2">
        <f t="shared" si="288"/>
        <v>8.5635425964519012</v>
      </c>
      <c r="AS207" s="2">
        <f t="shared" si="288"/>
        <v>9.0855219319964995</v>
      </c>
      <c r="AT207" s="2">
        <f t="shared" si="288"/>
        <v>9.631167599724801</v>
      </c>
      <c r="AU207" s="2">
        <f t="shared" si="289"/>
        <v>10.1871338182948</v>
      </c>
      <c r="AV207" s="2">
        <f t="shared" si="289"/>
        <v>10.7378975148939</v>
      </c>
      <c r="AW207" s="2">
        <f t="shared" si="289"/>
        <v>11.2670094781115</v>
      </c>
      <c r="AX207" s="2">
        <f t="shared" si="289"/>
        <v>11.758753459425201</v>
      </c>
      <c r="AY207" s="2">
        <f t="shared" si="289"/>
        <v>12.199803044577701</v>
      </c>
      <c r="AZ207" s="2">
        <f t="shared" si="289"/>
        <v>12.580561040016701</v>
      </c>
      <c r="BA207" s="2">
        <f t="shared" si="289"/>
        <v>12.8959550018113</v>
      </c>
      <c r="BB207" s="2">
        <f t="shared" si="289"/>
        <v>13.145601590101499</v>
      </c>
      <c r="BC207" s="2">
        <f t="shared" si="289"/>
        <v>13.333400402684401</v>
      </c>
      <c r="BD207" s="2">
        <f t="shared" si="289"/>
        <v>13.4660295347249</v>
      </c>
      <c r="BE207" s="2">
        <f t="shared" si="290"/>
        <v>13.5523970337835</v>
      </c>
      <c r="BF207" s="2">
        <f t="shared" si="290"/>
        <v>13.6013845882038</v>
      </c>
      <c r="BG207" s="2">
        <f t="shared" si="290"/>
        <v>13.623249638170201</v>
      </c>
      <c r="BH207" s="2">
        <f t="shared" si="290"/>
        <v>13.6277907359329</v>
      </c>
      <c r="BI207" s="2">
        <f t="shared" si="290"/>
        <v>13.6235310398745</v>
      </c>
      <c r="BJ207" s="2">
        <f t="shared" si="290"/>
        <v>13.6156613347839</v>
      </c>
      <c r="BK207" s="2">
        <f t="shared" si="290"/>
        <v>13.6119264473991</v>
      </c>
      <c r="BL207" s="2">
        <f t="shared" si="290"/>
        <v>13.618535209639001</v>
      </c>
      <c r="BM207" s="2">
        <f t="shared" si="290"/>
        <v>13.6400805196609</v>
      </c>
      <c r="BN207" s="2">
        <f t="shared" si="290"/>
        <v>13.679745540922999</v>
      </c>
      <c r="BO207" s="2">
        <f t="shared" si="291"/>
        <v>13.739512213243099</v>
      </c>
      <c r="BP207" s="2">
        <f t="shared" si="291"/>
        <v>13.8203221640522</v>
      </c>
      <c r="BQ207" s="2">
        <f t="shared" si="291"/>
        <v>13.9222412387648</v>
      </c>
      <c r="BR207" s="2">
        <f t="shared" si="291"/>
        <v>14.04450474998</v>
      </c>
      <c r="BS207" s="2">
        <f t="shared" si="291"/>
        <v>14.185713162828399</v>
      </c>
      <c r="BT207" s="2">
        <f t="shared" si="291"/>
        <v>14.344090263178799</v>
      </c>
      <c r="BU207" s="2">
        <f t="shared" si="291"/>
        <v>14.518572982820899</v>
      </c>
      <c r="BV207" s="2">
        <f t="shared" si="291"/>
        <v>14.707967136278</v>
      </c>
      <c r="BW207" s="2">
        <f t="shared" si="291"/>
        <v>14.9109080754003</v>
      </c>
      <c r="BX207" s="2">
        <f t="shared" si="291"/>
        <v>15.125894839852499</v>
      </c>
      <c r="BY207" s="2">
        <f t="shared" si="292"/>
        <v>15.3516766358651</v>
      </c>
      <c r="BZ207" s="2">
        <f t="shared" si="292"/>
        <v>15.587104749006601</v>
      </c>
      <c r="CA207" s="2">
        <f t="shared" si="292"/>
        <v>15.830820117550401</v>
      </c>
      <c r="CB207" s="2">
        <f t="shared" si="292"/>
        <v>16.081666913524899</v>
      </c>
      <c r="CC207" s="2">
        <f t="shared" si="292"/>
        <v>16.3385545170038</v>
      </c>
      <c r="CD207" s="2">
        <f t="shared" si="292"/>
        <v>16.6005374711896</v>
      </c>
    </row>
    <row r="208" spans="2:82" s="2" customFormat="1" x14ac:dyDescent="0.2">
      <c r="C208" s="2" t="s">
        <v>144</v>
      </c>
      <c r="F208" s="2" t="s">
        <v>7</v>
      </c>
      <c r="G208" s="2">
        <f t="shared" ref="G208:G214" si="293">O414</f>
        <v>1</v>
      </c>
      <c r="H208" s="2">
        <f t="shared" ref="H208:BS209" si="294">P414</f>
        <v>0</v>
      </c>
      <c r="I208" s="2" t="str">
        <f t="shared" si="294"/>
        <v>emission_co2e_co2_soil_lime_use</v>
      </c>
      <c r="J208" s="2">
        <f t="shared" si="294"/>
        <v>0</v>
      </c>
      <c r="K208" s="2">
        <f t="shared" si="294"/>
        <v>0.45500000000000002</v>
      </c>
      <c r="L208" s="2">
        <f t="shared" si="294"/>
        <v>0.45500000000000002</v>
      </c>
      <c r="M208" s="2">
        <f t="shared" si="294"/>
        <v>0.45500000000000002</v>
      </c>
      <c r="N208" s="2">
        <f t="shared" si="294"/>
        <v>0.45500000000000002</v>
      </c>
      <c r="O208" s="2">
        <f t="shared" si="294"/>
        <v>0.45500000000000002</v>
      </c>
      <c r="P208" s="2">
        <f t="shared" si="294"/>
        <v>0.45500000000000002</v>
      </c>
      <c r="Q208" s="2">
        <f t="shared" si="294"/>
        <v>0.45500000000000002</v>
      </c>
      <c r="R208" s="2">
        <f t="shared" si="294"/>
        <v>2.5369999999999999</v>
      </c>
      <c r="S208" s="2">
        <f t="shared" si="294"/>
        <v>2.2730000000000001</v>
      </c>
      <c r="T208" s="2">
        <f t="shared" si="294"/>
        <v>2.3610000000000002</v>
      </c>
      <c r="U208" s="2">
        <f t="shared" si="294"/>
        <v>2.5369999999999999</v>
      </c>
      <c r="V208" s="2">
        <f t="shared" si="294"/>
        <v>2.75</v>
      </c>
      <c r="W208" s="2">
        <f t="shared" si="294"/>
        <v>2.5369999999999999</v>
      </c>
      <c r="X208" s="2">
        <f t="shared" si="294"/>
        <v>2.5369999999999999</v>
      </c>
      <c r="Y208" s="2">
        <f t="shared" si="294"/>
        <v>2.5369999999999999</v>
      </c>
      <c r="Z208" s="2">
        <f t="shared" si="294"/>
        <v>2.5369999999999999</v>
      </c>
      <c r="AA208" s="2">
        <f t="shared" si="294"/>
        <v>2.5369999999999999</v>
      </c>
      <c r="AB208" s="2">
        <f t="shared" si="294"/>
        <v>2.5369999999999999</v>
      </c>
      <c r="AC208" s="2">
        <f t="shared" si="294"/>
        <v>2.5369999999999999</v>
      </c>
      <c r="AD208" s="2">
        <f t="shared" si="294"/>
        <v>2.5369999999999999</v>
      </c>
      <c r="AE208" s="2">
        <f t="shared" si="294"/>
        <v>2.5369999999999999</v>
      </c>
      <c r="AF208" s="2">
        <f t="shared" si="294"/>
        <v>2.5369999999999999</v>
      </c>
      <c r="AG208" s="2">
        <f t="shared" si="294"/>
        <v>4.1070000000000002</v>
      </c>
      <c r="AH208" s="2">
        <f t="shared" si="294"/>
        <v>4.5830000000000002</v>
      </c>
      <c r="AI208" s="2">
        <f t="shared" si="294"/>
        <v>4.5830000000000002</v>
      </c>
      <c r="AJ208" s="2">
        <f t="shared" si="294"/>
        <v>3.3701448906936202E-2</v>
      </c>
      <c r="AK208" s="2">
        <f t="shared" si="294"/>
        <v>3.3766171415199699E-2</v>
      </c>
      <c r="AL208" s="2">
        <f t="shared" si="294"/>
        <v>3.3842178715488502E-2</v>
      </c>
      <c r="AM208" s="2">
        <f t="shared" si="294"/>
        <v>3.3925487721363702E-2</v>
      </c>
      <c r="AN208" s="2">
        <f t="shared" si="294"/>
        <v>3.5392604884591901E-2</v>
      </c>
      <c r="AO208" s="2">
        <f t="shared" si="294"/>
        <v>3.7095710031894699E-2</v>
      </c>
      <c r="AP208" s="2">
        <f t="shared" si="294"/>
        <v>3.9050058225227398E-2</v>
      </c>
      <c r="AQ208" s="2">
        <f t="shared" si="294"/>
        <v>4.1263559744352293E-2</v>
      </c>
      <c r="AR208" s="2">
        <f t="shared" si="294"/>
        <v>4.3733827740250197E-2</v>
      </c>
      <c r="AS208" s="2">
        <f t="shared" si="294"/>
        <v>4.6441584549831799E-2</v>
      </c>
      <c r="AT208" s="2">
        <f t="shared" si="294"/>
        <v>4.9345901941799802E-2</v>
      </c>
      <c r="AU208" s="2">
        <f t="shared" si="294"/>
        <v>5.23862377383051E-2</v>
      </c>
      <c r="AV208" s="2">
        <f t="shared" si="294"/>
        <v>5.5490304786277603E-2</v>
      </c>
      <c r="AW208" s="2">
        <f t="shared" si="294"/>
        <v>5.8579259020136699E-2</v>
      </c>
      <c r="AX208" s="2">
        <f t="shared" si="294"/>
        <v>6.1575561033076397E-2</v>
      </c>
      <c r="AY208" s="2">
        <f t="shared" si="294"/>
        <v>6.4411096905127196E-2</v>
      </c>
      <c r="AZ208" s="2">
        <f t="shared" si="294"/>
        <v>6.7034016183680392E-2</v>
      </c>
      <c r="BA208" s="2">
        <f t="shared" si="294"/>
        <v>6.9413120256173799E-2</v>
      </c>
      <c r="BB208" s="2">
        <f t="shared" si="294"/>
        <v>7.1539262577922397E-2</v>
      </c>
      <c r="BC208" s="2">
        <f t="shared" si="294"/>
        <v>7.3423944509753605E-2</v>
      </c>
      <c r="BD208" s="2">
        <f t="shared" si="294"/>
        <v>7.5089861596074101E-2</v>
      </c>
      <c r="BE208" s="2">
        <f t="shared" si="294"/>
        <v>7.6570500049819898E-2</v>
      </c>
      <c r="BF208" s="2">
        <f t="shared" si="294"/>
        <v>7.7896786426128906E-2</v>
      </c>
      <c r="BG208" s="2">
        <f t="shared" si="294"/>
        <v>7.91090223315499E-2</v>
      </c>
      <c r="BH208" s="2">
        <f t="shared" si="294"/>
        <v>8.0246547458851306E-2</v>
      </c>
      <c r="BI208" s="2">
        <f t="shared" si="294"/>
        <v>8.1345783674777003E-2</v>
      </c>
      <c r="BJ208" s="2">
        <f t="shared" si="294"/>
        <v>8.2425048098957107E-2</v>
      </c>
      <c r="BK208" s="2">
        <f t="shared" si="294"/>
        <v>8.3514446952597188E-2</v>
      </c>
      <c r="BL208" s="2">
        <f t="shared" si="294"/>
        <v>8.4636670354374E-2</v>
      </c>
      <c r="BM208" s="2">
        <f t="shared" si="294"/>
        <v>8.5807485744929995E-2</v>
      </c>
      <c r="BN208" s="2">
        <f t="shared" si="294"/>
        <v>8.7037161589680001E-2</v>
      </c>
      <c r="BO208" s="2">
        <f t="shared" si="294"/>
        <v>8.8331465247390092E-2</v>
      </c>
      <c r="BP208" s="2">
        <f t="shared" si="294"/>
        <v>8.9692426695043695E-2</v>
      </c>
      <c r="BQ208" s="2">
        <f t="shared" si="294"/>
        <v>9.1118883354326108E-2</v>
      </c>
      <c r="BR208" s="2">
        <f t="shared" si="294"/>
        <v>9.2606209224065705E-2</v>
      </c>
      <c r="BS208" s="2">
        <f t="shared" si="294"/>
        <v>9.4147185547885509E-2</v>
      </c>
      <c r="BT208" s="2">
        <f t="shared" ref="BT208:CD208" si="295">CB414</f>
        <v>9.5733355966630393E-2</v>
      </c>
      <c r="BU208" s="2">
        <f t="shared" si="295"/>
        <v>9.7363874653804E-2</v>
      </c>
      <c r="BV208" s="2">
        <f t="shared" si="295"/>
        <v>9.9036961066588589E-2</v>
      </c>
      <c r="BW208" s="2">
        <f t="shared" si="295"/>
        <v>0.10074954279080001</v>
      </c>
      <c r="BX208" s="2">
        <f t="shared" si="295"/>
        <v>0.1024974312927</v>
      </c>
      <c r="BY208" s="2">
        <f t="shared" si="295"/>
        <v>0.1042779641591</v>
      </c>
      <c r="BZ208" s="2">
        <f t="shared" si="295"/>
        <v>0.10608873427859999</v>
      </c>
      <c r="CA208" s="2">
        <f t="shared" si="295"/>
        <v>0.1079252918856</v>
      </c>
      <c r="CB208" s="2">
        <f t="shared" si="295"/>
        <v>0.1097845554428</v>
      </c>
      <c r="CC208" s="2">
        <f t="shared" si="295"/>
        <v>0.1116633092721</v>
      </c>
      <c r="CD208" s="2">
        <f t="shared" si="295"/>
        <v>0.1135588148318</v>
      </c>
    </row>
    <row r="209" spans="1:82" s="2" customFormat="1" x14ac:dyDescent="0.2">
      <c r="C209" s="2" t="s">
        <v>145</v>
      </c>
      <c r="F209" s="2" t="s">
        <v>7</v>
      </c>
      <c r="G209" s="2">
        <f t="shared" si="293"/>
        <v>1</v>
      </c>
      <c r="H209" s="2">
        <f t="shared" si="294"/>
        <v>0</v>
      </c>
      <c r="I209" s="2" t="str">
        <f t="shared" si="294"/>
        <v>emission_co2e_co2_soil_urea_use</v>
      </c>
      <c r="J209" s="2">
        <f t="shared" si="294"/>
        <v>0</v>
      </c>
      <c r="K209" s="2">
        <f t="shared" si="294"/>
        <v>0</v>
      </c>
      <c r="L209" s="2">
        <f t="shared" si="294"/>
        <v>0</v>
      </c>
      <c r="M209" s="2">
        <f t="shared" si="294"/>
        <v>0</v>
      </c>
      <c r="N209" s="2">
        <f t="shared" si="294"/>
        <v>0</v>
      </c>
      <c r="O209" s="2">
        <f t="shared" si="294"/>
        <v>0</v>
      </c>
      <c r="P209" s="2">
        <f t="shared" si="294"/>
        <v>0</v>
      </c>
      <c r="Q209" s="2">
        <f t="shared" si="294"/>
        <v>0</v>
      </c>
      <c r="R209" s="2">
        <f t="shared" si="294"/>
        <v>0</v>
      </c>
      <c r="S209" s="2">
        <f t="shared" si="294"/>
        <v>0</v>
      </c>
      <c r="T209" s="2">
        <f t="shared" si="294"/>
        <v>0</v>
      </c>
      <c r="U209" s="2">
        <f t="shared" si="294"/>
        <v>0</v>
      </c>
      <c r="V209" s="2">
        <f t="shared" si="294"/>
        <v>0</v>
      </c>
      <c r="W209" s="2">
        <f t="shared" si="294"/>
        <v>0</v>
      </c>
      <c r="X209" s="2">
        <f t="shared" si="294"/>
        <v>0</v>
      </c>
      <c r="Y209" s="2">
        <f t="shared" si="294"/>
        <v>0</v>
      </c>
      <c r="Z209" s="2">
        <f t="shared" si="294"/>
        <v>0</v>
      </c>
      <c r="AA209" s="2">
        <f t="shared" si="294"/>
        <v>7.0229999999999997</v>
      </c>
      <c r="AB209" s="2">
        <f t="shared" si="294"/>
        <v>6.6980000000000004</v>
      </c>
      <c r="AC209" s="2">
        <f t="shared" si="294"/>
        <v>8.6180000000000003</v>
      </c>
      <c r="AD209" s="2">
        <f t="shared" si="294"/>
        <v>4.173</v>
      </c>
      <c r="AE209" s="2">
        <f t="shared" si="294"/>
        <v>5.0599999999999996</v>
      </c>
      <c r="AF209" s="2">
        <f t="shared" si="294"/>
        <v>6.7750000000000004</v>
      </c>
      <c r="AG209" s="2">
        <f t="shared" si="294"/>
        <v>8.1319999999999997</v>
      </c>
      <c r="AH209" s="2">
        <f t="shared" si="294"/>
        <v>11.872999999999999</v>
      </c>
      <c r="AI209" s="2">
        <f t="shared" si="294"/>
        <v>11.23</v>
      </c>
      <c r="AJ209" s="2">
        <f t="shared" si="294"/>
        <v>0.12781032508660001</v>
      </c>
      <c r="AK209" s="2">
        <f t="shared" si="294"/>
        <v>0.12701713554870001</v>
      </c>
      <c r="AL209" s="2">
        <f t="shared" si="294"/>
        <v>0.12651418146230001</v>
      </c>
      <c r="AM209" s="2">
        <f t="shared" si="294"/>
        <v>0.12595838214409999</v>
      </c>
      <c r="AN209" s="2">
        <f t="shared" si="294"/>
        <v>0.13413315790640001</v>
      </c>
      <c r="AO209" s="2">
        <f t="shared" si="294"/>
        <v>0.14414590146459999</v>
      </c>
      <c r="AP209" s="2">
        <f t="shared" si="294"/>
        <v>0.1547632972713</v>
      </c>
      <c r="AQ209" s="2">
        <f t="shared" si="294"/>
        <v>0.1660255484417</v>
      </c>
      <c r="AR209" s="2">
        <f t="shared" si="294"/>
        <v>0.17810713130629999</v>
      </c>
      <c r="AS209" s="2">
        <f t="shared" si="294"/>
        <v>0.1905028259356</v>
      </c>
      <c r="AT209" s="2">
        <f t="shared" si="294"/>
        <v>0.20316349210869999</v>
      </c>
      <c r="AU209" s="2">
        <f t="shared" si="294"/>
        <v>0.2160941661336</v>
      </c>
      <c r="AV209" s="2">
        <f t="shared" si="294"/>
        <v>0.22869089886310001</v>
      </c>
      <c r="AW209" s="2">
        <f t="shared" si="294"/>
        <v>0.24054882154179999</v>
      </c>
      <c r="AX209" s="2">
        <f t="shared" si="294"/>
        <v>0.25125680255600003</v>
      </c>
      <c r="AY209" s="2">
        <f t="shared" si="294"/>
        <v>0.26044753976700002</v>
      </c>
      <c r="AZ209" s="2">
        <f t="shared" si="294"/>
        <v>0.26784226960090002</v>
      </c>
      <c r="BA209" s="2">
        <f t="shared" si="294"/>
        <v>0.2732808978006</v>
      </c>
      <c r="BB209" s="2">
        <f t="shared" si="294"/>
        <v>0.27673495608139997</v>
      </c>
      <c r="BC209" s="2">
        <f t="shared" si="294"/>
        <v>0.27830328064609999</v>
      </c>
      <c r="BD209" s="2">
        <f t="shared" si="294"/>
        <v>0.27835222194289999</v>
      </c>
      <c r="BE209" s="2">
        <f t="shared" si="294"/>
        <v>0.27721384035399999</v>
      </c>
      <c r="BF209" s="2">
        <f t="shared" si="294"/>
        <v>0.27523805402969997</v>
      </c>
      <c r="BG209" s="2">
        <f t="shared" si="294"/>
        <v>0.27278671010439998</v>
      </c>
      <c r="BH209" s="2">
        <f t="shared" si="294"/>
        <v>0.27139173488599999</v>
      </c>
      <c r="BI209" s="2">
        <f t="shared" si="294"/>
        <v>0.27413917996420001</v>
      </c>
      <c r="BJ209" s="2">
        <f t="shared" si="294"/>
        <v>0.27810687778659998</v>
      </c>
      <c r="BK209" s="2">
        <f t="shared" si="294"/>
        <v>0.28098141420970002</v>
      </c>
      <c r="BL209" s="2">
        <f t="shared" si="294"/>
        <v>0.28343565954610001</v>
      </c>
      <c r="BM209" s="2">
        <f t="shared" si="294"/>
        <v>0.28602292154960002</v>
      </c>
      <c r="BN209" s="2">
        <f t="shared" si="294"/>
        <v>0.28915349904089999</v>
      </c>
      <c r="BO209" s="2">
        <f t="shared" si="294"/>
        <v>0.2931169369394</v>
      </c>
      <c r="BP209" s="2">
        <f t="shared" si="294"/>
        <v>0.29808130043429998</v>
      </c>
      <c r="BQ209" s="2">
        <f t="shared" si="294"/>
        <v>0.3041195047229</v>
      </c>
      <c r="BR209" s="2">
        <f t="shared" si="294"/>
        <v>0.31123076817509998</v>
      </c>
      <c r="BS209" s="2">
        <f t="shared" ref="BS209:CD212" si="296">CA415</f>
        <v>0.31935733660749999</v>
      </c>
      <c r="BT209" s="2">
        <f t="shared" si="296"/>
        <v>0.32840130258080003</v>
      </c>
      <c r="BU209" s="2">
        <f t="shared" si="296"/>
        <v>0.3381258367828</v>
      </c>
      <c r="BV209" s="2">
        <f t="shared" si="296"/>
        <v>0.34838713047190001</v>
      </c>
      <c r="BW209" s="2">
        <f t="shared" si="296"/>
        <v>0.35906522977939997</v>
      </c>
      <c r="BX209" s="2">
        <f t="shared" si="296"/>
        <v>0.3700524128487</v>
      </c>
      <c r="BY209" s="2">
        <f t="shared" si="296"/>
        <v>0.38125398961469997</v>
      </c>
      <c r="BZ209" s="2">
        <f t="shared" si="296"/>
        <v>0.39260107807880001</v>
      </c>
      <c r="CA209" s="2">
        <f t="shared" si="296"/>
        <v>0.40404879793449999</v>
      </c>
      <c r="CB209" s="2">
        <f t="shared" si="296"/>
        <v>0.41551356557789998</v>
      </c>
      <c r="CC209" s="2">
        <f t="shared" si="296"/>
        <v>0.42692727276730003</v>
      </c>
      <c r="CD209" s="2">
        <f t="shared" si="296"/>
        <v>0.43823320065369997</v>
      </c>
    </row>
    <row r="210" spans="1:82" s="2" customFormat="1" x14ac:dyDescent="0.2">
      <c r="C210" s="2" t="s">
        <v>146</v>
      </c>
      <c r="F210" s="2" t="s">
        <v>8</v>
      </c>
      <c r="G210" s="2">
        <f t="shared" si="293"/>
        <v>1</v>
      </c>
      <c r="H210" s="2">
        <f t="shared" ref="H210:BS213" si="297">P416</f>
        <v>0</v>
      </c>
      <c r="I210" s="2" t="str">
        <f t="shared" si="297"/>
        <v>emission_co2e_n2o_agrc_crop_residues|emission_co2e_n2o_soil_fertilizer|emission_co2e_n2o_soil_mineral_soils|emission_co2e_n2o_soil_organic_soils</v>
      </c>
      <c r="J210" s="2">
        <f t="shared" si="297"/>
        <v>0</v>
      </c>
      <c r="K210" s="2">
        <f t="shared" si="297"/>
        <v>230.685</v>
      </c>
      <c r="L210" s="2">
        <f t="shared" si="297"/>
        <v>230.958</v>
      </c>
      <c r="M210" s="2">
        <f t="shared" si="297"/>
        <v>237.51</v>
      </c>
      <c r="N210" s="2">
        <f t="shared" si="297"/>
        <v>246.792</v>
      </c>
      <c r="O210" s="2">
        <f t="shared" si="297"/>
        <v>244.06200000000001</v>
      </c>
      <c r="P210" s="2">
        <f t="shared" si="297"/>
        <v>247.61099999999999</v>
      </c>
      <c r="Q210" s="2">
        <f t="shared" si="297"/>
        <v>250.887</v>
      </c>
      <c r="R210" s="2">
        <f t="shared" si="297"/>
        <v>254.43600000000001</v>
      </c>
      <c r="S210" s="2">
        <f t="shared" si="297"/>
        <v>257.98500000000001</v>
      </c>
      <c r="T210" s="2">
        <f t="shared" si="297"/>
        <v>261.26100000000002</v>
      </c>
      <c r="U210" s="2">
        <f t="shared" si="297"/>
        <v>365.274</v>
      </c>
      <c r="V210" s="2">
        <f t="shared" si="297"/>
        <v>268.35899999999998</v>
      </c>
      <c r="W210" s="2">
        <f t="shared" si="297"/>
        <v>271.63499999999999</v>
      </c>
      <c r="X210" s="2">
        <f t="shared" si="297"/>
        <v>283.101</v>
      </c>
      <c r="Y210" s="2">
        <f t="shared" si="297"/>
        <v>511.60199999999998</v>
      </c>
      <c r="Z210" s="2">
        <f t="shared" si="297"/>
        <v>294.83999999999997</v>
      </c>
      <c r="AA210" s="2">
        <f t="shared" si="297"/>
        <v>299.75400000000002</v>
      </c>
      <c r="AB210" s="2">
        <f t="shared" si="297"/>
        <v>304.94099999999997</v>
      </c>
      <c r="AC210" s="2">
        <f t="shared" si="297"/>
        <v>309.85500000000002</v>
      </c>
      <c r="AD210" s="2">
        <f t="shared" si="297"/>
        <v>314.76900000000001</v>
      </c>
      <c r="AE210" s="2">
        <f t="shared" si="297"/>
        <v>1339.0650000000001</v>
      </c>
      <c r="AF210" s="2">
        <f t="shared" si="297"/>
        <v>327.87299999999999</v>
      </c>
      <c r="AG210" s="2">
        <f t="shared" si="297"/>
        <v>329.78399999999999</v>
      </c>
      <c r="AH210" s="2">
        <f t="shared" si="297"/>
        <v>330.33</v>
      </c>
      <c r="AI210" s="2">
        <f t="shared" si="297"/>
        <v>1479.66</v>
      </c>
      <c r="AJ210" s="2">
        <f t="shared" si="297"/>
        <v>1552.8236963133641</v>
      </c>
      <c r="AK210" s="2">
        <f t="shared" si="297"/>
        <v>1694.737419536983</v>
      </c>
      <c r="AL210" s="2">
        <f t="shared" si="297"/>
        <v>1698.9618334513559</v>
      </c>
      <c r="AM210" s="2">
        <f t="shared" si="297"/>
        <v>1726.9796452844421</v>
      </c>
      <c r="AN210" s="2">
        <f t="shared" si="297"/>
        <v>1797.939383237017</v>
      </c>
      <c r="AO210" s="2">
        <f t="shared" si="297"/>
        <v>1870.164539131539</v>
      </c>
      <c r="AP210" s="2">
        <f t="shared" si="297"/>
        <v>1946.036117514235</v>
      </c>
      <c r="AQ210" s="2">
        <f t="shared" si="297"/>
        <v>2026.7258988454171</v>
      </c>
      <c r="AR210" s="2">
        <f t="shared" si="297"/>
        <v>2112.784387078495</v>
      </c>
      <c r="AS210" s="2">
        <f t="shared" si="297"/>
        <v>2202.5648585182048</v>
      </c>
      <c r="AT210" s="2">
        <f t="shared" si="297"/>
        <v>2294.3023051225791</v>
      </c>
      <c r="AU210" s="2">
        <f t="shared" si="297"/>
        <v>2385.1947542915</v>
      </c>
      <c r="AV210" s="2">
        <f t="shared" si="297"/>
        <v>2472.7547982299088</v>
      </c>
      <c r="AW210" s="2">
        <f t="shared" si="297"/>
        <v>2553.9966207658931</v>
      </c>
      <c r="AX210" s="2">
        <f t="shared" si="297"/>
        <v>2626.1440742785971</v>
      </c>
      <c r="AY210" s="2">
        <f t="shared" si="297"/>
        <v>2725.3547946491381</v>
      </c>
      <c r="AZ210" s="2">
        <f t="shared" si="297"/>
        <v>2823.4148559374689</v>
      </c>
      <c r="BA210" s="2">
        <f t="shared" si="297"/>
        <v>2909.791619457676</v>
      </c>
      <c r="BB210" s="2">
        <f t="shared" si="297"/>
        <v>2998.9979284404399</v>
      </c>
      <c r="BC210" s="2">
        <f t="shared" si="297"/>
        <v>3048.3117418806978</v>
      </c>
      <c r="BD210" s="2">
        <f t="shared" si="297"/>
        <v>3113.0347104228549</v>
      </c>
      <c r="BE210" s="2">
        <f t="shared" si="297"/>
        <v>3170.8511828186729</v>
      </c>
      <c r="BF210" s="2">
        <f t="shared" si="297"/>
        <v>3223.3246813829792</v>
      </c>
      <c r="BG210" s="2">
        <f t="shared" si="297"/>
        <v>3271.9373337596212</v>
      </c>
      <c r="BH210" s="2">
        <f t="shared" si="297"/>
        <v>3316.689808347001</v>
      </c>
      <c r="BI210" s="2">
        <f t="shared" si="297"/>
        <v>3355.1836994393539</v>
      </c>
      <c r="BJ210" s="2">
        <f t="shared" si="297"/>
        <v>3394.6134762263309</v>
      </c>
      <c r="BK210" s="2">
        <f t="shared" si="297"/>
        <v>3445.0653826049279</v>
      </c>
      <c r="BL210" s="2">
        <f t="shared" si="297"/>
        <v>3504.293203707377</v>
      </c>
      <c r="BM210" s="2">
        <f t="shared" si="297"/>
        <v>3569.190922735801</v>
      </c>
      <c r="BN210" s="2">
        <f t="shared" si="297"/>
        <v>3640.1662814326401</v>
      </c>
      <c r="BO210" s="2">
        <f t="shared" si="297"/>
        <v>3717.3282539229108</v>
      </c>
      <c r="BP210" s="2">
        <f t="shared" si="297"/>
        <v>3800.5678407344162</v>
      </c>
      <c r="BQ210" s="2">
        <f t="shared" si="297"/>
        <v>3889.5128911174702</v>
      </c>
      <c r="BR210" s="2">
        <f t="shared" si="297"/>
        <v>3983.496973098142</v>
      </c>
      <c r="BS210" s="2">
        <f t="shared" si="297"/>
        <v>4081.6284035803769</v>
      </c>
      <c r="BT210" s="2">
        <f t="shared" si="296"/>
        <v>4183.0014402407369</v>
      </c>
      <c r="BU210" s="2">
        <f t="shared" si="296"/>
        <v>4287.2096154942355</v>
      </c>
      <c r="BV210" s="2">
        <f t="shared" si="296"/>
        <v>4393.6409112942747</v>
      </c>
      <c r="BW210" s="2">
        <f t="shared" si="296"/>
        <v>4501.7002550307934</v>
      </c>
      <c r="BX210" s="2">
        <f t="shared" si="296"/>
        <v>4610.775176195245</v>
      </c>
      <c r="BY210" s="2">
        <f t="shared" si="296"/>
        <v>4720.519431023652</v>
      </c>
      <c r="BZ210" s="2">
        <f t="shared" si="296"/>
        <v>4830.7259200386752</v>
      </c>
      <c r="CA210" s="2">
        <f t="shared" si="296"/>
        <v>4940.7583953511039</v>
      </c>
      <c r="CB210" s="2">
        <f t="shared" si="296"/>
        <v>5050.2368125849771</v>
      </c>
      <c r="CC210" s="2">
        <f t="shared" si="296"/>
        <v>5159.3008145624308</v>
      </c>
      <c r="CD210" s="2">
        <f t="shared" si="296"/>
        <v>5269.5683723784441</v>
      </c>
    </row>
    <row r="211" spans="1:82" s="2" customFormat="1" x14ac:dyDescent="0.2">
      <c r="C211" s="2" t="s">
        <v>147</v>
      </c>
      <c r="F211" s="2" t="s">
        <v>8</v>
      </c>
      <c r="G211" s="2">
        <f t="shared" si="293"/>
        <v>1</v>
      </c>
      <c r="H211" s="2">
        <f t="shared" si="297"/>
        <v>0</v>
      </c>
      <c r="I211" s="2" t="str">
        <f t="shared" si="297"/>
        <v>emission_co2e_n2o_lsmm_indirect_anaerobic_digester|emission_co2e_n2o_lsmm_indirect_anaerobic_lagoon|emission_co2e_n2o_lsmm_indirect_composting|emission_co2e_n2o_lsmm_indirect_daily_spread|emission_co2e_n2o_lsmm_indirect_deep_bedding|emission_co2e_n2o_lsmm_indirect_dry_lot|emission_co2e_n2o_lsmm_indirect_incineration|emission_co2e_n2o_lsmm_indirect_liquid_slurry|emission_co2e_n2o_lsmm_indirect_paddock_pasture_range|emission_co2e_n2o_lsmm_indirect_poultry_manure|emission_co2e_n2o_lsmm_indirect_storage_solid</v>
      </c>
      <c r="J211" s="2">
        <f t="shared" si="297"/>
        <v>0</v>
      </c>
      <c r="K211" s="2">
        <f t="shared" si="297"/>
        <v>255.80099999999999</v>
      </c>
      <c r="L211" s="2">
        <f t="shared" si="297"/>
        <v>186.18600000000001</v>
      </c>
      <c r="M211" s="2">
        <f t="shared" si="297"/>
        <v>197.10599999999999</v>
      </c>
      <c r="N211" s="2">
        <f t="shared" si="297"/>
        <v>202.566</v>
      </c>
      <c r="O211" s="2">
        <f t="shared" si="297"/>
        <v>208.29900000000001</v>
      </c>
      <c r="P211" s="2">
        <f t="shared" si="297"/>
        <v>213.21299999999999</v>
      </c>
      <c r="Q211" s="2">
        <f t="shared" si="297"/>
        <v>219.21899999999999</v>
      </c>
      <c r="R211" s="2">
        <f t="shared" si="297"/>
        <v>224.679</v>
      </c>
      <c r="S211" s="2">
        <f t="shared" si="297"/>
        <v>230.13900000000001</v>
      </c>
      <c r="T211" s="2">
        <f t="shared" si="297"/>
        <v>235.59899999999999</v>
      </c>
      <c r="U211" s="2">
        <f t="shared" si="297"/>
        <v>241.33199999999999</v>
      </c>
      <c r="V211" s="2">
        <f t="shared" si="297"/>
        <v>246.792</v>
      </c>
      <c r="W211" s="2">
        <f t="shared" si="297"/>
        <v>252.52500000000001</v>
      </c>
      <c r="X211" s="2">
        <f t="shared" si="297"/>
        <v>276.00299999999999</v>
      </c>
      <c r="Y211" s="2">
        <f t="shared" si="297"/>
        <v>289.10700000000003</v>
      </c>
      <c r="Z211" s="2">
        <f t="shared" si="297"/>
        <v>405.13200000000001</v>
      </c>
      <c r="AA211" s="2">
        <f t="shared" si="297"/>
        <v>315.58800000000002</v>
      </c>
      <c r="AB211" s="2">
        <f t="shared" si="297"/>
        <v>328.69200000000001</v>
      </c>
      <c r="AC211" s="2">
        <f t="shared" si="297"/>
        <v>341.79599999999999</v>
      </c>
      <c r="AD211" s="2">
        <f t="shared" si="297"/>
        <v>354.9</v>
      </c>
      <c r="AE211" s="2">
        <f t="shared" si="297"/>
        <v>368.00400000000002</v>
      </c>
      <c r="AF211" s="2">
        <f t="shared" si="297"/>
        <v>381.10799999999989</v>
      </c>
      <c r="AG211" s="2">
        <f t="shared" si="297"/>
        <v>394.21199999999999</v>
      </c>
      <c r="AH211" s="2">
        <f t="shared" si="297"/>
        <v>394.21199999999999</v>
      </c>
      <c r="AI211" s="2">
        <f t="shared" si="297"/>
        <v>401.58300000000003</v>
      </c>
      <c r="AJ211" s="2">
        <f t="shared" si="297"/>
        <v>374.46078179201112</v>
      </c>
      <c r="AK211" s="2">
        <f t="shared" si="297"/>
        <v>371.32090803973563</v>
      </c>
      <c r="AL211" s="2">
        <f t="shared" si="297"/>
        <v>373.71267995018388</v>
      </c>
      <c r="AM211" s="2">
        <f t="shared" si="297"/>
        <v>376.43339394388607</v>
      </c>
      <c r="AN211" s="2">
        <f t="shared" si="297"/>
        <v>388.10534465267091</v>
      </c>
      <c r="AO211" s="2">
        <f t="shared" si="297"/>
        <v>400.89905590505231</v>
      </c>
      <c r="AP211" s="2">
        <f t="shared" si="297"/>
        <v>416.73483303123351</v>
      </c>
      <c r="AQ211" s="2">
        <f t="shared" si="297"/>
        <v>435.84650861587181</v>
      </c>
      <c r="AR211" s="2">
        <f t="shared" si="297"/>
        <v>457.82164626310117</v>
      </c>
      <c r="AS211" s="2">
        <f t="shared" si="297"/>
        <v>483.00982687053551</v>
      </c>
      <c r="AT211" s="2">
        <f t="shared" si="297"/>
        <v>510.71284112812248</v>
      </c>
      <c r="AU211" s="2">
        <f t="shared" si="297"/>
        <v>539.63540372633202</v>
      </c>
      <c r="AV211" s="2">
        <f t="shared" si="297"/>
        <v>569.88979871596712</v>
      </c>
      <c r="AW211" s="2">
        <f t="shared" si="297"/>
        <v>600.86160855438925</v>
      </c>
      <c r="AX211" s="2">
        <f t="shared" si="297"/>
        <v>631.97203089307391</v>
      </c>
      <c r="AY211" s="2">
        <f t="shared" si="297"/>
        <v>662.72905963691198</v>
      </c>
      <c r="AZ211" s="2">
        <f t="shared" si="297"/>
        <v>692.76454855218628</v>
      </c>
      <c r="BA211" s="2">
        <f t="shared" si="297"/>
        <v>721.85610245092653</v>
      </c>
      <c r="BB211" s="2">
        <f t="shared" si="297"/>
        <v>749.92767578999099</v>
      </c>
      <c r="BC211" s="2">
        <f t="shared" si="297"/>
        <v>777.0327133249624</v>
      </c>
      <c r="BD211" s="2">
        <f t="shared" si="297"/>
        <v>802.8197930811283</v>
      </c>
      <c r="BE211" s="2">
        <f t="shared" si="297"/>
        <v>827.31624328976966</v>
      </c>
      <c r="BF211" s="2">
        <f t="shared" si="297"/>
        <v>850.36884206927414</v>
      </c>
      <c r="BG211" s="2">
        <f t="shared" si="297"/>
        <v>872.17128825165901</v>
      </c>
      <c r="BH211" s="2">
        <f t="shared" si="297"/>
        <v>891.31783937091336</v>
      </c>
      <c r="BI211" s="2">
        <f t="shared" si="297"/>
        <v>904.43776526829151</v>
      </c>
      <c r="BJ211" s="2">
        <f t="shared" si="297"/>
        <v>917.96412080409948</v>
      </c>
      <c r="BK211" s="2">
        <f t="shared" si="297"/>
        <v>932.98256985090484</v>
      </c>
      <c r="BL211" s="2">
        <f t="shared" si="297"/>
        <v>948.95294219216248</v>
      </c>
      <c r="BM211" s="2">
        <f t="shared" si="297"/>
        <v>965.38415987620863</v>
      </c>
      <c r="BN211" s="2">
        <f t="shared" si="297"/>
        <v>981.89534758721857</v>
      </c>
      <c r="BO211" s="2">
        <f t="shared" si="297"/>
        <v>998.19844472311513</v>
      </c>
      <c r="BP211" s="2">
        <f t="shared" si="297"/>
        <v>1014.104664021739</v>
      </c>
      <c r="BQ211" s="2">
        <f t="shared" si="297"/>
        <v>1029.4990070117069</v>
      </c>
      <c r="BR211" s="2">
        <f t="shared" si="297"/>
        <v>1044.3039680509919</v>
      </c>
      <c r="BS211" s="2">
        <f t="shared" si="297"/>
        <v>1058.479142282052</v>
      </c>
      <c r="BT211" s="2">
        <f t="shared" si="296"/>
        <v>1072.0225759249661</v>
      </c>
      <c r="BU211" s="2">
        <f t="shared" si="296"/>
        <v>1085.359768270926</v>
      </c>
      <c r="BV211" s="2">
        <f t="shared" si="296"/>
        <v>1098.6463059124069</v>
      </c>
      <c r="BW211" s="2">
        <f t="shared" si="296"/>
        <v>1111.9860260428929</v>
      </c>
      <c r="BX211" s="2">
        <f t="shared" si="296"/>
        <v>1125.451188254264</v>
      </c>
      <c r="BY211" s="2">
        <f t="shared" si="296"/>
        <v>1139.1325847834089</v>
      </c>
      <c r="BZ211" s="2">
        <f t="shared" si="296"/>
        <v>1153.0856661614059</v>
      </c>
      <c r="CA211" s="2">
        <f t="shared" si="296"/>
        <v>1167.295500873116</v>
      </c>
      <c r="CB211" s="2">
        <f t="shared" si="296"/>
        <v>1181.827635249479</v>
      </c>
      <c r="CC211" s="2">
        <f t="shared" si="296"/>
        <v>1196.721046679274</v>
      </c>
      <c r="CD211" s="2">
        <f t="shared" si="296"/>
        <v>1212.009737428152</v>
      </c>
    </row>
    <row r="212" spans="1:82" s="2" customFormat="1" x14ac:dyDescent="0.2">
      <c r="C212" s="2" t="s">
        <v>148</v>
      </c>
      <c r="F212" s="2" t="s">
        <v>6</v>
      </c>
      <c r="G212" s="2">
        <f t="shared" si="293"/>
        <v>1</v>
      </c>
      <c r="H212" s="2">
        <f t="shared" si="297"/>
        <v>0</v>
      </c>
      <c r="I212" s="2" t="str">
        <f t="shared" si="297"/>
        <v>emission_co2e_ch4_agrc_anaerobicdom_rice</v>
      </c>
      <c r="J212" s="2">
        <f t="shared" si="297"/>
        <v>0</v>
      </c>
      <c r="K212" s="2">
        <f t="shared" si="297"/>
        <v>132.44130000000001</v>
      </c>
      <c r="L212" s="2">
        <f t="shared" si="297"/>
        <v>134.92439999999999</v>
      </c>
      <c r="M212" s="2">
        <f t="shared" si="297"/>
        <v>137.37960000000001</v>
      </c>
      <c r="N212" s="2">
        <f t="shared" si="297"/>
        <v>139.86269999999999</v>
      </c>
      <c r="O212" s="2">
        <f t="shared" si="297"/>
        <v>142.3458</v>
      </c>
      <c r="P212" s="2">
        <f t="shared" si="297"/>
        <v>144.8289</v>
      </c>
      <c r="Q212" s="2">
        <f t="shared" si="297"/>
        <v>147.2841</v>
      </c>
      <c r="R212" s="2">
        <f t="shared" si="297"/>
        <v>148.3443</v>
      </c>
      <c r="S212" s="2">
        <f t="shared" si="297"/>
        <v>149.34870000000001</v>
      </c>
      <c r="T212" s="2">
        <f t="shared" si="297"/>
        <v>150.29730000000001</v>
      </c>
      <c r="U212" s="2">
        <f t="shared" si="297"/>
        <v>151.24590000000001</v>
      </c>
      <c r="V212" s="2">
        <f t="shared" si="297"/>
        <v>152.1387</v>
      </c>
      <c r="W212" s="2">
        <f t="shared" si="297"/>
        <v>153.03149999999999</v>
      </c>
      <c r="X212" s="2">
        <f t="shared" si="297"/>
        <v>153.86850000000001</v>
      </c>
      <c r="Y212" s="2">
        <f t="shared" si="297"/>
        <v>153.11519999999999</v>
      </c>
      <c r="Z212" s="2">
        <f t="shared" si="297"/>
        <v>152.30609999999999</v>
      </c>
      <c r="AA212" s="2">
        <f t="shared" si="297"/>
        <v>151.41329999999999</v>
      </c>
      <c r="AB212" s="2">
        <f t="shared" si="297"/>
        <v>150.46469999999999</v>
      </c>
      <c r="AC212" s="2">
        <f t="shared" si="297"/>
        <v>149.4324</v>
      </c>
      <c r="AD212" s="2">
        <f t="shared" si="297"/>
        <v>147.56309999999999</v>
      </c>
      <c r="AE212" s="2">
        <f t="shared" si="297"/>
        <v>145.61009999999999</v>
      </c>
      <c r="AF212" s="2">
        <f t="shared" si="297"/>
        <v>142.59690000000001</v>
      </c>
      <c r="AG212" s="2">
        <f t="shared" si="297"/>
        <v>186.8184</v>
      </c>
      <c r="AH212" s="2">
        <f t="shared" si="297"/>
        <v>271.2996</v>
      </c>
      <c r="AI212" s="2">
        <f t="shared" si="297"/>
        <v>239.2704</v>
      </c>
      <c r="AJ212" s="2">
        <f t="shared" si="297"/>
        <v>221.743572946683</v>
      </c>
      <c r="AK212" s="2">
        <f t="shared" si="297"/>
        <v>222.65836486915001</v>
      </c>
      <c r="AL212" s="2">
        <f t="shared" si="297"/>
        <v>223.543507182871</v>
      </c>
      <c r="AM212" s="2">
        <f t="shared" si="297"/>
        <v>224.401305489458</v>
      </c>
      <c r="AN212" s="2">
        <f t="shared" si="297"/>
        <v>225.23358669708099</v>
      </c>
      <c r="AO212" s="2">
        <f t="shared" si="297"/>
        <v>226.04212078160899</v>
      </c>
      <c r="AP212" s="2">
        <f t="shared" si="297"/>
        <v>226.828543030828</v>
      </c>
      <c r="AQ212" s="2">
        <f t="shared" si="297"/>
        <v>227.59425617629901</v>
      </c>
      <c r="AR212" s="2">
        <f t="shared" si="297"/>
        <v>228.340716605914</v>
      </c>
      <c r="AS212" s="2">
        <f t="shared" si="297"/>
        <v>229.04955900720401</v>
      </c>
      <c r="AT212" s="2">
        <f t="shared" si="297"/>
        <v>229.654246265914</v>
      </c>
      <c r="AU212" s="2">
        <f t="shared" si="297"/>
        <v>230.085908664127</v>
      </c>
      <c r="AV212" s="2">
        <f t="shared" si="297"/>
        <v>230.29010979599599</v>
      </c>
      <c r="AW212" s="2">
        <f t="shared" si="297"/>
        <v>230.23017747875099</v>
      </c>
      <c r="AX212" s="2">
        <f t="shared" si="297"/>
        <v>229.89050171854399</v>
      </c>
      <c r="AY212" s="2">
        <f t="shared" si="297"/>
        <v>229.277606397379</v>
      </c>
      <c r="AZ212" s="2">
        <f t="shared" si="297"/>
        <v>228.419174518293</v>
      </c>
      <c r="BA212" s="2">
        <f t="shared" si="297"/>
        <v>227.361520459708</v>
      </c>
      <c r="BB212" s="2">
        <f t="shared" si="297"/>
        <v>226.166014295753</v>
      </c>
      <c r="BC212" s="2">
        <f t="shared" si="297"/>
        <v>224.90495233557499</v>
      </c>
      <c r="BD212" s="2">
        <f t="shared" si="297"/>
        <v>223.65007075894599</v>
      </c>
      <c r="BE212" s="2">
        <f t="shared" si="297"/>
        <v>222.47437556474799</v>
      </c>
      <c r="BF212" s="2">
        <f t="shared" si="297"/>
        <v>221.419865189512</v>
      </c>
      <c r="BG212" s="2">
        <f t="shared" si="297"/>
        <v>220.55044994249499</v>
      </c>
      <c r="BH212" s="2">
        <f t="shared" si="297"/>
        <v>219.92183815641701</v>
      </c>
      <c r="BI212" s="2">
        <f t="shared" si="297"/>
        <v>219.57939401193499</v>
      </c>
      <c r="BJ212" s="2">
        <f t="shared" si="297"/>
        <v>219.51674395215201</v>
      </c>
      <c r="BK212" s="2">
        <f t="shared" si="297"/>
        <v>219.77038726548699</v>
      </c>
      <c r="BL212" s="2">
        <f t="shared" si="297"/>
        <v>220.365087165858</v>
      </c>
      <c r="BM212" s="2">
        <f t="shared" si="297"/>
        <v>221.313012667305</v>
      </c>
      <c r="BN212" s="2">
        <f t="shared" si="297"/>
        <v>222.61705995193299</v>
      </c>
      <c r="BO212" s="2">
        <f t="shared" si="297"/>
        <v>224.27320461694501</v>
      </c>
      <c r="BP212" s="2">
        <f t="shared" si="297"/>
        <v>226.2714012285</v>
      </c>
      <c r="BQ212" s="2">
        <f t="shared" si="297"/>
        <v>228.59635321944401</v>
      </c>
      <c r="BR212" s="2">
        <f t="shared" si="297"/>
        <v>231.225875347205</v>
      </c>
      <c r="BS212" s="2">
        <f t="shared" si="297"/>
        <v>234.13274053471201</v>
      </c>
      <c r="BT212" s="2">
        <f t="shared" si="296"/>
        <v>237.28806996627901</v>
      </c>
      <c r="BU212" s="2">
        <f t="shared" si="296"/>
        <v>240.671423322148</v>
      </c>
      <c r="BV212" s="2">
        <f t="shared" si="296"/>
        <v>244.26145790287799</v>
      </c>
      <c r="BW212" s="2">
        <f t="shared" si="296"/>
        <v>248.034570414585</v>
      </c>
      <c r="BX212" s="2">
        <f t="shared" si="296"/>
        <v>251.965181200502</v>
      </c>
      <c r="BY212" s="2">
        <f t="shared" si="296"/>
        <v>256.03349441951599</v>
      </c>
      <c r="BZ212" s="2">
        <f t="shared" si="296"/>
        <v>260.22189000279701</v>
      </c>
      <c r="CA212" s="2">
        <f t="shared" si="296"/>
        <v>264.508215438381</v>
      </c>
      <c r="CB212" s="2">
        <f t="shared" si="296"/>
        <v>268.87452898909402</v>
      </c>
      <c r="CC212" s="2">
        <f t="shared" si="296"/>
        <v>273.30351689253098</v>
      </c>
      <c r="CD212" s="2">
        <f t="shared" si="296"/>
        <v>277.78023956028397</v>
      </c>
    </row>
    <row r="213" spans="1:82" s="8" customFormat="1" x14ac:dyDescent="0.2">
      <c r="C213" s="8" t="s">
        <v>194</v>
      </c>
      <c r="F213" s="8" t="s">
        <v>8</v>
      </c>
      <c r="AF213" s="8">
        <f t="shared" si="297"/>
        <v>-99999</v>
      </c>
      <c r="AG213" s="8">
        <f t="shared" si="297"/>
        <v>-99999</v>
      </c>
      <c r="AH213" s="8">
        <f t="shared" si="297"/>
        <v>-99999</v>
      </c>
      <c r="AI213" s="8">
        <f t="shared" si="297"/>
        <v>-99999</v>
      </c>
      <c r="AJ213" s="8">
        <f t="shared" si="297"/>
        <v>1362.3648642176099</v>
      </c>
      <c r="AK213" s="8">
        <f t="shared" si="297"/>
        <v>1372.06506095696</v>
      </c>
      <c r="AL213" s="8">
        <f t="shared" si="297"/>
        <v>1377.7772579965099</v>
      </c>
      <c r="AM213" s="8">
        <f t="shared" si="297"/>
        <v>1383.9837369919101</v>
      </c>
      <c r="AN213" s="8">
        <f t="shared" si="297"/>
        <v>1427.7279619998101</v>
      </c>
      <c r="AO213" s="8">
        <f t="shared" si="297"/>
        <v>1475.62480238682</v>
      </c>
      <c r="AP213" s="8">
        <f t="shared" si="297"/>
        <v>1535.71682582619</v>
      </c>
      <c r="AQ213" s="8">
        <f t="shared" si="297"/>
        <v>1607.92239172943</v>
      </c>
      <c r="AR213" s="8">
        <f t="shared" si="297"/>
        <v>1691.29128643682</v>
      </c>
      <c r="AS213" s="8">
        <f t="shared" si="297"/>
        <v>1787.5453968670699</v>
      </c>
      <c r="AT213" s="8">
        <f t="shared" si="297"/>
        <v>1894.58584789727</v>
      </c>
      <c r="AU213" s="8">
        <f t="shared" si="297"/>
        <v>2009.1642301890199</v>
      </c>
      <c r="AV213" s="8">
        <f t="shared" si="297"/>
        <v>2129.5043042183602</v>
      </c>
      <c r="AW213" s="8">
        <f t="shared" si="297"/>
        <v>2252.90527140731</v>
      </c>
      <c r="AX213" s="8">
        <f t="shared" si="297"/>
        <v>2376.7877054054402</v>
      </c>
      <c r="AY213" s="8">
        <f t="shared" si="297"/>
        <v>2498.9207225249902</v>
      </c>
      <c r="AZ213" s="8">
        <f t="shared" si="297"/>
        <v>2617.6011354018101</v>
      </c>
      <c r="BA213" s="8">
        <f t="shared" si="297"/>
        <v>2731.75765621352</v>
      </c>
      <c r="BB213" s="8">
        <f t="shared" si="297"/>
        <v>2840.9646942916602</v>
      </c>
      <c r="BC213" s="8">
        <f t="shared" si="297"/>
        <v>2945.3771916144401</v>
      </c>
      <c r="BD213" s="8">
        <f t="shared" si="297"/>
        <v>3044.6586654714201</v>
      </c>
      <c r="BE213" s="8">
        <f t="shared" si="297"/>
        <v>3139.0659275926901</v>
      </c>
      <c r="BF213" s="8">
        <f t="shared" si="297"/>
        <v>3228.7232829848899</v>
      </c>
      <c r="BG213" s="8">
        <f t="shared" si="297"/>
        <v>3314.02608044814</v>
      </c>
      <c r="BH213" s="8">
        <f t="shared" si="297"/>
        <v>3388.6620389682598</v>
      </c>
      <c r="BI213" s="8">
        <f t="shared" si="297"/>
        <v>3437.1422035768501</v>
      </c>
      <c r="BJ213" s="8">
        <f t="shared" si="297"/>
        <v>3478.1417478338099</v>
      </c>
      <c r="BK213" s="8">
        <f t="shared" si="297"/>
        <v>3526.1531807677702</v>
      </c>
      <c r="BL213" s="8">
        <f t="shared" si="297"/>
        <v>3578.7417922191498</v>
      </c>
      <c r="BM213" s="8">
        <f t="shared" si="297"/>
        <v>3633.72992433221</v>
      </c>
      <c r="BN213" s="8">
        <f t="shared" si="297"/>
        <v>3689.4091830183502</v>
      </c>
      <c r="BO213" s="8">
        <f t="shared" si="297"/>
        <v>3744.47868698401</v>
      </c>
      <c r="BP213" s="8">
        <f t="shared" si="297"/>
        <v>3798.1036773451401</v>
      </c>
      <c r="BQ213" s="8">
        <f t="shared" si="297"/>
        <v>3849.7976992511099</v>
      </c>
      <c r="BR213" s="8">
        <f t="shared" si="297"/>
        <v>3899.2881596094198</v>
      </c>
      <c r="BS213" s="8">
        <f t="shared" ref="BS213:CD214" si="298">CA419</f>
        <v>3946.4649069023999</v>
      </c>
      <c r="BT213" s="8">
        <f t="shared" si="298"/>
        <v>3991.3648723797901</v>
      </c>
      <c r="BU213" s="8">
        <f t="shared" si="298"/>
        <v>4035.1095264243199</v>
      </c>
      <c r="BV213" s="8">
        <f t="shared" si="298"/>
        <v>4078.4173601201801</v>
      </c>
      <c r="BW213" s="8">
        <f t="shared" si="298"/>
        <v>4121.7915424522098</v>
      </c>
      <c r="BX213" s="8">
        <f t="shared" si="298"/>
        <v>4165.5943933050903</v>
      </c>
      <c r="BY213" s="8">
        <f t="shared" si="298"/>
        <v>4210.1933535143298</v>
      </c>
      <c r="BZ213" s="8">
        <f t="shared" si="298"/>
        <v>4255.8306974027701</v>
      </c>
      <c r="CA213" s="8">
        <f t="shared" si="298"/>
        <v>4302.4947751848194</v>
      </c>
      <c r="CB213" s="8">
        <f t="shared" si="298"/>
        <v>4350.4688081614586</v>
      </c>
      <c r="CC213" s="8">
        <f t="shared" si="298"/>
        <v>4399.9445420961501</v>
      </c>
      <c r="CD213" s="8">
        <f t="shared" si="298"/>
        <v>4451.0749181334104</v>
      </c>
    </row>
    <row r="214" spans="1:82" s="8" customFormat="1" x14ac:dyDescent="0.2">
      <c r="C214" s="8" t="s">
        <v>195</v>
      </c>
      <c r="F214" s="8" t="s">
        <v>6</v>
      </c>
      <c r="G214" s="8">
        <f t="shared" si="293"/>
        <v>1</v>
      </c>
      <c r="H214" s="8">
        <f t="shared" ref="H214:BS214" si="299">P420</f>
        <v>0</v>
      </c>
      <c r="I214" s="8" t="str">
        <f t="shared" si="299"/>
        <v>emission_co2e_ch4_lndu_wetlands</v>
      </c>
      <c r="J214" s="8">
        <f t="shared" si="299"/>
        <v>0</v>
      </c>
      <c r="K214" s="8">
        <f t="shared" si="299"/>
        <v>0</v>
      </c>
      <c r="L214" s="8">
        <f t="shared" si="299"/>
        <v>0</v>
      </c>
      <c r="M214" s="8">
        <f t="shared" si="299"/>
        <v>0</v>
      </c>
      <c r="N214" s="8">
        <f t="shared" si="299"/>
        <v>0</v>
      </c>
      <c r="O214" s="8">
        <f t="shared" si="299"/>
        <v>0</v>
      </c>
      <c r="P214" s="8">
        <f t="shared" si="299"/>
        <v>0</v>
      </c>
      <c r="Q214" s="8">
        <f t="shared" si="299"/>
        <v>0</v>
      </c>
      <c r="R214" s="8">
        <f t="shared" si="299"/>
        <v>0</v>
      </c>
      <c r="S214" s="8">
        <f t="shared" si="299"/>
        <v>0</v>
      </c>
      <c r="T214" s="8">
        <f t="shared" si="299"/>
        <v>0</v>
      </c>
      <c r="U214" s="8">
        <f t="shared" si="299"/>
        <v>0</v>
      </c>
      <c r="V214" s="8">
        <f t="shared" si="299"/>
        <v>0</v>
      </c>
      <c r="W214" s="8">
        <f t="shared" si="299"/>
        <v>0</v>
      </c>
      <c r="X214" s="8">
        <f t="shared" si="299"/>
        <v>0</v>
      </c>
      <c r="Y214" s="8">
        <f t="shared" si="299"/>
        <v>0</v>
      </c>
      <c r="Z214" s="8">
        <f t="shared" si="299"/>
        <v>0</v>
      </c>
      <c r="AA214" s="8">
        <f t="shared" si="299"/>
        <v>0</v>
      </c>
      <c r="AB214" s="8">
        <f t="shared" si="299"/>
        <v>0</v>
      </c>
      <c r="AC214" s="8">
        <f t="shared" si="299"/>
        <v>0</v>
      </c>
      <c r="AD214" s="8">
        <f t="shared" si="299"/>
        <v>0</v>
      </c>
      <c r="AE214" s="8">
        <f t="shared" si="299"/>
        <v>0</v>
      </c>
      <c r="AF214" s="8">
        <f t="shared" si="299"/>
        <v>0</v>
      </c>
      <c r="AG214" s="8">
        <f t="shared" si="299"/>
        <v>0</v>
      </c>
      <c r="AH214" s="8">
        <f t="shared" si="299"/>
        <v>0</v>
      </c>
      <c r="AI214" s="8">
        <f t="shared" si="299"/>
        <v>0</v>
      </c>
      <c r="AJ214" s="8">
        <f t="shared" si="299"/>
        <v>0</v>
      </c>
      <c r="AK214" s="8">
        <f t="shared" si="299"/>
        <v>0</v>
      </c>
      <c r="AL214" s="8">
        <f t="shared" si="299"/>
        <v>0</v>
      </c>
      <c r="AM214" s="8">
        <f t="shared" si="299"/>
        <v>0</v>
      </c>
      <c r="AN214" s="8">
        <f t="shared" si="299"/>
        <v>0</v>
      </c>
      <c r="AO214" s="8">
        <f t="shared" si="299"/>
        <v>0</v>
      </c>
      <c r="AP214" s="8">
        <f t="shared" si="299"/>
        <v>0</v>
      </c>
      <c r="AQ214" s="8">
        <f t="shared" si="299"/>
        <v>0</v>
      </c>
      <c r="AR214" s="8">
        <f t="shared" si="299"/>
        <v>0</v>
      </c>
      <c r="AS214" s="8">
        <f t="shared" si="299"/>
        <v>0</v>
      </c>
      <c r="AT214" s="8">
        <f t="shared" si="299"/>
        <v>0</v>
      </c>
      <c r="AU214" s="8">
        <f t="shared" si="299"/>
        <v>0</v>
      </c>
      <c r="AV214" s="8">
        <f t="shared" si="299"/>
        <v>0</v>
      </c>
      <c r="AW214" s="8">
        <f t="shared" si="299"/>
        <v>0</v>
      </c>
      <c r="AX214" s="8">
        <f t="shared" si="299"/>
        <v>0</v>
      </c>
      <c r="AY214" s="8">
        <f t="shared" si="299"/>
        <v>0</v>
      </c>
      <c r="AZ214" s="8">
        <f t="shared" si="299"/>
        <v>0</v>
      </c>
      <c r="BA214" s="8">
        <f t="shared" si="299"/>
        <v>0</v>
      </c>
      <c r="BB214" s="8">
        <f t="shared" si="299"/>
        <v>0</v>
      </c>
      <c r="BC214" s="8">
        <f t="shared" si="299"/>
        <v>0</v>
      </c>
      <c r="BD214" s="8">
        <f t="shared" si="299"/>
        <v>0</v>
      </c>
      <c r="BE214" s="8">
        <f t="shared" si="299"/>
        <v>0</v>
      </c>
      <c r="BF214" s="8">
        <f t="shared" si="299"/>
        <v>0</v>
      </c>
      <c r="BG214" s="8">
        <f t="shared" si="299"/>
        <v>0</v>
      </c>
      <c r="BH214" s="8">
        <f t="shared" si="299"/>
        <v>0</v>
      </c>
      <c r="BI214" s="8">
        <f t="shared" si="299"/>
        <v>0</v>
      </c>
      <c r="BJ214" s="8">
        <f t="shared" si="299"/>
        <v>0</v>
      </c>
      <c r="BK214" s="8">
        <f t="shared" si="299"/>
        <v>0</v>
      </c>
      <c r="BL214" s="8">
        <f t="shared" si="299"/>
        <v>0</v>
      </c>
      <c r="BM214" s="8">
        <f t="shared" si="299"/>
        <v>0</v>
      </c>
      <c r="BN214" s="8">
        <f t="shared" si="299"/>
        <v>0</v>
      </c>
      <c r="BO214" s="8">
        <f t="shared" si="299"/>
        <v>0</v>
      </c>
      <c r="BP214" s="8">
        <f t="shared" si="299"/>
        <v>0</v>
      </c>
      <c r="BQ214" s="8">
        <f t="shared" si="299"/>
        <v>0</v>
      </c>
      <c r="BR214" s="8">
        <f t="shared" si="299"/>
        <v>0</v>
      </c>
      <c r="BS214" s="8">
        <f t="shared" si="299"/>
        <v>0</v>
      </c>
      <c r="BT214" s="8">
        <f t="shared" si="298"/>
        <v>0</v>
      </c>
      <c r="BU214" s="8">
        <f t="shared" si="298"/>
        <v>0</v>
      </c>
      <c r="BV214" s="8">
        <f t="shared" si="298"/>
        <v>0</v>
      </c>
      <c r="BW214" s="8">
        <f t="shared" si="298"/>
        <v>0</v>
      </c>
      <c r="BX214" s="8">
        <f t="shared" si="298"/>
        <v>0</v>
      </c>
      <c r="BY214" s="8">
        <f t="shared" si="298"/>
        <v>0</v>
      </c>
      <c r="BZ214" s="8">
        <f t="shared" si="298"/>
        <v>0</v>
      </c>
      <c r="CA214" s="8">
        <f t="shared" si="298"/>
        <v>0</v>
      </c>
      <c r="CB214" s="8">
        <f t="shared" si="298"/>
        <v>0</v>
      </c>
      <c r="CC214" s="8">
        <f t="shared" si="298"/>
        <v>0</v>
      </c>
      <c r="CD214" s="8">
        <f t="shared" si="298"/>
        <v>0</v>
      </c>
    </row>
    <row r="215" spans="1:82" s="7" customFormat="1" x14ac:dyDescent="0.2">
      <c r="B215" s="7" t="s">
        <v>152</v>
      </c>
    </row>
    <row r="216" spans="1:82" s="8" customFormat="1" x14ac:dyDescent="0.2">
      <c r="C216" s="8" t="s">
        <v>153</v>
      </c>
      <c r="F216" s="8" t="s">
        <v>7</v>
      </c>
      <c r="G216" s="8">
        <f t="shared" ref="G216:AL216" si="300">O421</f>
        <v>0</v>
      </c>
      <c r="H216" s="8">
        <f t="shared" si="300"/>
        <v>0</v>
      </c>
      <c r="I216" s="8" t="str">
        <f t="shared" si="300"/>
        <v>emission_co2e_co2_frst_harvested_wood_products</v>
      </c>
      <c r="J216" s="8">
        <f t="shared" si="300"/>
        <v>0</v>
      </c>
      <c r="K216" s="8">
        <f t="shared" si="300"/>
        <v>0</v>
      </c>
      <c r="L216" s="8">
        <f t="shared" si="300"/>
        <v>0</v>
      </c>
      <c r="M216" s="8">
        <f t="shared" si="300"/>
        <v>0</v>
      </c>
      <c r="N216" s="8">
        <f t="shared" si="300"/>
        <v>0</v>
      </c>
      <c r="O216" s="8">
        <f t="shared" si="300"/>
        <v>0</v>
      </c>
      <c r="P216" s="8">
        <f t="shared" si="300"/>
        <v>0</v>
      </c>
      <c r="Q216" s="8">
        <f t="shared" si="300"/>
        <v>0</v>
      </c>
      <c r="R216" s="8">
        <f t="shared" si="300"/>
        <v>0</v>
      </c>
      <c r="S216" s="8">
        <f t="shared" si="300"/>
        <v>0</v>
      </c>
      <c r="T216" s="8">
        <f t="shared" si="300"/>
        <v>0</v>
      </c>
      <c r="U216" s="8">
        <f t="shared" si="300"/>
        <v>0</v>
      </c>
      <c r="V216" s="8">
        <f t="shared" si="300"/>
        <v>0</v>
      </c>
      <c r="W216" s="8">
        <f t="shared" si="300"/>
        <v>0</v>
      </c>
      <c r="X216" s="8">
        <f t="shared" si="300"/>
        <v>0</v>
      </c>
      <c r="Y216" s="8">
        <f t="shared" si="300"/>
        <v>0</v>
      </c>
      <c r="Z216" s="8">
        <f t="shared" si="300"/>
        <v>0</v>
      </c>
      <c r="AA216" s="8">
        <f t="shared" si="300"/>
        <v>0</v>
      </c>
      <c r="AB216" s="8">
        <f t="shared" si="300"/>
        <v>0</v>
      </c>
      <c r="AC216" s="8">
        <f t="shared" si="300"/>
        <v>0</v>
      </c>
      <c r="AD216" s="8">
        <f t="shared" si="300"/>
        <v>0</v>
      </c>
      <c r="AE216" s="8">
        <f t="shared" si="300"/>
        <v>0</v>
      </c>
      <c r="AF216" s="8">
        <f t="shared" si="300"/>
        <v>0</v>
      </c>
      <c r="AG216" s="8">
        <f t="shared" si="300"/>
        <v>0</v>
      </c>
      <c r="AH216" s="8">
        <f t="shared" si="300"/>
        <v>0</v>
      </c>
      <c r="AI216" s="8">
        <f t="shared" si="300"/>
        <v>0</v>
      </c>
      <c r="AJ216" s="8">
        <f t="shared" si="300"/>
        <v>-1020.47662401917</v>
      </c>
      <c r="AK216" s="8">
        <f t="shared" si="300"/>
        <v>-693.27427500759802</v>
      </c>
      <c r="AL216" s="8">
        <f t="shared" si="300"/>
        <v>-793.68380205537403</v>
      </c>
      <c r="AM216" s="8">
        <f t="shared" ref="AM216:BR216" si="301">AU421</f>
        <v>-804.42628561444496</v>
      </c>
      <c r="AN216" s="8">
        <f t="shared" si="301"/>
        <v>-823.17525586280908</v>
      </c>
      <c r="AO216" s="8">
        <f t="shared" si="301"/>
        <v>-840.77733589811601</v>
      </c>
      <c r="AP216" s="8">
        <f t="shared" si="301"/>
        <v>-857.57417474693796</v>
      </c>
      <c r="AQ216" s="8">
        <f t="shared" si="301"/>
        <v>-873.80830880572205</v>
      </c>
      <c r="AR216" s="8">
        <f t="shared" si="301"/>
        <v>-921.85425066632899</v>
      </c>
      <c r="AS216" s="8">
        <f t="shared" si="301"/>
        <v>-968.28662036988305</v>
      </c>
      <c r="AT216" s="8">
        <f t="shared" si="301"/>
        <v>-1027.9627802205</v>
      </c>
      <c r="AU216" s="8">
        <f t="shared" si="301"/>
        <v>-1076.7759178812901</v>
      </c>
      <c r="AV216" s="8">
        <f t="shared" si="301"/>
        <v>-1136.27156586776</v>
      </c>
      <c r="AW216" s="8">
        <f t="shared" si="301"/>
        <v>-1209.9535632739301</v>
      </c>
      <c r="AX216" s="8">
        <f t="shared" si="301"/>
        <v>-1292.5945389624101</v>
      </c>
      <c r="AY216" s="8">
        <f t="shared" si="301"/>
        <v>-1379.6302010396701</v>
      </c>
      <c r="AZ216" s="8">
        <f t="shared" si="301"/>
        <v>-1466.9953739365901</v>
      </c>
      <c r="BA216" s="8">
        <f t="shared" si="301"/>
        <v>-1551.05536510094</v>
      </c>
      <c r="BB216" s="8">
        <f t="shared" si="301"/>
        <v>-1628.6053889432101</v>
      </c>
      <c r="BC216" s="8">
        <f t="shared" si="301"/>
        <v>-1696.9160081218199</v>
      </c>
      <c r="BD216" s="8">
        <f t="shared" si="301"/>
        <v>-1753.8056774362999</v>
      </c>
      <c r="BE216" s="8">
        <f t="shared" si="301"/>
        <v>-1797.7237100252401</v>
      </c>
      <c r="BF216" s="8">
        <f t="shared" si="301"/>
        <v>-1827.82919021163</v>
      </c>
      <c r="BG216" s="8">
        <f t="shared" si="301"/>
        <v>-1856.132556757</v>
      </c>
      <c r="BH216" s="8">
        <f t="shared" si="301"/>
        <v>-1881.5153407384701</v>
      </c>
      <c r="BI216" s="8">
        <f t="shared" si="301"/>
        <v>-1902.16758283738</v>
      </c>
      <c r="BJ216" s="8">
        <f t="shared" si="301"/>
        <v>-1917.35847834785</v>
      </c>
      <c r="BK216" s="8">
        <f t="shared" si="301"/>
        <v>-1926.4039029728599</v>
      </c>
      <c r="BL216" s="8">
        <f t="shared" si="301"/>
        <v>-1935.5394301962499</v>
      </c>
      <c r="BM216" s="8">
        <f t="shared" si="301"/>
        <v>-1944.28169130488</v>
      </c>
      <c r="BN216" s="8">
        <f t="shared" si="301"/>
        <v>-1952.23349646422</v>
      </c>
      <c r="BO216" s="8">
        <f t="shared" si="301"/>
        <v>-1959.0581653587501</v>
      </c>
      <c r="BP216" s="8">
        <f t="shared" si="301"/>
        <v>-1964.4615660591401</v>
      </c>
      <c r="BQ216" s="8">
        <f t="shared" si="301"/>
        <v>-1968.17962722228</v>
      </c>
      <c r="BR216" s="8">
        <f t="shared" si="301"/>
        <v>-1969.96974331409</v>
      </c>
      <c r="BS216" s="8">
        <f t="shared" ref="BS216:CX216" si="302">CA421</f>
        <v>-1969.60495518173</v>
      </c>
      <c r="BT216" s="8">
        <f t="shared" si="302"/>
        <v>-1966.8701151918699</v>
      </c>
      <c r="BU216" s="8">
        <f t="shared" si="302"/>
        <v>-1961.5594770279599</v>
      </c>
      <c r="BV216" s="8">
        <f t="shared" si="302"/>
        <v>-1958.2721181474601</v>
      </c>
      <c r="BW216" s="8">
        <f t="shared" si="302"/>
        <v>-1956.79770001618</v>
      </c>
      <c r="BX216" s="8">
        <f t="shared" si="302"/>
        <v>-1956.9866579171501</v>
      </c>
      <c r="BY216" s="8">
        <f t="shared" si="302"/>
        <v>-1958.7326873937</v>
      </c>
      <c r="BZ216" s="8">
        <f t="shared" si="302"/>
        <v>-1961.96036144974</v>
      </c>
      <c r="CA216" s="8">
        <f t="shared" si="302"/>
        <v>-1966.61637601185</v>
      </c>
      <c r="CB216" s="8">
        <f t="shared" si="302"/>
        <v>-1972.66336123407</v>
      </c>
      <c r="CC216" s="8">
        <f t="shared" si="302"/>
        <v>-1980.07550740538</v>
      </c>
      <c r="CD216" s="8">
        <f t="shared" si="302"/>
        <v>-1988.83547425851</v>
      </c>
    </row>
    <row r="217" spans="1:82" s="1" customFormat="1" ht="22" x14ac:dyDescent="0.3">
      <c r="A217" s="1" t="s">
        <v>155</v>
      </c>
      <c r="G217" s="1">
        <f>SUM(G218,G221,G225,G229)</f>
        <v>10</v>
      </c>
      <c r="H217" s="1">
        <f t="shared" ref="H217:BS217" si="303">SUM(H218,H221,H225,H229)</f>
        <v>0</v>
      </c>
      <c r="I217" s="1">
        <f t="shared" si="303"/>
        <v>0</v>
      </c>
      <c r="J217" s="1">
        <f t="shared" si="303"/>
        <v>0</v>
      </c>
      <c r="K217" s="1">
        <f t="shared" si="303"/>
        <v>6691.0041000000001</v>
      </c>
      <c r="L217" s="1">
        <f t="shared" si="303"/>
        <v>7175.9573999999993</v>
      </c>
      <c r="M217" s="1">
        <f t="shared" si="303"/>
        <v>7691.2719999999999</v>
      </c>
      <c r="N217" s="1">
        <f t="shared" si="303"/>
        <v>8145.6001000000015</v>
      </c>
      <c r="O217" s="1">
        <f t="shared" si="303"/>
        <v>8577.107</v>
      </c>
      <c r="P217" s="1">
        <f t="shared" si="303"/>
        <v>9463.4645999999993</v>
      </c>
      <c r="Q217" s="1">
        <f t="shared" si="303"/>
        <v>9311.8015999999989</v>
      </c>
      <c r="R217" s="1">
        <f t="shared" si="303"/>
        <v>9859.2688999999991</v>
      </c>
      <c r="S217" s="1">
        <f t="shared" si="303"/>
        <v>10222.253399999998</v>
      </c>
      <c r="T217" s="1">
        <f t="shared" si="303"/>
        <v>10565.974900000001</v>
      </c>
      <c r="U217" s="1">
        <f t="shared" si="303"/>
        <v>10955.1515</v>
      </c>
      <c r="V217" s="1">
        <f t="shared" si="303"/>
        <v>11304.866999999998</v>
      </c>
      <c r="W217" s="1">
        <f t="shared" si="303"/>
        <v>11660.944299999999</v>
      </c>
      <c r="X217" s="1">
        <f t="shared" si="303"/>
        <v>12226.530500000001</v>
      </c>
      <c r="Y217" s="1">
        <f t="shared" si="303"/>
        <v>12959.076399999998</v>
      </c>
      <c r="Z217" s="1">
        <f t="shared" si="303"/>
        <v>13144.668699999998</v>
      </c>
      <c r="AA217" s="1">
        <f t="shared" si="303"/>
        <v>13454.214599999999</v>
      </c>
      <c r="AB217" s="1">
        <f t="shared" si="303"/>
        <v>13718.9571</v>
      </c>
      <c r="AC217" s="1">
        <f t="shared" si="303"/>
        <v>13877.219799999999</v>
      </c>
      <c r="AD217" s="1">
        <f t="shared" si="303"/>
        <v>14445.924199999999</v>
      </c>
      <c r="AE217" s="1">
        <f t="shared" si="303"/>
        <v>14591.802599999999</v>
      </c>
      <c r="AF217" s="1">
        <f t="shared" si="303"/>
        <v>14957.126099999998</v>
      </c>
      <c r="AG217" s="1">
        <f t="shared" si="303"/>
        <v>15367.9251</v>
      </c>
      <c r="AH217" s="1">
        <f t="shared" si="303"/>
        <v>15789.5568</v>
      </c>
      <c r="AI217" s="1">
        <f t="shared" si="303"/>
        <v>13513.8478</v>
      </c>
      <c r="AJ217" s="1">
        <f t="shared" si="303"/>
        <v>13794.516669801227</v>
      </c>
      <c r="AK217" s="1">
        <f t="shared" si="303"/>
        <v>14428.217821218956</v>
      </c>
      <c r="AL217" s="1">
        <f t="shared" si="303"/>
        <v>15090.747724689711</v>
      </c>
      <c r="AM217" s="1">
        <f t="shared" si="303"/>
        <v>15791.516388682247</v>
      </c>
      <c r="AN217" s="1">
        <f t="shared" si="303"/>
        <v>16537.165544365103</v>
      </c>
      <c r="AO217" s="1">
        <f t="shared" si="303"/>
        <v>17339.128913721197</v>
      </c>
      <c r="AP217" s="1">
        <f t="shared" si="303"/>
        <v>18066.846678354093</v>
      </c>
      <c r="AQ217" s="1">
        <f t="shared" si="303"/>
        <v>18870.338241632548</v>
      </c>
      <c r="AR217" s="1">
        <f t="shared" si="303"/>
        <v>19733.548803901391</v>
      </c>
      <c r="AS217" s="1">
        <f t="shared" si="303"/>
        <v>20655.685436131258</v>
      </c>
      <c r="AT217" s="1">
        <f t="shared" si="303"/>
        <v>21616.810001723552</v>
      </c>
      <c r="AU217" s="1">
        <f t="shared" si="303"/>
        <v>22558.876800143313</v>
      </c>
      <c r="AV217" s="1">
        <f t="shared" si="303"/>
        <v>23535.526647892591</v>
      </c>
      <c r="AW217" s="1">
        <f t="shared" si="303"/>
        <v>24547.863423440293</v>
      </c>
      <c r="AX217" s="1">
        <f t="shared" si="303"/>
        <v>25597.005492375058</v>
      </c>
      <c r="AY217" s="1">
        <f t="shared" si="303"/>
        <v>26684.179256384468</v>
      </c>
      <c r="AZ217" s="1">
        <f t="shared" si="303"/>
        <v>27810.321162978275</v>
      </c>
      <c r="BA217" s="1">
        <f t="shared" si="303"/>
        <v>28976.830218922638</v>
      </c>
      <c r="BB217" s="1">
        <f t="shared" si="303"/>
        <v>30184.907888199981</v>
      </c>
      <c r="BC217" s="1">
        <f t="shared" si="303"/>
        <v>31435.772620213967</v>
      </c>
      <c r="BD217" s="1">
        <f t="shared" si="303"/>
        <v>32698.808849287543</v>
      </c>
      <c r="BE217" s="1">
        <f t="shared" si="303"/>
        <v>33968.067246605919</v>
      </c>
      <c r="BF217" s="1">
        <f t="shared" si="303"/>
        <v>35213.810697847301</v>
      </c>
      <c r="BG217" s="1">
        <f t="shared" si="303"/>
        <v>36448.382846435998</v>
      </c>
      <c r="BH217" s="1">
        <f t="shared" si="303"/>
        <v>37665.990285294116</v>
      </c>
      <c r="BI217" s="1">
        <f t="shared" si="303"/>
        <v>38860.243538404829</v>
      </c>
      <c r="BJ217" s="1">
        <f t="shared" si="303"/>
        <v>40047.308507659196</v>
      </c>
      <c r="BK217" s="1">
        <f t="shared" si="303"/>
        <v>41234.346667029145</v>
      </c>
      <c r="BL217" s="1">
        <f t="shared" si="303"/>
        <v>42420.574960355822</v>
      </c>
      <c r="BM217" s="1">
        <f t="shared" si="303"/>
        <v>43603.761945726103</v>
      </c>
      <c r="BN217" s="1">
        <f t="shared" si="303"/>
        <v>44782.651534307544</v>
      </c>
      <c r="BO217" s="1">
        <f t="shared" si="303"/>
        <v>45956.521968634464</v>
      </c>
      <c r="BP217" s="1">
        <f t="shared" si="303"/>
        <v>47124.835716824717</v>
      </c>
      <c r="BQ217" s="1">
        <f t="shared" si="303"/>
        <v>48286.679912826774</v>
      </c>
      <c r="BR217" s="1">
        <f t="shared" si="303"/>
        <v>49439.578364598958</v>
      </c>
      <c r="BS217" s="1">
        <f t="shared" si="303"/>
        <v>50581.066023403815</v>
      </c>
      <c r="BT217" s="1">
        <f t="shared" ref="BT217:CD217" si="304">SUM(BT218,BT221,BT225,BT229)</f>
        <v>51709.44471326108</v>
      </c>
      <c r="BU217" s="1">
        <f t="shared" si="304"/>
        <v>52844.783394368831</v>
      </c>
      <c r="BV217" s="1">
        <f t="shared" si="304"/>
        <v>53987.793036552917</v>
      </c>
      <c r="BW217" s="1">
        <f t="shared" si="304"/>
        <v>55138.099065600254</v>
      </c>
      <c r="BX217" s="1">
        <f t="shared" si="304"/>
        <v>56294.823168342191</v>
      </c>
      <c r="BY217" s="1">
        <f t="shared" si="304"/>
        <v>57459.831400259136</v>
      </c>
      <c r="BZ217" s="1">
        <f t="shared" si="304"/>
        <v>58634.234071843806</v>
      </c>
      <c r="CA217" s="1">
        <f t="shared" si="304"/>
        <v>59816.026383822624</v>
      </c>
      <c r="CB217" s="1">
        <f t="shared" si="304"/>
        <v>61005.857367214528</v>
      </c>
      <c r="CC217" s="1">
        <f t="shared" si="304"/>
        <v>62203.227908752349</v>
      </c>
      <c r="CD217" s="1">
        <f t="shared" si="304"/>
        <v>63407.963443685338</v>
      </c>
    </row>
    <row r="218" spans="1:82" s="7" customFormat="1" x14ac:dyDescent="0.2">
      <c r="B218" s="7" t="s">
        <v>156</v>
      </c>
      <c r="G218" s="7">
        <f>SUM(G219,G220)</f>
        <v>2</v>
      </c>
      <c r="H218" s="7">
        <f t="shared" ref="H218:BS218" si="305">SUM(H219,H220)</f>
        <v>0</v>
      </c>
      <c r="I218" s="7">
        <f t="shared" si="305"/>
        <v>0</v>
      </c>
      <c r="J218" s="7">
        <f t="shared" si="305"/>
        <v>0</v>
      </c>
      <c r="K218" s="7">
        <f t="shared" si="305"/>
        <v>3060.0162</v>
      </c>
      <c r="L218" s="7">
        <f t="shared" si="305"/>
        <v>3473.8847999999998</v>
      </c>
      <c r="M218" s="7">
        <f t="shared" si="305"/>
        <v>3851.5671000000002</v>
      </c>
      <c r="N218" s="7">
        <f t="shared" si="305"/>
        <v>4199.7591000000002</v>
      </c>
      <c r="O218" s="7">
        <f t="shared" si="305"/>
        <v>4523.9291999999987</v>
      </c>
      <c r="P218" s="7">
        <f t="shared" si="305"/>
        <v>4828.5693000000001</v>
      </c>
      <c r="Q218" s="7">
        <f t="shared" si="305"/>
        <v>5117.0273999999999</v>
      </c>
      <c r="R218" s="7">
        <f t="shared" si="305"/>
        <v>5392.4561999999996</v>
      </c>
      <c r="S218" s="7">
        <f t="shared" si="305"/>
        <v>5634.9629999999997</v>
      </c>
      <c r="T218" s="7">
        <f t="shared" si="305"/>
        <v>5857.0470000000005</v>
      </c>
      <c r="U218" s="7">
        <f t="shared" si="305"/>
        <v>6060.8564999999999</v>
      </c>
      <c r="V218" s="7">
        <f t="shared" si="305"/>
        <v>6248.0933999999997</v>
      </c>
      <c r="W218" s="7">
        <f t="shared" si="305"/>
        <v>6420.1247999999996</v>
      </c>
      <c r="X218" s="7">
        <f t="shared" si="305"/>
        <v>6604.7669999999998</v>
      </c>
      <c r="Y218" s="7">
        <f t="shared" si="305"/>
        <v>6799.0625999999993</v>
      </c>
      <c r="Z218" s="7">
        <f t="shared" si="305"/>
        <v>7000.6958999999988</v>
      </c>
      <c r="AA218" s="7">
        <f t="shared" si="305"/>
        <v>7208.0486999999994</v>
      </c>
      <c r="AB218" s="7">
        <f t="shared" si="305"/>
        <v>7141.8140999999996</v>
      </c>
      <c r="AC218" s="7">
        <f t="shared" si="305"/>
        <v>7122.8420999999998</v>
      </c>
      <c r="AD218" s="7">
        <f t="shared" si="305"/>
        <v>7138.6614</v>
      </c>
      <c r="AE218" s="7">
        <f t="shared" si="305"/>
        <v>7181.8505999999998</v>
      </c>
      <c r="AF218" s="7">
        <f t="shared" si="305"/>
        <v>7257.5712000000003</v>
      </c>
      <c r="AG218" s="7">
        <f t="shared" si="305"/>
        <v>7357.8438000000006</v>
      </c>
      <c r="AH218" s="7">
        <f t="shared" si="305"/>
        <v>7487.5509000000002</v>
      </c>
      <c r="AI218" s="7">
        <f t="shared" si="305"/>
        <v>7584.5033999999996</v>
      </c>
      <c r="AJ218" s="7">
        <f t="shared" si="305"/>
        <v>7732.4290570615813</v>
      </c>
      <c r="AK218" s="7">
        <f t="shared" si="305"/>
        <v>8057.2361777158521</v>
      </c>
      <c r="AL218" s="7">
        <f t="shared" si="305"/>
        <v>8379.1570652859136</v>
      </c>
      <c r="AM218" s="7">
        <f t="shared" si="305"/>
        <v>8701.6246873223536</v>
      </c>
      <c r="AN218" s="7">
        <f t="shared" si="305"/>
        <v>9027.2654298056714</v>
      </c>
      <c r="AO218" s="7">
        <f t="shared" si="305"/>
        <v>9358.4634737668475</v>
      </c>
      <c r="AP218" s="7">
        <f t="shared" si="305"/>
        <v>9696.9558250329901</v>
      </c>
      <c r="AQ218" s="7">
        <f t="shared" si="305"/>
        <v>10044.418668734983</v>
      </c>
      <c r="AR218" s="7">
        <f t="shared" si="305"/>
        <v>10404.176067383807</v>
      </c>
      <c r="AS218" s="7">
        <f t="shared" si="305"/>
        <v>10777.629446712857</v>
      </c>
      <c r="AT218" s="7">
        <f t="shared" si="305"/>
        <v>11165.702703120071</v>
      </c>
      <c r="AU218" s="7">
        <f t="shared" si="305"/>
        <v>11567.786022679418</v>
      </c>
      <c r="AV218" s="7">
        <f t="shared" si="305"/>
        <v>11979.891603307069</v>
      </c>
      <c r="AW218" s="7">
        <f t="shared" si="305"/>
        <v>12402.197182988246</v>
      </c>
      <c r="AX218" s="7">
        <f t="shared" si="305"/>
        <v>12834.87041292813</v>
      </c>
      <c r="AY218" s="7">
        <f t="shared" si="305"/>
        <v>13278.069272357112</v>
      </c>
      <c r="AZ218" s="7">
        <f t="shared" si="305"/>
        <v>13731.947383054243</v>
      </c>
      <c r="BA218" s="7">
        <f t="shared" si="305"/>
        <v>14196.648808364651</v>
      </c>
      <c r="BB218" s="7">
        <f t="shared" si="305"/>
        <v>14672.308258329678</v>
      </c>
      <c r="BC218" s="7">
        <f t="shared" si="305"/>
        <v>15159.051063761106</v>
      </c>
      <c r="BD218" s="7">
        <f t="shared" si="305"/>
        <v>15656.993335718207</v>
      </c>
      <c r="BE218" s="7">
        <f t="shared" si="305"/>
        <v>16164.663508638198</v>
      </c>
      <c r="BF218" s="7">
        <f t="shared" si="305"/>
        <v>16680.664835026761</v>
      </c>
      <c r="BG218" s="7">
        <f t="shared" si="305"/>
        <v>17198.567806339401</v>
      </c>
      <c r="BH218" s="7">
        <f t="shared" si="305"/>
        <v>17717.711908667185</v>
      </c>
      <c r="BI218" s="7">
        <f t="shared" si="305"/>
        <v>18237.22638541587</v>
      </c>
      <c r="BJ218" s="7">
        <f t="shared" si="305"/>
        <v>18755.999491229624</v>
      </c>
      <c r="BK218" s="7">
        <f t="shared" si="305"/>
        <v>19271.808685388904</v>
      </c>
      <c r="BL218" s="7">
        <f t="shared" si="305"/>
        <v>19785.472436803841</v>
      </c>
      <c r="BM218" s="7">
        <f t="shared" si="305"/>
        <v>20297.531963331283</v>
      </c>
      <c r="BN218" s="7">
        <f t="shared" si="305"/>
        <v>20808.079932830238</v>
      </c>
      <c r="BO218" s="7">
        <f t="shared" si="305"/>
        <v>21317.121777839493</v>
      </c>
      <c r="BP218" s="7">
        <f t="shared" si="305"/>
        <v>21824.746453606123</v>
      </c>
      <c r="BQ218" s="7">
        <f t="shared" si="305"/>
        <v>22331.0668757516</v>
      </c>
      <c r="BR218" s="7">
        <f t="shared" si="305"/>
        <v>22836.17346895899</v>
      </c>
      <c r="BS218" s="7">
        <f t="shared" si="305"/>
        <v>23339.85282719442</v>
      </c>
      <c r="BT218" s="7">
        <f t="shared" ref="BT218:CD218" si="306">SUM(BT219,BT220)</f>
        <v>23841.70191209899</v>
      </c>
      <c r="BU218" s="7">
        <f t="shared" si="306"/>
        <v>24341.372055297528</v>
      </c>
      <c r="BV218" s="7">
        <f t="shared" si="306"/>
        <v>24839.49353556789</v>
      </c>
      <c r="BW218" s="7">
        <f t="shared" si="306"/>
        <v>25336.587438324452</v>
      </c>
      <c r="BX218" s="7">
        <f t="shared" si="306"/>
        <v>25832.90838047081</v>
      </c>
      <c r="BY218" s="7">
        <f t="shared" si="306"/>
        <v>26328.449478758292</v>
      </c>
      <c r="BZ218" s="7">
        <f t="shared" si="306"/>
        <v>26823.557240396069</v>
      </c>
      <c r="CA218" s="7">
        <f t="shared" si="306"/>
        <v>27318.60264486324</v>
      </c>
      <c r="CB218" s="7">
        <f t="shared" si="306"/>
        <v>27813.46014827245</v>
      </c>
      <c r="CC218" s="7">
        <f t="shared" si="306"/>
        <v>28308.144744064659</v>
      </c>
      <c r="CD218" s="7">
        <f t="shared" si="306"/>
        <v>28802.564230748379</v>
      </c>
    </row>
    <row r="219" spans="1:82" s="2" customFormat="1" x14ac:dyDescent="0.2">
      <c r="C219" s="2" t="s">
        <v>157</v>
      </c>
      <c r="F219" s="2" t="s">
        <v>6</v>
      </c>
      <c r="G219" s="2">
        <f t="shared" ref="G219:V220" si="307">O422</f>
        <v>1</v>
      </c>
      <c r="H219" s="2">
        <f t="shared" si="307"/>
        <v>0</v>
      </c>
      <c r="I219" s="2" t="str">
        <f t="shared" si="307"/>
        <v>emission_co2e_ch4_waso_landfilled_chemical_industrial|emission_co2e_ch4_waso_landfilled_food|emission_co2e_ch4_waso_landfilled_glass|emission_co2e_ch4_waso_landfilled_metal|emission_co2e_ch4_waso_landfilled_nappies|emission_co2e_ch4_waso_landfilled_other|emission_co2e_ch4_waso_landfilled_paper|emission_co2e_ch4_waso_landfilled_plastic|emission_co2e_ch4_waso_landfilled_rubber_leather|emission_co2e_ch4_waso_landfilled_sludge|emission_co2e_ch4_waso_landfilled_textiles|emission_co2e_ch4_waso_landfilled_wood|emission_co2e_ch4_waso_landfilled_yard</v>
      </c>
      <c r="J219" s="2">
        <f t="shared" si="307"/>
        <v>0</v>
      </c>
      <c r="K219" s="2">
        <f t="shared" si="307"/>
        <v>1383.6447000000001</v>
      </c>
      <c r="L219" s="2">
        <f t="shared" si="307"/>
        <v>1570.7979</v>
      </c>
      <c r="M219" s="2">
        <f t="shared" si="307"/>
        <v>1741.5737999999999</v>
      </c>
      <c r="N219" s="2">
        <f t="shared" si="307"/>
        <v>1899.0135</v>
      </c>
      <c r="O219" s="2">
        <f t="shared" si="307"/>
        <v>2045.6001000000001</v>
      </c>
      <c r="P219" s="2">
        <f t="shared" si="307"/>
        <v>2183.3424</v>
      </c>
      <c r="Q219" s="2">
        <f t="shared" si="307"/>
        <v>2313.7748999999999</v>
      </c>
      <c r="R219" s="2">
        <f t="shared" si="307"/>
        <v>2438.3204999999998</v>
      </c>
      <c r="S219" s="2">
        <f t="shared" si="307"/>
        <v>2547.9675000000002</v>
      </c>
      <c r="T219" s="2">
        <f t="shared" si="307"/>
        <v>2648.4353999999998</v>
      </c>
      <c r="U219" s="2">
        <f t="shared" si="307"/>
        <v>2740.6170000000002</v>
      </c>
      <c r="V219" s="2">
        <f t="shared" si="307"/>
        <v>2825.2935000000002</v>
      </c>
      <c r="W219" s="2">
        <f t="shared" ref="W219:BS219" si="308">AE422</f>
        <v>2903.1066000000001</v>
      </c>
      <c r="X219" s="2">
        <f t="shared" si="308"/>
        <v>2986.6113</v>
      </c>
      <c r="Y219" s="2">
        <f t="shared" si="308"/>
        <v>3074.4962999999998</v>
      </c>
      <c r="Z219" s="2">
        <f t="shared" si="308"/>
        <v>3165.6734999999999</v>
      </c>
      <c r="AA219" s="2">
        <f t="shared" si="308"/>
        <v>3259.4454000000001</v>
      </c>
      <c r="AB219" s="2">
        <f t="shared" si="308"/>
        <v>3238.6320000000001</v>
      </c>
      <c r="AC219" s="2">
        <f t="shared" si="308"/>
        <v>3237.7392</v>
      </c>
      <c r="AD219" s="2">
        <f t="shared" si="308"/>
        <v>3252.3308999999999</v>
      </c>
      <c r="AE219" s="2">
        <f t="shared" si="308"/>
        <v>3279.1707000000001</v>
      </c>
      <c r="AF219" s="2">
        <f t="shared" si="308"/>
        <v>3320.7975000000001</v>
      </c>
      <c r="AG219" s="2">
        <f t="shared" si="308"/>
        <v>3373.6401000000001</v>
      </c>
      <c r="AH219" s="2">
        <f t="shared" si="308"/>
        <v>3439.0376999999999</v>
      </c>
      <c r="AI219" s="2">
        <f t="shared" si="308"/>
        <v>3488.4207000000001</v>
      </c>
      <c r="AJ219" s="2">
        <f t="shared" si="308"/>
        <v>4211.1897470642598</v>
      </c>
      <c r="AK219" s="2">
        <f t="shared" si="308"/>
        <v>4388.0842786763651</v>
      </c>
      <c r="AL219" s="2">
        <f t="shared" si="308"/>
        <v>4563.406927108922</v>
      </c>
      <c r="AM219" s="2">
        <f t="shared" si="308"/>
        <v>4739.0273348305882</v>
      </c>
      <c r="AN219" s="2">
        <f t="shared" si="308"/>
        <v>4916.3758686292667</v>
      </c>
      <c r="AO219" s="2">
        <f t="shared" si="308"/>
        <v>5096.7509870667736</v>
      </c>
      <c r="AP219" s="2">
        <f t="shared" si="308"/>
        <v>5281.098687975822</v>
      </c>
      <c r="AQ219" s="2">
        <f t="shared" si="308"/>
        <v>5470.3318453815573</v>
      </c>
      <c r="AR219" s="2">
        <f t="shared" si="308"/>
        <v>5666.2607905345476</v>
      </c>
      <c r="AS219" s="2">
        <f t="shared" si="308"/>
        <v>5869.6487596230827</v>
      </c>
      <c r="AT219" s="2">
        <f t="shared" si="308"/>
        <v>6080.9989196351626</v>
      </c>
      <c r="AU219" s="2">
        <f t="shared" si="308"/>
        <v>6299.9791573196562</v>
      </c>
      <c r="AV219" s="2">
        <f t="shared" si="308"/>
        <v>6524.4176595083391</v>
      </c>
      <c r="AW219" s="2">
        <f t="shared" si="308"/>
        <v>6754.4112248107249</v>
      </c>
      <c r="AX219" s="2">
        <f t="shared" si="308"/>
        <v>6990.0511584339156</v>
      </c>
      <c r="AY219" s="2">
        <f t="shared" si="308"/>
        <v>7231.4234980913316</v>
      </c>
      <c r="AZ219" s="2">
        <f t="shared" si="308"/>
        <v>7478.6119083670237</v>
      </c>
      <c r="BA219" s="2">
        <f t="shared" si="308"/>
        <v>7731.6948481873733</v>
      </c>
      <c r="BB219" s="2">
        <f t="shared" si="308"/>
        <v>7990.7456825377512</v>
      </c>
      <c r="BC219" s="2">
        <f t="shared" si="308"/>
        <v>8255.8326683430932</v>
      </c>
      <c r="BD219" s="2">
        <f t="shared" si="308"/>
        <v>8527.0190413212658</v>
      </c>
      <c r="BE219" s="2">
        <f t="shared" si="308"/>
        <v>8803.5033661452544</v>
      </c>
      <c r="BF219" s="2">
        <f t="shared" si="308"/>
        <v>9084.5249544616236</v>
      </c>
      <c r="BG219" s="2">
        <f t="shared" si="308"/>
        <v>9366.5822053812553</v>
      </c>
      <c r="BH219" s="2">
        <f t="shared" si="308"/>
        <v>9649.3153937284751</v>
      </c>
      <c r="BI219" s="2">
        <f t="shared" si="308"/>
        <v>9932.2502932006519</v>
      </c>
      <c r="BJ219" s="2">
        <f t="shared" si="308"/>
        <v>10214.781431622219</v>
      </c>
      <c r="BK219" s="2">
        <f t="shared" si="308"/>
        <v>10495.69838202105</v>
      </c>
      <c r="BL219" s="2">
        <f t="shared" si="308"/>
        <v>10775.446894090701</v>
      </c>
      <c r="BM219" s="2">
        <f t="shared" si="308"/>
        <v>11054.32172269707</v>
      </c>
      <c r="BN219" s="2">
        <f t="shared" si="308"/>
        <v>11332.373336061049</v>
      </c>
      <c r="BO219" s="2">
        <f t="shared" si="308"/>
        <v>11609.604692819759</v>
      </c>
      <c r="BP219" s="2">
        <f t="shared" si="308"/>
        <v>11886.064239253359</v>
      </c>
      <c r="BQ219" s="2">
        <f t="shared" si="308"/>
        <v>12161.81347079931</v>
      </c>
      <c r="BR219" s="2">
        <f t="shared" si="308"/>
        <v>12436.901634013289</v>
      </c>
      <c r="BS219" s="2">
        <f t="shared" si="308"/>
        <v>12711.21250496422</v>
      </c>
      <c r="BT219" s="2">
        <f t="shared" ref="BT219:CD220" si="309">CB422</f>
        <v>12984.52658328657</v>
      </c>
      <c r="BU219" s="2">
        <f t="shared" si="309"/>
        <v>13256.65397927352</v>
      </c>
      <c r="BV219" s="2">
        <f t="shared" si="309"/>
        <v>13527.93795162256</v>
      </c>
      <c r="BW219" s="2">
        <f t="shared" si="309"/>
        <v>13798.66229078799</v>
      </c>
      <c r="BX219" s="2">
        <f t="shared" si="309"/>
        <v>14068.96566472083</v>
      </c>
      <c r="BY219" s="2">
        <f t="shared" si="309"/>
        <v>14338.844324706921</v>
      </c>
      <c r="BZ219" s="2">
        <f t="shared" si="309"/>
        <v>14608.486983451639</v>
      </c>
      <c r="CA219" s="2">
        <f t="shared" si="309"/>
        <v>14878.095681603179</v>
      </c>
      <c r="CB219" s="2">
        <f t="shared" si="309"/>
        <v>15147.6020461926</v>
      </c>
      <c r="CC219" s="2">
        <f t="shared" si="309"/>
        <v>15417.014242859121</v>
      </c>
      <c r="CD219" s="2">
        <f t="shared" si="309"/>
        <v>15686.282057372069</v>
      </c>
    </row>
    <row r="220" spans="1:82" s="2" customFormat="1" x14ac:dyDescent="0.2">
      <c r="C220" s="2" t="s">
        <v>159</v>
      </c>
      <c r="F220" s="2" t="s">
        <v>6</v>
      </c>
      <c r="G220" s="2">
        <f t="shared" si="307"/>
        <v>1</v>
      </c>
      <c r="H220" s="2">
        <f t="shared" si="307"/>
        <v>0</v>
      </c>
      <c r="I220" s="2" t="str">
        <f t="shared" si="307"/>
        <v>emission_co2e_ch4_waso_open_dump_chemical_industrial|emission_co2e_ch4_waso_open_dump_food|emission_co2e_ch4_waso_open_dump_glass|emission_co2e_ch4_waso_open_dump_metal|emission_co2e_ch4_waso_open_dump_nappies|emission_co2e_ch4_waso_open_dump_other|emission_co2e_ch4_waso_open_dump_paper|emission_co2e_ch4_waso_open_dump_plastic|emission_co2e_ch4_waso_open_dump_rubber_leather|emission_co2e_ch4_waso_open_dump_sludge|emission_co2e_ch4_waso_open_dump_textiles|emission_co2e_ch4_waso_open_dump_wood|emission_co2e_ch4_waso_open_dump_yard</v>
      </c>
      <c r="J220" s="2">
        <f t="shared" si="307"/>
        <v>0</v>
      </c>
      <c r="K220" s="2">
        <f t="shared" si="307"/>
        <v>1676.3715</v>
      </c>
      <c r="L220" s="2">
        <f t="shared" si="307"/>
        <v>1903.0869</v>
      </c>
      <c r="M220" s="2">
        <f t="shared" si="307"/>
        <v>2109.9933000000001</v>
      </c>
      <c r="N220" s="2">
        <f t="shared" si="307"/>
        <v>2300.7456000000002</v>
      </c>
      <c r="O220" s="2">
        <f t="shared" si="307"/>
        <v>2478.329099999999</v>
      </c>
      <c r="P220" s="2">
        <f t="shared" si="307"/>
        <v>2645.2269000000001</v>
      </c>
      <c r="Q220" s="2">
        <f t="shared" si="307"/>
        <v>2803.2525000000001</v>
      </c>
      <c r="R220" s="2">
        <f t="shared" si="307"/>
        <v>2954.1356999999998</v>
      </c>
      <c r="S220" s="2">
        <f t="shared" si="307"/>
        <v>3086.9955</v>
      </c>
      <c r="T220" s="2">
        <f t="shared" si="307"/>
        <v>3208.6116000000002</v>
      </c>
      <c r="U220" s="2">
        <f t="shared" si="307"/>
        <v>3320.2395000000001</v>
      </c>
      <c r="V220" s="2">
        <f t="shared" si="307"/>
        <v>3422.7999</v>
      </c>
      <c r="W220" s="2">
        <f t="shared" ref="W220:BB220" si="310">AE423</f>
        <v>3517.0182</v>
      </c>
      <c r="X220" s="2">
        <f t="shared" si="310"/>
        <v>3618.1556999999998</v>
      </c>
      <c r="Y220" s="2">
        <f t="shared" si="310"/>
        <v>3724.5663</v>
      </c>
      <c r="Z220" s="2">
        <f t="shared" si="310"/>
        <v>3835.0223999999989</v>
      </c>
      <c r="AA220" s="2">
        <f t="shared" si="310"/>
        <v>3948.6032999999989</v>
      </c>
      <c r="AB220" s="2">
        <f t="shared" si="310"/>
        <v>3903.1821</v>
      </c>
      <c r="AC220" s="2">
        <f t="shared" si="310"/>
        <v>3885.1028999999999</v>
      </c>
      <c r="AD220" s="2">
        <f t="shared" si="310"/>
        <v>3886.3305</v>
      </c>
      <c r="AE220" s="2">
        <f t="shared" si="310"/>
        <v>3902.6799000000001</v>
      </c>
      <c r="AF220" s="2">
        <f t="shared" si="310"/>
        <v>3936.7737000000002</v>
      </c>
      <c r="AG220" s="2">
        <f t="shared" si="310"/>
        <v>3984.2037</v>
      </c>
      <c r="AH220" s="2">
        <f t="shared" si="310"/>
        <v>4048.5131999999999</v>
      </c>
      <c r="AI220" s="2">
        <f t="shared" si="310"/>
        <v>4096.082699999999</v>
      </c>
      <c r="AJ220" s="2">
        <f t="shared" si="310"/>
        <v>3521.2393099973219</v>
      </c>
      <c r="AK220" s="2">
        <f t="shared" si="310"/>
        <v>3669.151899039487</v>
      </c>
      <c r="AL220" s="2">
        <f t="shared" si="310"/>
        <v>3815.7501381769912</v>
      </c>
      <c r="AM220" s="2">
        <f t="shared" si="310"/>
        <v>3962.5973524917649</v>
      </c>
      <c r="AN220" s="2">
        <f t="shared" si="310"/>
        <v>4110.8895611764046</v>
      </c>
      <c r="AO220" s="2">
        <f t="shared" si="310"/>
        <v>4261.7124867000739</v>
      </c>
      <c r="AP220" s="2">
        <f t="shared" si="310"/>
        <v>4415.857137057169</v>
      </c>
      <c r="AQ220" s="2">
        <f t="shared" si="310"/>
        <v>4574.0868233534266</v>
      </c>
      <c r="AR220" s="2">
        <f t="shared" si="310"/>
        <v>4737.9152768492586</v>
      </c>
      <c r="AS220" s="2">
        <f t="shared" si="310"/>
        <v>4907.9806870897737</v>
      </c>
      <c r="AT220" s="2">
        <f t="shared" si="310"/>
        <v>5084.7037834849079</v>
      </c>
      <c r="AU220" s="2">
        <f t="shared" si="310"/>
        <v>5267.8068653597629</v>
      </c>
      <c r="AV220" s="2">
        <f t="shared" si="310"/>
        <v>5455.47394379873</v>
      </c>
      <c r="AW220" s="2">
        <f t="shared" si="310"/>
        <v>5647.7859581775201</v>
      </c>
      <c r="AX220" s="2">
        <f t="shared" si="310"/>
        <v>5844.8192544942149</v>
      </c>
      <c r="AY220" s="2">
        <f t="shared" si="310"/>
        <v>6046.6457742657794</v>
      </c>
      <c r="AZ220" s="2">
        <f t="shared" si="310"/>
        <v>6253.3354746872192</v>
      </c>
      <c r="BA220" s="2">
        <f t="shared" si="310"/>
        <v>6464.9539601772776</v>
      </c>
      <c r="BB220" s="2">
        <f t="shared" si="310"/>
        <v>6681.562575791927</v>
      </c>
      <c r="BC220" s="2">
        <f t="shared" ref="BC220:CH220" si="311">BK423</f>
        <v>6903.2183954180127</v>
      </c>
      <c r="BD220" s="2">
        <f t="shared" si="311"/>
        <v>7129.9742943969413</v>
      </c>
      <c r="BE220" s="2">
        <f t="shared" si="311"/>
        <v>7361.1601424929431</v>
      </c>
      <c r="BF220" s="2">
        <f t="shared" si="311"/>
        <v>7596.1398805651361</v>
      </c>
      <c r="BG220" s="2">
        <f t="shared" si="311"/>
        <v>7831.9856009581463</v>
      </c>
      <c r="BH220" s="2">
        <f t="shared" si="311"/>
        <v>8068.3965149387104</v>
      </c>
      <c r="BI220" s="2">
        <f t="shared" si="311"/>
        <v>8304.9760922152182</v>
      </c>
      <c r="BJ220" s="2">
        <f t="shared" si="311"/>
        <v>8541.2180596074068</v>
      </c>
      <c r="BK220" s="2">
        <f t="shared" si="311"/>
        <v>8776.1103033678537</v>
      </c>
      <c r="BL220" s="2">
        <f t="shared" si="311"/>
        <v>9010.0255427131397</v>
      </c>
      <c r="BM220" s="2">
        <f t="shared" si="311"/>
        <v>9243.2102406342146</v>
      </c>
      <c r="BN220" s="2">
        <f t="shared" si="311"/>
        <v>9475.7065967691906</v>
      </c>
      <c r="BO220" s="2">
        <f t="shared" si="311"/>
        <v>9707.5170850197337</v>
      </c>
      <c r="BP220" s="2">
        <f t="shared" si="311"/>
        <v>9938.6822143527643</v>
      </c>
      <c r="BQ220" s="2">
        <f t="shared" si="311"/>
        <v>10169.253404952289</v>
      </c>
      <c r="BR220" s="2">
        <f t="shared" si="311"/>
        <v>10399.271834945701</v>
      </c>
      <c r="BS220" s="2">
        <f t="shared" si="311"/>
        <v>10628.6403222302</v>
      </c>
      <c r="BT220" s="2">
        <f t="shared" si="309"/>
        <v>10857.17532881242</v>
      </c>
      <c r="BU220" s="2">
        <f t="shared" si="309"/>
        <v>11084.71807602401</v>
      </c>
      <c r="BV220" s="2">
        <f t="shared" si="309"/>
        <v>11311.55558394533</v>
      </c>
      <c r="BW220" s="2">
        <f t="shared" si="309"/>
        <v>11537.92514753646</v>
      </c>
      <c r="BX220" s="2">
        <f t="shared" si="309"/>
        <v>11763.942715749979</v>
      </c>
      <c r="BY220" s="2">
        <f t="shared" si="309"/>
        <v>11989.605154051371</v>
      </c>
      <c r="BZ220" s="2">
        <f t="shared" si="309"/>
        <v>12215.070256944429</v>
      </c>
      <c r="CA220" s="2">
        <f t="shared" si="309"/>
        <v>12440.506963260061</v>
      </c>
      <c r="CB220" s="2">
        <f t="shared" si="309"/>
        <v>12665.85810207985</v>
      </c>
      <c r="CC220" s="2">
        <f t="shared" si="309"/>
        <v>12891.13050120554</v>
      </c>
      <c r="CD220" s="2">
        <f t="shared" si="309"/>
        <v>13116.28217337631</v>
      </c>
    </row>
    <row r="221" spans="1:82" s="7" customFormat="1" x14ac:dyDescent="0.2">
      <c r="B221" s="7" t="s">
        <v>160</v>
      </c>
      <c r="G221" s="7">
        <f>SUM(G222:G224)</f>
        <v>3</v>
      </c>
      <c r="H221" s="7">
        <f t="shared" ref="H221:BS221" si="312">SUM(H222:H224)</f>
        <v>0</v>
      </c>
      <c r="I221" s="7">
        <f t="shared" si="312"/>
        <v>0</v>
      </c>
      <c r="J221" s="7">
        <f t="shared" si="312"/>
        <v>0</v>
      </c>
      <c r="K221" s="7">
        <f t="shared" si="312"/>
        <v>276.8895</v>
      </c>
      <c r="L221" s="7">
        <f t="shared" si="312"/>
        <v>276.8895</v>
      </c>
      <c r="M221" s="7">
        <f t="shared" si="312"/>
        <v>275.45069999999998</v>
      </c>
      <c r="N221" s="7">
        <f t="shared" si="312"/>
        <v>274.75920000000002</v>
      </c>
      <c r="O221" s="7">
        <f t="shared" si="312"/>
        <v>274.01190000000003</v>
      </c>
      <c r="P221" s="7">
        <f t="shared" si="312"/>
        <v>273.56549999999999</v>
      </c>
      <c r="Q221" s="7">
        <f t="shared" si="312"/>
        <v>272.81819999999999</v>
      </c>
      <c r="R221" s="7">
        <f t="shared" si="312"/>
        <v>266.53890000000001</v>
      </c>
      <c r="S221" s="7">
        <f t="shared" si="312"/>
        <v>260.61630000000002</v>
      </c>
      <c r="T221" s="7">
        <f t="shared" si="312"/>
        <v>254.6379</v>
      </c>
      <c r="U221" s="7">
        <f t="shared" si="312"/>
        <v>248.65950000000001</v>
      </c>
      <c r="V221" s="7">
        <f t="shared" si="312"/>
        <v>242.62530000000001</v>
      </c>
      <c r="W221" s="7">
        <f t="shared" si="312"/>
        <v>242.82060000000001</v>
      </c>
      <c r="X221" s="7">
        <f t="shared" si="312"/>
        <v>243.01590000000002</v>
      </c>
      <c r="Y221" s="7">
        <f t="shared" si="312"/>
        <v>243.4563</v>
      </c>
      <c r="Z221" s="7">
        <f t="shared" si="312"/>
        <v>243.67949999999999</v>
      </c>
      <c r="AA221" s="7">
        <f t="shared" si="312"/>
        <v>244.1199</v>
      </c>
      <c r="AB221" s="7">
        <f t="shared" si="312"/>
        <v>244.3152</v>
      </c>
      <c r="AC221" s="7">
        <f t="shared" si="312"/>
        <v>244.48259999999999</v>
      </c>
      <c r="AD221" s="7">
        <f t="shared" si="312"/>
        <v>244.95089999999999</v>
      </c>
      <c r="AE221" s="7">
        <f t="shared" si="312"/>
        <v>245.83769999999998</v>
      </c>
      <c r="AF221" s="7">
        <f t="shared" si="312"/>
        <v>246.9975</v>
      </c>
      <c r="AG221" s="7">
        <f t="shared" si="312"/>
        <v>247.91220000000001</v>
      </c>
      <c r="AH221" s="7">
        <f t="shared" si="312"/>
        <v>248.85480000000001</v>
      </c>
      <c r="AI221" s="7">
        <f t="shared" si="312"/>
        <v>238.6044</v>
      </c>
      <c r="AJ221" s="7">
        <f t="shared" si="312"/>
        <v>247.59275152408617</v>
      </c>
      <c r="AK221" s="7">
        <f t="shared" si="312"/>
        <v>254.85154763289847</v>
      </c>
      <c r="AL221" s="7">
        <f t="shared" si="312"/>
        <v>262.5745377432529</v>
      </c>
      <c r="AM221" s="7">
        <f t="shared" si="312"/>
        <v>270.71910334372819</v>
      </c>
      <c r="AN221" s="7">
        <f t="shared" si="312"/>
        <v>279.31018314985135</v>
      </c>
      <c r="AO221" s="7">
        <f t="shared" si="312"/>
        <v>288.27156093708669</v>
      </c>
      <c r="AP221" s="7">
        <f t="shared" si="312"/>
        <v>297.77947660454629</v>
      </c>
      <c r="AQ221" s="7">
        <f t="shared" si="312"/>
        <v>308.0193651856838</v>
      </c>
      <c r="AR221" s="7">
        <f t="shared" si="312"/>
        <v>318.77174002203077</v>
      </c>
      <c r="AS221" s="7">
        <f t="shared" si="312"/>
        <v>329.99408566262167</v>
      </c>
      <c r="AT221" s="7">
        <f t="shared" si="312"/>
        <v>341.46973910028032</v>
      </c>
      <c r="AU221" s="7">
        <f t="shared" si="312"/>
        <v>352.66139979865881</v>
      </c>
      <c r="AV221" s="7">
        <f t="shared" si="312"/>
        <v>364.11459857301162</v>
      </c>
      <c r="AW221" s="7">
        <f t="shared" si="312"/>
        <v>375.83103066068873</v>
      </c>
      <c r="AX221" s="7">
        <f t="shared" si="312"/>
        <v>387.81221700064037</v>
      </c>
      <c r="AY221" s="7">
        <f t="shared" si="312"/>
        <v>400.06026463330215</v>
      </c>
      <c r="AZ221" s="7">
        <f t="shared" si="312"/>
        <v>412.57658980344286</v>
      </c>
      <c r="BA221" s="7">
        <f t="shared" si="312"/>
        <v>425.3620004216495</v>
      </c>
      <c r="BB221" s="7">
        <f t="shared" si="312"/>
        <v>438.41727067484487</v>
      </c>
      <c r="BC221" s="7">
        <f t="shared" si="312"/>
        <v>451.74297443043628</v>
      </c>
      <c r="BD221" s="7">
        <f t="shared" si="312"/>
        <v>465.09770264215365</v>
      </c>
      <c r="BE221" s="7">
        <f t="shared" si="312"/>
        <v>478.45794439099512</v>
      </c>
      <c r="BF221" s="7">
        <f t="shared" si="312"/>
        <v>490.96169997522475</v>
      </c>
      <c r="BG221" s="7">
        <f t="shared" si="312"/>
        <v>503.3942421691595</v>
      </c>
      <c r="BH221" s="7">
        <f t="shared" si="312"/>
        <v>515.70741818000363</v>
      </c>
      <c r="BI221" s="7">
        <f t="shared" si="312"/>
        <v>527.8427082870287</v>
      </c>
      <c r="BJ221" s="7">
        <f t="shared" si="312"/>
        <v>539.59718948295483</v>
      </c>
      <c r="BK221" s="7">
        <f t="shared" si="312"/>
        <v>551.39409091521065</v>
      </c>
      <c r="BL221" s="7">
        <f t="shared" si="312"/>
        <v>563.21113050562485</v>
      </c>
      <c r="BM221" s="7">
        <f t="shared" si="312"/>
        <v>574.99055599485996</v>
      </c>
      <c r="BN221" s="7">
        <f t="shared" si="312"/>
        <v>586.72222205831224</v>
      </c>
      <c r="BO221" s="7">
        <f t="shared" si="312"/>
        <v>598.42185138427965</v>
      </c>
      <c r="BP221" s="7">
        <f t="shared" si="312"/>
        <v>610.09717197825751</v>
      </c>
      <c r="BQ221" s="7">
        <f t="shared" si="312"/>
        <v>621.74900308130816</v>
      </c>
      <c r="BR221" s="7">
        <f t="shared" si="312"/>
        <v>633.33137561110061</v>
      </c>
      <c r="BS221" s="7">
        <f t="shared" si="312"/>
        <v>644.80917640493385</v>
      </c>
      <c r="BT221" s="7">
        <f t="shared" ref="BT221:CD221" si="313">SUM(BT222:BT224)</f>
        <v>656.18259640460121</v>
      </c>
      <c r="BU221" s="7">
        <f t="shared" si="313"/>
        <v>667.59444882122853</v>
      </c>
      <c r="BV221" s="7">
        <f t="shared" si="313"/>
        <v>679.04356176435385</v>
      </c>
      <c r="BW221" s="7">
        <f t="shared" si="313"/>
        <v>690.50002430203961</v>
      </c>
      <c r="BX221" s="7">
        <f t="shared" si="313"/>
        <v>701.92776469494095</v>
      </c>
      <c r="BY221" s="7">
        <f t="shared" si="313"/>
        <v>713.38488888885195</v>
      </c>
      <c r="BZ221" s="7">
        <f t="shared" si="313"/>
        <v>724.88430566076363</v>
      </c>
      <c r="CA221" s="7">
        <f t="shared" si="313"/>
        <v>736.35428045102788</v>
      </c>
      <c r="CB221" s="7">
        <f t="shared" si="313"/>
        <v>747.81462079757534</v>
      </c>
      <c r="CC221" s="7">
        <f t="shared" si="313"/>
        <v>759.24817180329444</v>
      </c>
      <c r="CD221" s="7">
        <f t="shared" si="313"/>
        <v>770.65639239229586</v>
      </c>
    </row>
    <row r="222" spans="1:82" s="2" customFormat="1" x14ac:dyDescent="0.2">
      <c r="C222" s="2" t="s">
        <v>161</v>
      </c>
      <c r="F222" s="2" t="s">
        <v>6</v>
      </c>
      <c r="G222" s="2">
        <f>O424</f>
        <v>1</v>
      </c>
      <c r="H222" s="2">
        <f t="shared" ref="H222:BS224" si="314">P424</f>
        <v>0</v>
      </c>
      <c r="I222" s="2" t="str">
        <f t="shared" si="314"/>
        <v>emission_co2e_ch4_waso_biogas_food|emission_co2e_ch4_waso_biogas_sludge|emission_co2e_ch4_waso_biogas_yard</v>
      </c>
      <c r="J222" s="2">
        <f t="shared" si="314"/>
        <v>0</v>
      </c>
      <c r="K222" s="2">
        <f t="shared" si="314"/>
        <v>0</v>
      </c>
      <c r="L222" s="2">
        <f t="shared" si="314"/>
        <v>0</v>
      </c>
      <c r="M222" s="2">
        <f t="shared" si="314"/>
        <v>0</v>
      </c>
      <c r="N222" s="2">
        <f t="shared" si="314"/>
        <v>0</v>
      </c>
      <c r="O222" s="2">
        <f t="shared" si="314"/>
        <v>0</v>
      </c>
      <c r="P222" s="2">
        <f t="shared" si="314"/>
        <v>0</v>
      </c>
      <c r="Q222" s="2">
        <f t="shared" si="314"/>
        <v>0</v>
      </c>
      <c r="R222" s="2">
        <f t="shared" si="314"/>
        <v>0</v>
      </c>
      <c r="S222" s="2">
        <f t="shared" si="314"/>
        <v>0</v>
      </c>
      <c r="T222" s="2">
        <f t="shared" si="314"/>
        <v>0</v>
      </c>
      <c r="U222" s="2">
        <f t="shared" si="314"/>
        <v>0</v>
      </c>
      <c r="V222" s="2">
        <f t="shared" si="314"/>
        <v>0</v>
      </c>
      <c r="W222" s="2">
        <f t="shared" si="314"/>
        <v>0</v>
      </c>
      <c r="X222" s="2">
        <f t="shared" si="314"/>
        <v>0</v>
      </c>
      <c r="Y222" s="2">
        <f t="shared" si="314"/>
        <v>0</v>
      </c>
      <c r="Z222" s="2">
        <f t="shared" si="314"/>
        <v>0</v>
      </c>
      <c r="AA222" s="2">
        <f t="shared" si="314"/>
        <v>0</v>
      </c>
      <c r="AB222" s="2">
        <f t="shared" si="314"/>
        <v>0</v>
      </c>
      <c r="AC222" s="2">
        <f t="shared" si="314"/>
        <v>0</v>
      </c>
      <c r="AD222" s="2">
        <f t="shared" si="314"/>
        <v>0</v>
      </c>
      <c r="AE222" s="2">
        <f t="shared" si="314"/>
        <v>0</v>
      </c>
      <c r="AF222" s="2">
        <f t="shared" si="314"/>
        <v>0</v>
      </c>
      <c r="AG222" s="2">
        <f t="shared" si="314"/>
        <v>0</v>
      </c>
      <c r="AH222" s="2">
        <f t="shared" si="314"/>
        <v>0</v>
      </c>
      <c r="AI222" s="2">
        <f t="shared" si="314"/>
        <v>19.502099999999999</v>
      </c>
      <c r="AJ222" s="2">
        <f t="shared" si="314"/>
        <v>3.5959871130547509</v>
      </c>
      <c r="AK222" s="2">
        <f t="shared" si="314"/>
        <v>3.7014124015695802</v>
      </c>
      <c r="AL222" s="2">
        <f t="shared" si="314"/>
        <v>3.8135795500023999</v>
      </c>
      <c r="AM222" s="2">
        <f t="shared" si="314"/>
        <v>3.9318695757016999</v>
      </c>
      <c r="AN222" s="2">
        <f t="shared" si="314"/>
        <v>4.0566446835344996</v>
      </c>
      <c r="AO222" s="2">
        <f t="shared" si="314"/>
        <v>4.1867979244501994</v>
      </c>
      <c r="AP222" s="2">
        <f t="shared" si="314"/>
        <v>4.3248889711458007</v>
      </c>
      <c r="AQ222" s="2">
        <f t="shared" si="314"/>
        <v>4.4736110445920003</v>
      </c>
      <c r="AR222" s="2">
        <f t="shared" si="314"/>
        <v>4.6297763648940986</v>
      </c>
      <c r="AS222" s="2">
        <f t="shared" si="314"/>
        <v>4.7927674462298002</v>
      </c>
      <c r="AT222" s="2">
        <f t="shared" si="314"/>
        <v>4.9594375188457001</v>
      </c>
      <c r="AU222" s="2">
        <f t="shared" si="314"/>
        <v>5.1219829382788999</v>
      </c>
      <c r="AV222" s="2">
        <f t="shared" si="314"/>
        <v>5.2883268839002993</v>
      </c>
      <c r="AW222" s="2">
        <f t="shared" si="314"/>
        <v>5.4584939769955989</v>
      </c>
      <c r="AX222" s="2">
        <f t="shared" si="314"/>
        <v>5.6325063073742001</v>
      </c>
      <c r="AY222" s="2">
        <f t="shared" si="314"/>
        <v>5.8103944772662999</v>
      </c>
      <c r="AZ222" s="2">
        <f t="shared" si="314"/>
        <v>5.9921790559243986</v>
      </c>
      <c r="BA222" s="2">
        <f t="shared" si="314"/>
        <v>6.1778717772788996</v>
      </c>
      <c r="BB222" s="2">
        <f t="shared" si="314"/>
        <v>6.3674838854643001</v>
      </c>
      <c r="BC222" s="2">
        <f t="shared" si="314"/>
        <v>6.5610237152152999</v>
      </c>
      <c r="BD222" s="2">
        <f t="shared" si="314"/>
        <v>6.7549850903042996</v>
      </c>
      <c r="BE222" s="2">
        <f t="shared" si="314"/>
        <v>6.9490265428928009</v>
      </c>
      <c r="BF222" s="2">
        <f t="shared" si="314"/>
        <v>7.1306285634241986</v>
      </c>
      <c r="BG222" s="2">
        <f t="shared" si="314"/>
        <v>7.3111962950588998</v>
      </c>
      <c r="BH222" s="2">
        <f t="shared" si="314"/>
        <v>7.4900303763606004</v>
      </c>
      <c r="BI222" s="2">
        <f t="shared" si="314"/>
        <v>7.6662808787254004</v>
      </c>
      <c r="BJ222" s="2">
        <f t="shared" si="314"/>
        <v>7.8370005893833996</v>
      </c>
      <c r="BK222" s="2">
        <f t="shared" si="314"/>
        <v>8.0083364029856998</v>
      </c>
      <c r="BL222" s="2">
        <f t="shared" si="314"/>
        <v>8.1799646991292985</v>
      </c>
      <c r="BM222" s="2">
        <f t="shared" si="314"/>
        <v>8.3510466956647988</v>
      </c>
      <c r="BN222" s="2">
        <f t="shared" si="314"/>
        <v>8.5214350439472</v>
      </c>
      <c r="BO222" s="2">
        <f t="shared" si="314"/>
        <v>8.6913580971251001</v>
      </c>
      <c r="BP222" s="2">
        <f t="shared" si="314"/>
        <v>8.8609280951895002</v>
      </c>
      <c r="BQ222" s="2">
        <f t="shared" si="314"/>
        <v>9.0301569366324994</v>
      </c>
      <c r="BR222" s="2">
        <f t="shared" si="314"/>
        <v>9.1983769757868998</v>
      </c>
      <c r="BS222" s="2">
        <f t="shared" si="314"/>
        <v>9.3650782361699996</v>
      </c>
      <c r="BT222" s="2">
        <f t="shared" ref="BT222:CD223" si="315">CB424</f>
        <v>9.5302634909822999</v>
      </c>
      <c r="BU222" s="2">
        <f t="shared" si="315"/>
        <v>9.6960069304558978</v>
      </c>
      <c r="BV222" s="2">
        <f t="shared" si="315"/>
        <v>9.8622915342898985</v>
      </c>
      <c r="BW222" s="2">
        <f t="shared" si="315"/>
        <v>10.0286828821511</v>
      </c>
      <c r="BX222" s="2">
        <f t="shared" si="315"/>
        <v>10.1946570753828</v>
      </c>
      <c r="BY222" s="2">
        <f t="shared" si="315"/>
        <v>10.3610580330049</v>
      </c>
      <c r="BZ222" s="2">
        <f t="shared" si="315"/>
        <v>10.528073239487901</v>
      </c>
      <c r="CA222" s="2">
        <f t="shared" si="315"/>
        <v>10.694660836576199</v>
      </c>
      <c r="CB222" s="2">
        <f t="shared" si="315"/>
        <v>10.8611085049496</v>
      </c>
      <c r="CC222" s="2">
        <f t="shared" si="315"/>
        <v>11.0271670903483</v>
      </c>
      <c r="CD222" s="2">
        <f t="shared" si="315"/>
        <v>11.192857781890901</v>
      </c>
    </row>
    <row r="223" spans="1:82" s="2" customFormat="1" x14ac:dyDescent="0.2">
      <c r="C223" s="2" t="s">
        <v>162</v>
      </c>
      <c r="F223" s="2" t="s">
        <v>6</v>
      </c>
      <c r="G223" s="2">
        <f>O425</f>
        <v>1</v>
      </c>
      <c r="H223" s="2">
        <f t="shared" si="314"/>
        <v>0</v>
      </c>
      <c r="I223" s="2" t="str">
        <f t="shared" si="314"/>
        <v>emission_co2e_ch4_waso_compost_food|emission_co2e_ch4_waso_compost_sludge|emission_co2e_ch4_waso_compost_yard</v>
      </c>
      <c r="J223" s="2">
        <f t="shared" si="314"/>
        <v>0</v>
      </c>
      <c r="K223" s="2">
        <f t="shared" si="314"/>
        <v>174.5145</v>
      </c>
      <c r="L223" s="2">
        <f t="shared" si="314"/>
        <v>174.5145</v>
      </c>
      <c r="M223" s="2">
        <f t="shared" si="314"/>
        <v>173.6217</v>
      </c>
      <c r="N223" s="2">
        <f t="shared" si="314"/>
        <v>173.20320000000001</v>
      </c>
      <c r="O223" s="2">
        <f t="shared" si="314"/>
        <v>172.72890000000001</v>
      </c>
      <c r="P223" s="2">
        <f t="shared" si="314"/>
        <v>172.2825</v>
      </c>
      <c r="Q223" s="2">
        <f t="shared" si="314"/>
        <v>171.8082</v>
      </c>
      <c r="R223" s="2">
        <f t="shared" si="314"/>
        <v>167.98589999999999</v>
      </c>
      <c r="S223" s="2">
        <f t="shared" si="314"/>
        <v>164.2473</v>
      </c>
      <c r="T223" s="2">
        <f t="shared" si="314"/>
        <v>160.4529</v>
      </c>
      <c r="U223" s="2">
        <f t="shared" si="314"/>
        <v>156.6585</v>
      </c>
      <c r="V223" s="2">
        <f t="shared" si="314"/>
        <v>152.8083</v>
      </c>
      <c r="W223" s="2">
        <f t="shared" si="314"/>
        <v>153.00360000000001</v>
      </c>
      <c r="X223" s="2">
        <f t="shared" si="314"/>
        <v>153.19890000000001</v>
      </c>
      <c r="Y223" s="2">
        <f t="shared" si="314"/>
        <v>153.3663</v>
      </c>
      <c r="Z223" s="2">
        <f t="shared" si="314"/>
        <v>153.58949999999999</v>
      </c>
      <c r="AA223" s="2">
        <f t="shared" si="314"/>
        <v>153.7569</v>
      </c>
      <c r="AB223" s="2">
        <f t="shared" si="314"/>
        <v>153.9522</v>
      </c>
      <c r="AC223" s="2">
        <f t="shared" si="314"/>
        <v>154.11959999999999</v>
      </c>
      <c r="AD223" s="2">
        <f t="shared" si="314"/>
        <v>154.31489999999999</v>
      </c>
      <c r="AE223" s="2">
        <f t="shared" si="314"/>
        <v>154.92869999999999</v>
      </c>
      <c r="AF223" s="2">
        <f t="shared" si="314"/>
        <v>155.54249999999999</v>
      </c>
      <c r="AG223" s="2">
        <f t="shared" si="314"/>
        <v>156.1842</v>
      </c>
      <c r="AH223" s="2">
        <f t="shared" si="314"/>
        <v>156.85380000000001</v>
      </c>
      <c r="AI223" s="2">
        <f t="shared" si="314"/>
        <v>138.0213</v>
      </c>
      <c r="AJ223" s="2">
        <f t="shared" si="314"/>
        <v>160.2756108722763</v>
      </c>
      <c r="AK223" s="2">
        <f t="shared" si="314"/>
        <v>164.9744882561078</v>
      </c>
      <c r="AL223" s="2">
        <f t="shared" si="314"/>
        <v>169.97385495839671</v>
      </c>
      <c r="AM223" s="2">
        <f t="shared" si="314"/>
        <v>175.24612249801629</v>
      </c>
      <c r="AN223" s="2">
        <f t="shared" si="314"/>
        <v>180.80743459420179</v>
      </c>
      <c r="AO223" s="2">
        <f t="shared" si="314"/>
        <v>186.6084537688958</v>
      </c>
      <c r="AP223" s="2">
        <f t="shared" si="314"/>
        <v>192.76326638898971</v>
      </c>
      <c r="AQ223" s="2">
        <f t="shared" si="314"/>
        <v>199.3919111594976</v>
      </c>
      <c r="AR223" s="2">
        <f t="shared" si="314"/>
        <v>206.35230654512549</v>
      </c>
      <c r="AS223" s="2">
        <f t="shared" si="314"/>
        <v>213.61693077945239</v>
      </c>
      <c r="AT223" s="2">
        <f t="shared" si="314"/>
        <v>221.0455301772835</v>
      </c>
      <c r="AU223" s="2">
        <f t="shared" si="314"/>
        <v>228.29029095507769</v>
      </c>
      <c r="AV223" s="2">
        <f t="shared" si="314"/>
        <v>235.70435464919461</v>
      </c>
      <c r="AW223" s="2">
        <f t="shared" si="314"/>
        <v>243.2888186471771</v>
      </c>
      <c r="AX223" s="2">
        <f t="shared" si="314"/>
        <v>251.04466750700709</v>
      </c>
      <c r="AY223" s="2">
        <f t="shared" si="314"/>
        <v>258.97326519104172</v>
      </c>
      <c r="AZ223" s="2">
        <f t="shared" si="314"/>
        <v>267.07552848498659</v>
      </c>
      <c r="BA223" s="2">
        <f t="shared" si="314"/>
        <v>275.35198037815371</v>
      </c>
      <c r="BB223" s="2">
        <f t="shared" si="314"/>
        <v>283.80312202932629</v>
      </c>
      <c r="BC223" s="2">
        <f t="shared" si="314"/>
        <v>292.42932492332528</v>
      </c>
      <c r="BD223" s="2">
        <f t="shared" si="314"/>
        <v>301.07431638204338</v>
      </c>
      <c r="BE223" s="2">
        <f t="shared" si="314"/>
        <v>309.72287694981333</v>
      </c>
      <c r="BF223" s="2">
        <f t="shared" si="314"/>
        <v>317.81700350288838</v>
      </c>
      <c r="BG223" s="2">
        <f t="shared" si="314"/>
        <v>325.86503109078183</v>
      </c>
      <c r="BH223" s="2">
        <f t="shared" si="314"/>
        <v>333.83578869482221</v>
      </c>
      <c r="BI223" s="2">
        <f t="shared" si="314"/>
        <v>341.69139441446993</v>
      </c>
      <c r="BJ223" s="2">
        <f t="shared" si="314"/>
        <v>349.3004889560778</v>
      </c>
      <c r="BK223" s="2">
        <f t="shared" si="314"/>
        <v>356.93704362828061</v>
      </c>
      <c r="BL223" s="2">
        <f t="shared" si="314"/>
        <v>364.5866344478693</v>
      </c>
      <c r="BM223" s="2">
        <f t="shared" si="314"/>
        <v>372.21187631941041</v>
      </c>
      <c r="BN223" s="2">
        <f t="shared" si="314"/>
        <v>379.80620181276589</v>
      </c>
      <c r="BO223" s="2">
        <f t="shared" si="314"/>
        <v>387.37978878433898</v>
      </c>
      <c r="BP223" s="2">
        <f t="shared" si="314"/>
        <v>394.93763984746801</v>
      </c>
      <c r="BQ223" s="2">
        <f t="shared" si="314"/>
        <v>402.48028532608828</v>
      </c>
      <c r="BR223" s="2">
        <f t="shared" si="314"/>
        <v>409.97796779512453</v>
      </c>
      <c r="BS223" s="2">
        <f t="shared" si="314"/>
        <v>417.40795725312751</v>
      </c>
      <c r="BT223" s="2">
        <f t="shared" si="315"/>
        <v>424.77037730352339</v>
      </c>
      <c r="BU223" s="2">
        <f t="shared" si="315"/>
        <v>432.15767602693239</v>
      </c>
      <c r="BV223" s="2">
        <f t="shared" si="315"/>
        <v>439.56909481689848</v>
      </c>
      <c r="BW223" s="2">
        <f t="shared" si="315"/>
        <v>446.98527126132228</v>
      </c>
      <c r="BX223" s="2">
        <f t="shared" si="315"/>
        <v>454.38285483793112</v>
      </c>
      <c r="BY223" s="2">
        <f t="shared" si="315"/>
        <v>461.7994595960073</v>
      </c>
      <c r="BZ223" s="2">
        <f t="shared" si="315"/>
        <v>469.24344184689198</v>
      </c>
      <c r="CA223" s="2">
        <f t="shared" si="315"/>
        <v>476.66836525391051</v>
      </c>
      <c r="CB223" s="2">
        <f t="shared" si="315"/>
        <v>484.08705194219408</v>
      </c>
      <c r="CC223" s="2">
        <f t="shared" si="315"/>
        <v>491.48839693553651</v>
      </c>
      <c r="CD223" s="2">
        <f t="shared" si="315"/>
        <v>498.87334464750501</v>
      </c>
    </row>
    <row r="224" spans="1:82" s="2" customFormat="1" x14ac:dyDescent="0.2">
      <c r="C224" s="2" t="s">
        <v>162</v>
      </c>
      <c r="F224" s="2" t="s">
        <v>8</v>
      </c>
      <c r="G224" s="2">
        <f>O426</f>
        <v>1</v>
      </c>
      <c r="H224" s="2">
        <f t="shared" si="314"/>
        <v>0</v>
      </c>
      <c r="I224" s="2" t="str">
        <f t="shared" si="314"/>
        <v>emission_co2e_n2o_waso_compost_food|emission_co2e_n2o_waso_compost_sludge|emission_co2e_n2o_waso_compost_yard</v>
      </c>
      <c r="J224" s="2">
        <f t="shared" si="314"/>
        <v>0</v>
      </c>
      <c r="K224" s="2">
        <f t="shared" si="314"/>
        <v>102.375</v>
      </c>
      <c r="L224" s="2">
        <f t="shared" si="314"/>
        <v>102.375</v>
      </c>
      <c r="M224" s="2">
        <f t="shared" si="314"/>
        <v>101.82899999999999</v>
      </c>
      <c r="N224" s="2">
        <f t="shared" si="314"/>
        <v>101.556</v>
      </c>
      <c r="O224" s="2">
        <f t="shared" si="314"/>
        <v>101.283</v>
      </c>
      <c r="P224" s="2">
        <f t="shared" si="314"/>
        <v>101.283</v>
      </c>
      <c r="Q224" s="2">
        <f t="shared" si="314"/>
        <v>101.01</v>
      </c>
      <c r="R224" s="2">
        <f t="shared" si="314"/>
        <v>98.552999999999997</v>
      </c>
      <c r="S224" s="2">
        <f t="shared" si="314"/>
        <v>96.369</v>
      </c>
      <c r="T224" s="2">
        <f t="shared" si="314"/>
        <v>94.184999999999988</v>
      </c>
      <c r="U224" s="2">
        <f t="shared" si="314"/>
        <v>92.001000000000005</v>
      </c>
      <c r="V224" s="2">
        <f t="shared" si="314"/>
        <v>89.817000000000007</v>
      </c>
      <c r="W224" s="2">
        <f t="shared" si="314"/>
        <v>89.817000000000007</v>
      </c>
      <c r="X224" s="2">
        <f t="shared" si="314"/>
        <v>89.817000000000007</v>
      </c>
      <c r="Y224" s="2">
        <f t="shared" si="314"/>
        <v>90.09</v>
      </c>
      <c r="Z224" s="2">
        <f t="shared" si="314"/>
        <v>90.09</v>
      </c>
      <c r="AA224" s="2">
        <f t="shared" si="314"/>
        <v>90.363</v>
      </c>
      <c r="AB224" s="2">
        <f t="shared" si="314"/>
        <v>90.363</v>
      </c>
      <c r="AC224" s="2">
        <f t="shared" si="314"/>
        <v>90.363</v>
      </c>
      <c r="AD224" s="2">
        <f t="shared" si="314"/>
        <v>90.63600000000001</v>
      </c>
      <c r="AE224" s="2">
        <f t="shared" si="314"/>
        <v>90.909000000000006</v>
      </c>
      <c r="AF224" s="2">
        <f t="shared" si="314"/>
        <v>91.455000000000013</v>
      </c>
      <c r="AG224" s="2">
        <f t="shared" si="314"/>
        <v>91.728000000000009</v>
      </c>
      <c r="AH224" s="2">
        <f t="shared" si="314"/>
        <v>92.001000000000005</v>
      </c>
      <c r="AI224" s="2">
        <f t="shared" si="314"/>
        <v>81.081000000000003</v>
      </c>
      <c r="AJ224" s="2">
        <f t="shared" si="314"/>
        <v>83.721153538755104</v>
      </c>
      <c r="AK224" s="2">
        <f t="shared" si="314"/>
        <v>86.175646975221099</v>
      </c>
      <c r="AL224" s="2">
        <f t="shared" si="314"/>
        <v>88.787103234853802</v>
      </c>
      <c r="AM224" s="2">
        <f t="shared" si="314"/>
        <v>91.541111270010219</v>
      </c>
      <c r="AN224" s="2">
        <f t="shared" si="314"/>
        <v>94.446103872115089</v>
      </c>
      <c r="AO224" s="2">
        <f t="shared" si="314"/>
        <v>97.476309243740701</v>
      </c>
      <c r="AP224" s="2">
        <f t="shared" si="314"/>
        <v>100.6913212444108</v>
      </c>
      <c r="AQ224" s="2">
        <f t="shared" si="314"/>
        <v>104.1538429815942</v>
      </c>
      <c r="AR224" s="2">
        <f t="shared" si="314"/>
        <v>107.7896571120112</v>
      </c>
      <c r="AS224" s="2">
        <f t="shared" si="314"/>
        <v>111.58438743693949</v>
      </c>
      <c r="AT224" s="2">
        <f t="shared" si="314"/>
        <v>115.46477140415109</v>
      </c>
      <c r="AU224" s="2">
        <f t="shared" si="314"/>
        <v>119.24912590530219</v>
      </c>
      <c r="AV224" s="2">
        <f t="shared" si="314"/>
        <v>123.1219170399167</v>
      </c>
      <c r="AW224" s="2">
        <f t="shared" si="314"/>
        <v>127.083718036516</v>
      </c>
      <c r="AX224" s="2">
        <f t="shared" si="314"/>
        <v>131.13504318625911</v>
      </c>
      <c r="AY224" s="2">
        <f t="shared" si="314"/>
        <v>135.27660496499411</v>
      </c>
      <c r="AZ224" s="2">
        <f t="shared" si="314"/>
        <v>139.5088822625319</v>
      </c>
      <c r="BA224" s="2">
        <f t="shared" si="314"/>
        <v>143.8321482662169</v>
      </c>
      <c r="BB224" s="2">
        <f t="shared" si="314"/>
        <v>148.2466647600543</v>
      </c>
      <c r="BC224" s="2">
        <f t="shared" si="314"/>
        <v>152.7526257918957</v>
      </c>
      <c r="BD224" s="2">
        <f t="shared" si="314"/>
        <v>157.268401169806</v>
      </c>
      <c r="BE224" s="2">
        <f t="shared" si="314"/>
        <v>161.786040898289</v>
      </c>
      <c r="BF224" s="2">
        <f t="shared" si="314"/>
        <v>166.01406790891221</v>
      </c>
      <c r="BG224" s="2">
        <f t="shared" si="314"/>
        <v>170.21801478331881</v>
      </c>
      <c r="BH224" s="2">
        <f t="shared" si="314"/>
        <v>174.38159910882081</v>
      </c>
      <c r="BI224" s="2">
        <f t="shared" si="314"/>
        <v>178.48503299383341</v>
      </c>
      <c r="BJ224" s="2">
        <f t="shared" si="314"/>
        <v>182.45969993749361</v>
      </c>
      <c r="BK224" s="2">
        <f t="shared" si="314"/>
        <v>186.44871088394439</v>
      </c>
      <c r="BL224" s="2">
        <f t="shared" si="314"/>
        <v>190.44453135862619</v>
      </c>
      <c r="BM224" s="2">
        <f t="shared" si="314"/>
        <v>194.42763297978479</v>
      </c>
      <c r="BN224" s="2">
        <f t="shared" si="314"/>
        <v>198.3945852015992</v>
      </c>
      <c r="BO224" s="2">
        <f t="shared" si="314"/>
        <v>202.3507045028156</v>
      </c>
      <c r="BP224" s="2">
        <f t="shared" si="314"/>
        <v>206.29860403559999</v>
      </c>
      <c r="BQ224" s="2">
        <f t="shared" si="314"/>
        <v>210.23856081858739</v>
      </c>
      <c r="BR224" s="2">
        <f t="shared" si="314"/>
        <v>214.15503084018911</v>
      </c>
      <c r="BS224" s="2">
        <f t="shared" ref="BS224:CD224" si="316">CA426</f>
        <v>218.03614091563639</v>
      </c>
      <c r="BT224" s="2">
        <f t="shared" si="316"/>
        <v>221.8819556100955</v>
      </c>
      <c r="BU224" s="2">
        <f t="shared" si="316"/>
        <v>225.74076586384021</v>
      </c>
      <c r="BV224" s="2">
        <f t="shared" si="316"/>
        <v>229.61217541316549</v>
      </c>
      <c r="BW224" s="2">
        <f t="shared" si="316"/>
        <v>233.48607015856621</v>
      </c>
      <c r="BX224" s="2">
        <f t="shared" si="316"/>
        <v>237.35025278162701</v>
      </c>
      <c r="BY224" s="2">
        <f t="shared" si="316"/>
        <v>241.22437125983981</v>
      </c>
      <c r="BZ224" s="2">
        <f t="shared" si="316"/>
        <v>245.11279057438369</v>
      </c>
      <c r="CA224" s="2">
        <f t="shared" si="316"/>
        <v>248.99125436054121</v>
      </c>
      <c r="CB224" s="2">
        <f t="shared" si="316"/>
        <v>252.86646035043171</v>
      </c>
      <c r="CC224" s="2">
        <f t="shared" si="316"/>
        <v>256.73260777740961</v>
      </c>
      <c r="CD224" s="2">
        <f t="shared" si="316"/>
        <v>260.5901899628999</v>
      </c>
    </row>
    <row r="225" spans="1:82" s="7" customFormat="1" x14ac:dyDescent="0.2">
      <c r="B225" s="7" t="s">
        <v>163</v>
      </c>
      <c r="G225" s="7">
        <f>SUM(G226:G228)</f>
        <v>3</v>
      </c>
      <c r="H225" s="7">
        <f t="shared" ref="H225:BS225" si="317">SUM(H226:H228)</f>
        <v>0</v>
      </c>
      <c r="I225" s="7">
        <f t="shared" si="317"/>
        <v>0</v>
      </c>
      <c r="J225" s="7">
        <f t="shared" si="317"/>
        <v>0</v>
      </c>
      <c r="K225" s="7">
        <f t="shared" si="317"/>
        <v>7.4336999999999982</v>
      </c>
      <c r="L225" s="7">
        <f t="shared" si="317"/>
        <v>7.4336999999999982</v>
      </c>
      <c r="M225" s="7">
        <f t="shared" si="317"/>
        <v>7.4556999999999984</v>
      </c>
      <c r="N225" s="7">
        <f t="shared" si="317"/>
        <v>7.4586999999999986</v>
      </c>
      <c r="O225" s="7">
        <f t="shared" si="317"/>
        <v>7.4626999999999981</v>
      </c>
      <c r="P225" s="7">
        <f t="shared" si="317"/>
        <v>7.4976000000000003</v>
      </c>
      <c r="Q225" s="7">
        <f t="shared" si="317"/>
        <v>7.4996</v>
      </c>
      <c r="R225" s="7">
        <f t="shared" si="317"/>
        <v>8.0456000000000003</v>
      </c>
      <c r="S225" s="7">
        <f t="shared" si="317"/>
        <v>8.595600000000001</v>
      </c>
      <c r="T225" s="7">
        <f t="shared" si="317"/>
        <v>9.1275999999999993</v>
      </c>
      <c r="U225" s="7">
        <f t="shared" si="317"/>
        <v>9.9725000000000001</v>
      </c>
      <c r="V225" s="7">
        <f t="shared" si="317"/>
        <v>10.663499999999999</v>
      </c>
      <c r="W225" s="7">
        <f t="shared" si="317"/>
        <v>10.733499999999999</v>
      </c>
      <c r="X225" s="7">
        <f t="shared" si="317"/>
        <v>10.755499999999998</v>
      </c>
      <c r="Y225" s="7">
        <f t="shared" si="317"/>
        <v>10.811499999999999</v>
      </c>
      <c r="Z225" s="7">
        <f t="shared" si="317"/>
        <v>10.865500000000001</v>
      </c>
      <c r="AA225" s="7">
        <f t="shared" si="317"/>
        <v>10.9215</v>
      </c>
      <c r="AB225" s="7">
        <f t="shared" si="317"/>
        <v>10.9755</v>
      </c>
      <c r="AC225" s="7">
        <f t="shared" si="317"/>
        <v>7.0045000000000002</v>
      </c>
      <c r="AD225" s="7">
        <f t="shared" si="317"/>
        <v>11.0456</v>
      </c>
      <c r="AE225" s="7">
        <f t="shared" si="317"/>
        <v>11.067600000000001</v>
      </c>
      <c r="AF225" s="7">
        <f t="shared" si="317"/>
        <v>11.073600000000001</v>
      </c>
      <c r="AG225" s="7">
        <f t="shared" si="317"/>
        <v>10.9536</v>
      </c>
      <c r="AH225" s="7">
        <f t="shared" si="317"/>
        <v>11.496599999999999</v>
      </c>
      <c r="AI225" s="7">
        <f t="shared" si="317"/>
        <v>11.092600000000001</v>
      </c>
      <c r="AJ225" s="7">
        <f t="shared" si="317"/>
        <v>9.1402862077804325</v>
      </c>
      <c r="AK225" s="7">
        <f t="shared" si="317"/>
        <v>9.4435978890594257</v>
      </c>
      <c r="AL225" s="7">
        <f t="shared" si="317"/>
        <v>9.8234593663614653</v>
      </c>
      <c r="AM225" s="7">
        <f t="shared" si="317"/>
        <v>10.269543671039671</v>
      </c>
      <c r="AN225" s="7">
        <f t="shared" si="317"/>
        <v>10.790035696032126</v>
      </c>
      <c r="AO225" s="7">
        <f t="shared" si="317"/>
        <v>11.375779199776154</v>
      </c>
      <c r="AP225" s="7">
        <f t="shared" si="317"/>
        <v>12.05444572209127</v>
      </c>
      <c r="AQ225" s="7">
        <f t="shared" si="317"/>
        <v>12.920189808603386</v>
      </c>
      <c r="AR225" s="7">
        <f t="shared" si="317"/>
        <v>13.925933729214204</v>
      </c>
      <c r="AS225" s="7">
        <f t="shared" si="317"/>
        <v>15.073117647873019</v>
      </c>
      <c r="AT225" s="7">
        <f t="shared" si="317"/>
        <v>16.302842066359705</v>
      </c>
      <c r="AU225" s="7">
        <f t="shared" si="317"/>
        <v>17.425282072368578</v>
      </c>
      <c r="AV225" s="7">
        <f t="shared" si="317"/>
        <v>18.625286848192964</v>
      </c>
      <c r="AW225" s="7">
        <f t="shared" si="317"/>
        <v>19.907963430913593</v>
      </c>
      <c r="AX225" s="7">
        <f t="shared" si="317"/>
        <v>21.278719100462769</v>
      </c>
      <c r="AY225" s="7">
        <f t="shared" si="317"/>
        <v>22.743609998672255</v>
      </c>
      <c r="AZ225" s="7">
        <f t="shared" si="317"/>
        <v>24.308766257476023</v>
      </c>
      <c r="BA225" s="7">
        <f t="shared" si="317"/>
        <v>25.980672763992821</v>
      </c>
      <c r="BB225" s="7">
        <f t="shared" si="317"/>
        <v>27.766186586798529</v>
      </c>
      <c r="BC225" s="7">
        <f t="shared" si="317"/>
        <v>29.672554156341558</v>
      </c>
      <c r="BD225" s="7">
        <f t="shared" si="317"/>
        <v>31.580484405006001</v>
      </c>
      <c r="BE225" s="7">
        <f t="shared" si="317"/>
        <v>33.469998409751071</v>
      </c>
      <c r="BF225" s="7">
        <f t="shared" si="317"/>
        <v>35.308399882917499</v>
      </c>
      <c r="BG225" s="7">
        <f t="shared" si="317"/>
        <v>37.084670711000982</v>
      </c>
      <c r="BH225" s="7">
        <f t="shared" si="317"/>
        <v>38.775971667883091</v>
      </c>
      <c r="BI225" s="7">
        <f t="shared" si="317"/>
        <v>40.359374026192107</v>
      </c>
      <c r="BJ225" s="7">
        <f t="shared" si="317"/>
        <v>41.812818315397394</v>
      </c>
      <c r="BK225" s="7">
        <f t="shared" si="317"/>
        <v>43.251826436640485</v>
      </c>
      <c r="BL225" s="7">
        <f t="shared" si="317"/>
        <v>44.67066734217731</v>
      </c>
      <c r="BM225" s="7">
        <f t="shared" si="317"/>
        <v>46.063026358946374</v>
      </c>
      <c r="BN225" s="7">
        <f t="shared" si="317"/>
        <v>47.423185511101579</v>
      </c>
      <c r="BO225" s="7">
        <f t="shared" si="317"/>
        <v>48.745763972481001</v>
      </c>
      <c r="BP225" s="7">
        <f t="shared" si="317"/>
        <v>50.025299888233342</v>
      </c>
      <c r="BQ225" s="7">
        <f t="shared" si="317"/>
        <v>51.256302465231499</v>
      </c>
      <c r="BR225" s="7">
        <f t="shared" si="317"/>
        <v>52.432748011808172</v>
      </c>
      <c r="BS225" s="7">
        <f t="shared" si="317"/>
        <v>53.548917684378821</v>
      </c>
      <c r="BT225" s="7">
        <f t="shared" ref="BT225:CD225" si="318">SUM(BT226:BT228)</f>
        <v>54.599776643025855</v>
      </c>
      <c r="BU225" s="7">
        <f t="shared" si="318"/>
        <v>55.669060096276368</v>
      </c>
      <c r="BV225" s="7">
        <f t="shared" si="318"/>
        <v>56.757109031440997</v>
      </c>
      <c r="BW225" s="7">
        <f t="shared" si="318"/>
        <v>57.863875264303708</v>
      </c>
      <c r="BX225" s="7">
        <f t="shared" si="318"/>
        <v>58.989232625498403</v>
      </c>
      <c r="BY225" s="7">
        <f t="shared" si="318"/>
        <v>60.134358719169747</v>
      </c>
      <c r="BZ225" s="7">
        <f t="shared" si="318"/>
        <v>61.299820029656033</v>
      </c>
      <c r="CA225" s="7">
        <f t="shared" si="318"/>
        <v>62.485020879524171</v>
      </c>
      <c r="CB225" s="7">
        <f t="shared" si="318"/>
        <v>63.690635953271567</v>
      </c>
      <c r="CC225" s="7">
        <f t="shared" si="318"/>
        <v>64.916837934088676</v>
      </c>
      <c r="CD225" s="7">
        <f t="shared" si="318"/>
        <v>66.164062085100312</v>
      </c>
    </row>
    <row r="226" spans="1:82" s="2" customFormat="1" x14ac:dyDescent="0.2">
      <c r="C226" s="2" t="s">
        <v>164</v>
      </c>
      <c r="F226" s="2" t="s">
        <v>6</v>
      </c>
      <c r="G226" s="2">
        <f t="shared" ref="G226:P228" si="319">O427</f>
        <v>1</v>
      </c>
      <c r="H226" s="2">
        <f t="shared" si="319"/>
        <v>0</v>
      </c>
      <c r="I226" s="2" t="str">
        <f t="shared" si="319"/>
        <v>emission_co2e_ch4_waso_incineration</v>
      </c>
      <c r="J226" s="2">
        <f t="shared" si="319"/>
        <v>0</v>
      </c>
      <c r="K226" s="2">
        <f t="shared" si="319"/>
        <v>2.873699999999999</v>
      </c>
      <c r="L226" s="2">
        <f t="shared" si="319"/>
        <v>2.873699999999999</v>
      </c>
      <c r="M226" s="2">
        <f t="shared" si="319"/>
        <v>2.873699999999999</v>
      </c>
      <c r="N226" s="2">
        <f t="shared" si="319"/>
        <v>2.873699999999999</v>
      </c>
      <c r="O226" s="2">
        <f t="shared" si="319"/>
        <v>2.873699999999999</v>
      </c>
      <c r="P226" s="2">
        <f t="shared" si="319"/>
        <v>2.9016000000000002</v>
      </c>
      <c r="Q226" s="2">
        <f t="shared" ref="Q226:Z228" si="320">Y427</f>
        <v>2.9016000000000002</v>
      </c>
      <c r="R226" s="2">
        <f t="shared" si="320"/>
        <v>2.9016000000000002</v>
      </c>
      <c r="S226" s="2">
        <f t="shared" si="320"/>
        <v>2.9016000000000002</v>
      </c>
      <c r="T226" s="2">
        <f t="shared" si="320"/>
        <v>2.9016000000000002</v>
      </c>
      <c r="U226" s="2">
        <f t="shared" si="320"/>
        <v>2.9295</v>
      </c>
      <c r="V226" s="2">
        <f t="shared" si="320"/>
        <v>2.9295</v>
      </c>
      <c r="W226" s="2">
        <f t="shared" si="320"/>
        <v>2.9295</v>
      </c>
      <c r="X226" s="2">
        <f t="shared" si="320"/>
        <v>2.9295</v>
      </c>
      <c r="Y226" s="2">
        <f t="shared" si="320"/>
        <v>2.9295</v>
      </c>
      <c r="Z226" s="2">
        <f t="shared" si="320"/>
        <v>2.9295</v>
      </c>
      <c r="AA226" s="2">
        <f t="shared" ref="AA226:AJ228" si="321">AI427</f>
        <v>2.9295</v>
      </c>
      <c r="AB226" s="2">
        <f t="shared" si="321"/>
        <v>2.9295</v>
      </c>
      <c r="AC226" s="2">
        <f t="shared" si="321"/>
        <v>2.9295</v>
      </c>
      <c r="AD226" s="2">
        <f t="shared" si="321"/>
        <v>2.9016000000000002</v>
      </c>
      <c r="AE226" s="2">
        <f t="shared" si="321"/>
        <v>2.9016000000000002</v>
      </c>
      <c r="AF226" s="2">
        <f t="shared" si="321"/>
        <v>2.9016000000000002</v>
      </c>
      <c r="AG226" s="2">
        <f t="shared" si="321"/>
        <v>2.9016000000000002</v>
      </c>
      <c r="AH226" s="2">
        <f t="shared" si="321"/>
        <v>2.9016000000000002</v>
      </c>
      <c r="AI226" s="2">
        <f t="shared" si="321"/>
        <v>2.9016000000000002</v>
      </c>
      <c r="AJ226" s="2">
        <f t="shared" si="321"/>
        <v>0.98732988210829997</v>
      </c>
      <c r="AK226" s="2">
        <f t="shared" ref="AK226:AT228" si="322">AS427</f>
        <v>1.0176087447526001</v>
      </c>
      <c r="AL226" s="2">
        <f t="shared" si="322"/>
        <v>1.0519797662089001</v>
      </c>
      <c r="AM226" s="2">
        <f t="shared" si="322"/>
        <v>1.089942874955</v>
      </c>
      <c r="AN226" s="2">
        <f t="shared" si="322"/>
        <v>1.1318712420168</v>
      </c>
      <c r="AO226" s="2">
        <f t="shared" si="322"/>
        <v>1.1772300739506001</v>
      </c>
      <c r="AP226" s="2">
        <f t="shared" si="322"/>
        <v>1.2274798032259999</v>
      </c>
      <c r="AQ226" s="2">
        <f t="shared" si="322"/>
        <v>1.2866783145064</v>
      </c>
      <c r="AR226" s="2">
        <f t="shared" si="322"/>
        <v>1.3524791634330999</v>
      </c>
      <c r="AS226" s="2">
        <f t="shared" si="322"/>
        <v>1.4248243541468</v>
      </c>
      <c r="AT226" s="2">
        <f t="shared" si="322"/>
        <v>1.5009306155838</v>
      </c>
      <c r="AU226" s="2">
        <f t="shared" ref="AU226:BD228" si="323">BC427</f>
        <v>1.5722525514143</v>
      </c>
      <c r="AV226" s="2">
        <f t="shared" si="323"/>
        <v>1.6471703208935</v>
      </c>
      <c r="AW226" s="2">
        <f t="shared" si="323"/>
        <v>1.725880088691</v>
      </c>
      <c r="AX226" s="2">
        <f t="shared" si="323"/>
        <v>1.8085888260692999</v>
      </c>
      <c r="AY226" s="2">
        <f t="shared" si="323"/>
        <v>1.8955294071872999</v>
      </c>
      <c r="AZ226" s="2">
        <f t="shared" si="323"/>
        <v>1.9869355868784999</v>
      </c>
      <c r="BA226" s="2">
        <f t="shared" si="323"/>
        <v>2.0830529521367001</v>
      </c>
      <c r="BB226" s="2">
        <f t="shared" si="323"/>
        <v>2.1841409049733</v>
      </c>
      <c r="BC226" s="2">
        <f t="shared" si="323"/>
        <v>2.2904729260695</v>
      </c>
      <c r="BD226" s="2">
        <f t="shared" si="323"/>
        <v>2.3969329986880998</v>
      </c>
      <c r="BE226" s="2">
        <f t="shared" ref="BE226:BN228" si="324">BM427</f>
        <v>2.5027089379922001</v>
      </c>
      <c r="BF226" s="2">
        <f t="shared" si="324"/>
        <v>2.6043309287522001</v>
      </c>
      <c r="BG226" s="2">
        <f t="shared" si="324"/>
        <v>2.7034264418629999</v>
      </c>
      <c r="BH226" s="2">
        <f t="shared" si="324"/>
        <v>2.7990120990273999</v>
      </c>
      <c r="BI226" s="2">
        <f t="shared" si="324"/>
        <v>2.8900742298963999</v>
      </c>
      <c r="BJ226" s="2">
        <f t="shared" si="324"/>
        <v>2.9753079881633</v>
      </c>
      <c r="BK226" s="2">
        <f t="shared" si="324"/>
        <v>3.0601093295363002</v>
      </c>
      <c r="BL226" s="2">
        <f t="shared" si="324"/>
        <v>3.1442049243975001</v>
      </c>
      <c r="BM226" s="2">
        <f t="shared" si="324"/>
        <v>3.2272072605854998</v>
      </c>
      <c r="BN226" s="2">
        <f t="shared" si="324"/>
        <v>3.3088750429606</v>
      </c>
      <c r="BO226" s="2">
        <f t="shared" ref="BO226:BX228" si="325">BW427</f>
        <v>3.3890468767930999</v>
      </c>
      <c r="BP226" s="2">
        <f t="shared" si="325"/>
        <v>3.4675376187271998</v>
      </c>
      <c r="BQ226" s="2">
        <f t="shared" si="325"/>
        <v>3.5441430242320999</v>
      </c>
      <c r="BR226" s="2">
        <f t="shared" si="325"/>
        <v>3.6185171208396998</v>
      </c>
      <c r="BS226" s="2">
        <f t="shared" si="325"/>
        <v>3.6903536102849999</v>
      </c>
      <c r="BT226" s="2">
        <f t="shared" ref="BT226:CD228" si="326">CB427</f>
        <v>3.7594636636206</v>
      </c>
      <c r="BU226" s="2">
        <f t="shared" si="326"/>
        <v>3.8293670955711998</v>
      </c>
      <c r="BV226" s="2">
        <f t="shared" si="326"/>
        <v>3.9000736801378002</v>
      </c>
      <c r="BW226" s="2">
        <f t="shared" si="326"/>
        <v>3.9715038107953999</v>
      </c>
      <c r="BX226" s="2">
        <f t="shared" si="326"/>
        <v>4.0435589196877002</v>
      </c>
      <c r="BY226" s="2">
        <f t="shared" si="326"/>
        <v>4.1164343561686998</v>
      </c>
      <c r="BZ226" s="2">
        <f t="shared" si="326"/>
        <v>4.1901850407992001</v>
      </c>
      <c r="CA226" s="2">
        <f t="shared" si="326"/>
        <v>4.2646019888718003</v>
      </c>
      <c r="CB226" s="2">
        <f t="shared" si="326"/>
        <v>4.3397620768336997</v>
      </c>
      <c r="CC226" s="2">
        <f t="shared" si="326"/>
        <v>4.4156271641458007</v>
      </c>
      <c r="CD226" s="2">
        <f t="shared" si="326"/>
        <v>4.4922173436464998</v>
      </c>
    </row>
    <row r="227" spans="1:82" s="2" customFormat="1" x14ac:dyDescent="0.2">
      <c r="C227" s="2" t="s">
        <v>164</v>
      </c>
      <c r="F227" s="2" t="s">
        <v>7</v>
      </c>
      <c r="G227" s="2">
        <f t="shared" si="319"/>
        <v>1</v>
      </c>
      <c r="H227" s="2">
        <f t="shared" si="319"/>
        <v>0</v>
      </c>
      <c r="I227" s="2" t="str">
        <f t="shared" si="319"/>
        <v>emission_co2e_co2_waso_incineration</v>
      </c>
      <c r="J227" s="2">
        <f t="shared" si="319"/>
        <v>0</v>
      </c>
      <c r="K227" s="2">
        <f t="shared" si="319"/>
        <v>4.2869999999999999</v>
      </c>
      <c r="L227" s="2">
        <f t="shared" si="319"/>
        <v>4.2869999999999999</v>
      </c>
      <c r="M227" s="2">
        <f t="shared" si="319"/>
        <v>4.3090000000000002</v>
      </c>
      <c r="N227" s="2">
        <f t="shared" si="319"/>
        <v>4.3120000000000003</v>
      </c>
      <c r="O227" s="2">
        <f t="shared" si="319"/>
        <v>4.3159999999999998</v>
      </c>
      <c r="P227" s="2">
        <f t="shared" si="319"/>
        <v>4.3230000000000004</v>
      </c>
      <c r="Q227" s="2">
        <f t="shared" si="320"/>
        <v>4.3250000000000002</v>
      </c>
      <c r="R227" s="2">
        <f t="shared" si="320"/>
        <v>4.8710000000000004</v>
      </c>
      <c r="S227" s="2">
        <f t="shared" si="320"/>
        <v>5.4210000000000003</v>
      </c>
      <c r="T227" s="2">
        <f t="shared" si="320"/>
        <v>5.9529999999999994</v>
      </c>
      <c r="U227" s="2">
        <f t="shared" si="320"/>
        <v>6.77</v>
      </c>
      <c r="V227" s="2">
        <f t="shared" si="320"/>
        <v>7.4610000000000003</v>
      </c>
      <c r="W227" s="2">
        <f t="shared" si="320"/>
        <v>7.5309999999999997</v>
      </c>
      <c r="X227" s="2">
        <f t="shared" si="320"/>
        <v>7.552999999999999</v>
      </c>
      <c r="Y227" s="2">
        <f t="shared" si="320"/>
        <v>7.609</v>
      </c>
      <c r="Z227" s="2">
        <f t="shared" si="320"/>
        <v>7.6630000000000003</v>
      </c>
      <c r="AA227" s="2">
        <f t="shared" si="321"/>
        <v>7.7190000000000003</v>
      </c>
      <c r="AB227" s="2">
        <f t="shared" si="321"/>
        <v>7.7730000000000006</v>
      </c>
      <c r="AC227" s="2">
        <f t="shared" si="321"/>
        <v>3.802</v>
      </c>
      <c r="AD227" s="2">
        <f t="shared" si="321"/>
        <v>7.8710000000000004</v>
      </c>
      <c r="AE227" s="2">
        <f t="shared" si="321"/>
        <v>7.8930000000000007</v>
      </c>
      <c r="AF227" s="2">
        <f t="shared" si="321"/>
        <v>7.8990000000000009</v>
      </c>
      <c r="AG227" s="2">
        <f t="shared" si="321"/>
        <v>7.7789999999999999</v>
      </c>
      <c r="AH227" s="2">
        <f t="shared" si="321"/>
        <v>8.3219999999999992</v>
      </c>
      <c r="AI227" s="2">
        <f t="shared" si="321"/>
        <v>7.918000000000001</v>
      </c>
      <c r="AJ227" s="2">
        <f t="shared" si="321"/>
        <v>8.149690176524599</v>
      </c>
      <c r="AK227" s="2">
        <f t="shared" si="322"/>
        <v>8.4226283660501</v>
      </c>
      <c r="AL227" s="2">
        <f t="shared" si="322"/>
        <v>8.7680115416138005</v>
      </c>
      <c r="AM227" s="2">
        <f t="shared" si="322"/>
        <v>9.1760145027223992</v>
      </c>
      <c r="AN227" s="2">
        <f t="shared" si="322"/>
        <v>9.6544478642287999</v>
      </c>
      <c r="AO227" s="2">
        <f t="shared" si="322"/>
        <v>10.1946941876507</v>
      </c>
      <c r="AP227" s="2">
        <f t="shared" si="322"/>
        <v>10.8229496838639</v>
      </c>
      <c r="AQ227" s="2">
        <f t="shared" si="322"/>
        <v>11.629305521889799</v>
      </c>
      <c r="AR227" s="2">
        <f t="shared" si="322"/>
        <v>12.569037919416299</v>
      </c>
      <c r="AS227" s="2">
        <f t="shared" si="322"/>
        <v>13.643645235837599</v>
      </c>
      <c r="AT227" s="2">
        <f t="shared" si="322"/>
        <v>14.7970201210057</v>
      </c>
      <c r="AU227" s="2">
        <f t="shared" si="323"/>
        <v>15.8479103323735</v>
      </c>
      <c r="AV227" s="2">
        <f t="shared" si="323"/>
        <v>16.972758161729299</v>
      </c>
      <c r="AW227" s="2">
        <f t="shared" si="323"/>
        <v>18.176473865857201</v>
      </c>
      <c r="AX227" s="2">
        <f t="shared" si="323"/>
        <v>19.4642571036349</v>
      </c>
      <c r="AY227" s="2">
        <f t="shared" si="323"/>
        <v>20.8419304107404</v>
      </c>
      <c r="AZ227" s="2">
        <f t="shared" si="323"/>
        <v>22.315389414937702</v>
      </c>
      <c r="BA227" s="2">
        <f t="shared" si="323"/>
        <v>23.890872657949899</v>
      </c>
      <c r="BB227" s="2">
        <f t="shared" si="323"/>
        <v>25.574976990588201</v>
      </c>
      <c r="BC227" s="2">
        <f t="shared" si="323"/>
        <v>27.374674502242101</v>
      </c>
      <c r="BD227" s="2">
        <f t="shared" si="323"/>
        <v>29.175806428958701</v>
      </c>
      <c r="BE227" s="2">
        <f t="shared" si="324"/>
        <v>30.959208591455901</v>
      </c>
      <c r="BF227" s="2">
        <f t="shared" si="324"/>
        <v>32.695665811873702</v>
      </c>
      <c r="BG227" s="2">
        <f t="shared" si="324"/>
        <v>34.372527097763097</v>
      </c>
      <c r="BH227" s="2">
        <f t="shared" si="324"/>
        <v>35.967939734650002</v>
      </c>
      <c r="BI227" s="2">
        <f t="shared" si="324"/>
        <v>37.459991894675902</v>
      </c>
      <c r="BJ227" s="2">
        <f t="shared" si="324"/>
        <v>38.8279329885316</v>
      </c>
      <c r="BK227" s="2">
        <f t="shared" si="324"/>
        <v>40.181871886456499</v>
      </c>
      <c r="BL227" s="2">
        <f t="shared" si="324"/>
        <v>41.516351743183712</v>
      </c>
      <c r="BM227" s="2">
        <f t="shared" si="324"/>
        <v>42.825446640529499</v>
      </c>
      <c r="BN227" s="2">
        <f t="shared" si="324"/>
        <v>44.103680663403701</v>
      </c>
      <c r="BO227" s="2">
        <f t="shared" si="325"/>
        <v>45.345834874649597</v>
      </c>
      <c r="BP227" s="2">
        <f t="shared" si="325"/>
        <v>46.546633156056998</v>
      </c>
      <c r="BQ227" s="2">
        <f t="shared" si="325"/>
        <v>47.7007896033709</v>
      </c>
      <c r="BR227" s="2">
        <f t="shared" si="325"/>
        <v>48.802627600641401</v>
      </c>
      <c r="BS227" s="2">
        <f t="shared" si="325"/>
        <v>49.846735575989598</v>
      </c>
      <c r="BT227" s="2">
        <f t="shared" si="326"/>
        <v>50.828268098752012</v>
      </c>
      <c r="BU227" s="2">
        <f t="shared" si="326"/>
        <v>51.8274293964473</v>
      </c>
      <c r="BV227" s="2">
        <f t="shared" si="326"/>
        <v>52.844550653646998</v>
      </c>
      <c r="BW227" s="2">
        <f t="shared" si="326"/>
        <v>53.879663552625701</v>
      </c>
      <c r="BX227" s="2">
        <f t="shared" si="326"/>
        <v>54.932740812345202</v>
      </c>
      <c r="BY227" s="2">
        <f t="shared" si="326"/>
        <v>56.0047640462613</v>
      </c>
      <c r="BZ227" s="2">
        <f t="shared" si="326"/>
        <v>57.096244656131901</v>
      </c>
      <c r="CA227" s="2">
        <f t="shared" si="326"/>
        <v>58.206796625537599</v>
      </c>
      <c r="CB227" s="2">
        <f t="shared" si="326"/>
        <v>59.337017516586712</v>
      </c>
      <c r="CC227" s="2">
        <f t="shared" si="326"/>
        <v>60.487118277724399</v>
      </c>
      <c r="CD227" s="2">
        <f t="shared" si="326"/>
        <v>61.657514002743603</v>
      </c>
    </row>
    <row r="228" spans="1:82" s="2" customFormat="1" x14ac:dyDescent="0.2">
      <c r="C228" s="2" t="s">
        <v>164</v>
      </c>
      <c r="F228" s="2" t="s">
        <v>8</v>
      </c>
      <c r="G228" s="2">
        <f t="shared" si="319"/>
        <v>1</v>
      </c>
      <c r="H228" s="2">
        <f t="shared" si="319"/>
        <v>0</v>
      </c>
      <c r="I228" s="2" t="str">
        <f t="shared" si="319"/>
        <v>emission_co2e_n2o_waso_incineration</v>
      </c>
      <c r="J228" s="2">
        <f t="shared" si="319"/>
        <v>0</v>
      </c>
      <c r="K228" s="2">
        <f t="shared" si="319"/>
        <v>0.27300000000000002</v>
      </c>
      <c r="L228" s="2">
        <f t="shared" si="319"/>
        <v>0.27300000000000002</v>
      </c>
      <c r="M228" s="2">
        <f t="shared" si="319"/>
        <v>0.27300000000000002</v>
      </c>
      <c r="N228" s="2">
        <f t="shared" si="319"/>
        <v>0.27300000000000002</v>
      </c>
      <c r="O228" s="2">
        <f t="shared" si="319"/>
        <v>0.27300000000000002</v>
      </c>
      <c r="P228" s="2">
        <f t="shared" si="319"/>
        <v>0.27300000000000002</v>
      </c>
      <c r="Q228" s="2">
        <f t="shared" si="320"/>
        <v>0.27300000000000002</v>
      </c>
      <c r="R228" s="2">
        <f t="shared" si="320"/>
        <v>0.27300000000000002</v>
      </c>
      <c r="S228" s="2">
        <f t="shared" si="320"/>
        <v>0.27300000000000002</v>
      </c>
      <c r="T228" s="2">
        <f t="shared" si="320"/>
        <v>0.27300000000000002</v>
      </c>
      <c r="U228" s="2">
        <f t="shared" si="320"/>
        <v>0.27300000000000002</v>
      </c>
      <c r="V228" s="2">
        <f t="shared" si="320"/>
        <v>0.27300000000000002</v>
      </c>
      <c r="W228" s="2">
        <f t="shared" si="320"/>
        <v>0.27300000000000002</v>
      </c>
      <c r="X228" s="2">
        <f t="shared" si="320"/>
        <v>0.27300000000000002</v>
      </c>
      <c r="Y228" s="2">
        <f t="shared" si="320"/>
        <v>0.27300000000000002</v>
      </c>
      <c r="Z228" s="2">
        <f t="shared" si="320"/>
        <v>0.27300000000000002</v>
      </c>
      <c r="AA228" s="2">
        <f t="shared" si="321"/>
        <v>0.27300000000000002</v>
      </c>
      <c r="AB228" s="2">
        <f t="shared" si="321"/>
        <v>0.27300000000000002</v>
      </c>
      <c r="AC228" s="2">
        <f t="shared" si="321"/>
        <v>0.27300000000000002</v>
      </c>
      <c r="AD228" s="2">
        <f t="shared" si="321"/>
        <v>0.27300000000000002</v>
      </c>
      <c r="AE228" s="2">
        <f t="shared" si="321"/>
        <v>0.27300000000000002</v>
      </c>
      <c r="AF228" s="2">
        <f t="shared" si="321"/>
        <v>0.27300000000000002</v>
      </c>
      <c r="AG228" s="2">
        <f t="shared" si="321"/>
        <v>0.27300000000000002</v>
      </c>
      <c r="AH228" s="2">
        <f t="shared" si="321"/>
        <v>0.27300000000000002</v>
      </c>
      <c r="AI228" s="2">
        <f t="shared" si="321"/>
        <v>0.27300000000000002</v>
      </c>
      <c r="AJ228" s="2">
        <f t="shared" si="321"/>
        <v>3.26614914753319E-3</v>
      </c>
      <c r="AK228" s="2">
        <f t="shared" si="322"/>
        <v>3.3607782567251698E-3</v>
      </c>
      <c r="AL228" s="2">
        <f t="shared" si="322"/>
        <v>3.4680585387649402E-3</v>
      </c>
      <c r="AM228" s="2">
        <f t="shared" si="322"/>
        <v>3.5862933622714502E-3</v>
      </c>
      <c r="AN228" s="2">
        <f t="shared" si="322"/>
        <v>3.71658978652596E-3</v>
      </c>
      <c r="AO228" s="2">
        <f t="shared" si="322"/>
        <v>3.8549381748539998E-3</v>
      </c>
      <c r="AP228" s="2">
        <f t="shared" si="322"/>
        <v>4.0162350013687202E-3</v>
      </c>
      <c r="AQ228" s="2">
        <f t="shared" si="322"/>
        <v>4.2059722071857699E-3</v>
      </c>
      <c r="AR228" s="2">
        <f t="shared" si="322"/>
        <v>4.4166463648040799E-3</v>
      </c>
      <c r="AS228" s="2">
        <f t="shared" si="322"/>
        <v>4.6480578886203194E-3</v>
      </c>
      <c r="AT228" s="2">
        <f t="shared" si="322"/>
        <v>4.89132977020563E-3</v>
      </c>
      <c r="AU228" s="2">
        <f t="shared" si="323"/>
        <v>5.11918858077992E-3</v>
      </c>
      <c r="AV228" s="2">
        <f t="shared" si="323"/>
        <v>5.3583655701652201E-3</v>
      </c>
      <c r="AW228" s="2">
        <f t="shared" si="323"/>
        <v>5.6094763653942907E-3</v>
      </c>
      <c r="AX228" s="2">
        <f t="shared" si="323"/>
        <v>5.8731707585688402E-3</v>
      </c>
      <c r="AY228" s="2">
        <f t="shared" si="323"/>
        <v>6.1501807445539314E-3</v>
      </c>
      <c r="AZ228" s="2">
        <f t="shared" si="323"/>
        <v>6.4412556598225498E-3</v>
      </c>
      <c r="BA228" s="2">
        <f t="shared" si="323"/>
        <v>6.74715390622109E-3</v>
      </c>
      <c r="BB228" s="2">
        <f t="shared" si="323"/>
        <v>7.0686912370258497E-3</v>
      </c>
      <c r="BC228" s="2">
        <f t="shared" si="323"/>
        <v>7.4067280299568803E-3</v>
      </c>
      <c r="BD228" s="2">
        <f t="shared" si="323"/>
        <v>7.7449773591985009E-3</v>
      </c>
      <c r="BE228" s="2">
        <f t="shared" si="324"/>
        <v>8.0808803029725207E-3</v>
      </c>
      <c r="BF228" s="2">
        <f t="shared" si="324"/>
        <v>8.4031422916001908E-3</v>
      </c>
      <c r="BG228" s="2">
        <f t="shared" si="324"/>
        <v>8.7171713748838801E-3</v>
      </c>
      <c r="BH228" s="2">
        <f t="shared" si="324"/>
        <v>9.0198342056877299E-3</v>
      </c>
      <c r="BI228" s="2">
        <f t="shared" si="324"/>
        <v>9.3079016198080993E-3</v>
      </c>
      <c r="BJ228" s="2">
        <f t="shared" si="324"/>
        <v>9.5773387024911394E-3</v>
      </c>
      <c r="BK228" s="2">
        <f t="shared" si="324"/>
        <v>9.8452206476850688E-3</v>
      </c>
      <c r="BL228" s="2">
        <f t="shared" si="324"/>
        <v>1.01106745960961E-2</v>
      </c>
      <c r="BM228" s="2">
        <f t="shared" si="324"/>
        <v>1.03724578313739E-2</v>
      </c>
      <c r="BN228" s="2">
        <f t="shared" si="324"/>
        <v>1.06298047372751E-2</v>
      </c>
      <c r="BO228" s="2">
        <f t="shared" si="325"/>
        <v>1.0882221038302E-2</v>
      </c>
      <c r="BP228" s="2">
        <f t="shared" si="325"/>
        <v>1.11291134491421E-2</v>
      </c>
      <c r="BQ228" s="2">
        <f t="shared" si="325"/>
        <v>1.13698376285023E-2</v>
      </c>
      <c r="BR228" s="2">
        <f t="shared" si="325"/>
        <v>1.1603290327072699E-2</v>
      </c>
      <c r="BS228" s="2">
        <f t="shared" si="325"/>
        <v>1.1828498104223499E-2</v>
      </c>
      <c r="BT228" s="2">
        <f t="shared" si="326"/>
        <v>1.20448806532452E-2</v>
      </c>
      <c r="BU228" s="2">
        <f t="shared" si="326"/>
        <v>1.22636042578677E-2</v>
      </c>
      <c r="BV228" s="2">
        <f t="shared" si="326"/>
        <v>1.2484697656200401E-2</v>
      </c>
      <c r="BW228" s="2">
        <f t="shared" si="326"/>
        <v>1.27079008826071E-2</v>
      </c>
      <c r="BX228" s="2">
        <f t="shared" si="326"/>
        <v>1.29328934655061E-2</v>
      </c>
      <c r="BY228" s="2">
        <f t="shared" si="326"/>
        <v>1.31603167397524E-2</v>
      </c>
      <c r="BZ228" s="2">
        <f t="shared" si="326"/>
        <v>1.33903327249335E-2</v>
      </c>
      <c r="CA228" s="2">
        <f t="shared" si="326"/>
        <v>1.3622265114771799E-2</v>
      </c>
      <c r="CB228" s="2">
        <f t="shared" si="326"/>
        <v>1.3856359851153801E-2</v>
      </c>
      <c r="CC228" s="2">
        <f t="shared" si="326"/>
        <v>1.4092492218481601E-2</v>
      </c>
      <c r="CD228" s="2">
        <f t="shared" si="326"/>
        <v>1.4330738710208801E-2</v>
      </c>
    </row>
    <row r="229" spans="1:82" s="7" customFormat="1" x14ac:dyDescent="0.2">
      <c r="B229" s="7" t="s">
        <v>165</v>
      </c>
      <c r="G229" s="7">
        <f>SUM(G230:G231)</f>
        <v>2</v>
      </c>
      <c r="H229" s="7">
        <f t="shared" ref="H229:BS229" si="327">SUM(H230:H231)</f>
        <v>0</v>
      </c>
      <c r="I229" s="7">
        <f t="shared" si="327"/>
        <v>0</v>
      </c>
      <c r="J229" s="7">
        <f t="shared" si="327"/>
        <v>0</v>
      </c>
      <c r="K229" s="7">
        <f t="shared" si="327"/>
        <v>3346.6647000000003</v>
      </c>
      <c r="L229" s="7">
        <f t="shared" si="327"/>
        <v>3417.7493999999997</v>
      </c>
      <c r="M229" s="7">
        <f t="shared" si="327"/>
        <v>3556.798499999999</v>
      </c>
      <c r="N229" s="7">
        <f t="shared" si="327"/>
        <v>3663.6231000000002</v>
      </c>
      <c r="O229" s="7">
        <f t="shared" si="327"/>
        <v>3771.7031999999999</v>
      </c>
      <c r="P229" s="7">
        <f t="shared" si="327"/>
        <v>4353.8321999999998</v>
      </c>
      <c r="Q229" s="7">
        <f t="shared" si="327"/>
        <v>3914.4564</v>
      </c>
      <c r="R229" s="7">
        <f t="shared" si="327"/>
        <v>4192.2281999999996</v>
      </c>
      <c r="S229" s="7">
        <f t="shared" si="327"/>
        <v>4318.0784999999996</v>
      </c>
      <c r="T229" s="7">
        <f t="shared" si="327"/>
        <v>4445.1624000000002</v>
      </c>
      <c r="U229" s="7">
        <f t="shared" si="327"/>
        <v>4635.6630000000005</v>
      </c>
      <c r="V229" s="7">
        <f t="shared" si="327"/>
        <v>4803.4848000000002</v>
      </c>
      <c r="W229" s="7">
        <f t="shared" si="327"/>
        <v>4987.2653999999993</v>
      </c>
      <c r="X229" s="7">
        <f t="shared" si="327"/>
        <v>5367.9921000000004</v>
      </c>
      <c r="Y229" s="7">
        <f t="shared" si="327"/>
        <v>5905.7460000000001</v>
      </c>
      <c r="Z229" s="7">
        <f t="shared" si="327"/>
        <v>5889.4277999999995</v>
      </c>
      <c r="AA229" s="7">
        <f t="shared" si="327"/>
        <v>5991.1244999999999</v>
      </c>
      <c r="AB229" s="7">
        <f t="shared" si="327"/>
        <v>6321.8522999999996</v>
      </c>
      <c r="AC229" s="7">
        <f t="shared" si="327"/>
        <v>6502.8905999999988</v>
      </c>
      <c r="AD229" s="7">
        <f t="shared" si="327"/>
        <v>7051.2662999999993</v>
      </c>
      <c r="AE229" s="7">
        <f t="shared" si="327"/>
        <v>7153.046699999999</v>
      </c>
      <c r="AF229" s="7">
        <f t="shared" si="327"/>
        <v>7441.4837999999982</v>
      </c>
      <c r="AG229" s="7">
        <f t="shared" si="327"/>
        <v>7751.2154999999993</v>
      </c>
      <c r="AH229" s="7">
        <f t="shared" si="327"/>
        <v>8041.6544999999996</v>
      </c>
      <c r="AI229" s="7">
        <f t="shared" si="327"/>
        <v>5679.6474000000007</v>
      </c>
      <c r="AJ229" s="7">
        <f t="shared" si="327"/>
        <v>5805.3545750077792</v>
      </c>
      <c r="AK229" s="7">
        <f t="shared" si="327"/>
        <v>6106.6864979811453</v>
      </c>
      <c r="AL229" s="7">
        <f t="shared" si="327"/>
        <v>6439.1926622941837</v>
      </c>
      <c r="AM229" s="7">
        <f t="shared" si="327"/>
        <v>6808.9030543451245</v>
      </c>
      <c r="AN229" s="7">
        <f t="shared" si="327"/>
        <v>7219.7998957135478</v>
      </c>
      <c r="AO229" s="7">
        <f t="shared" si="327"/>
        <v>7681.0180998174865</v>
      </c>
      <c r="AP229" s="7">
        <f t="shared" si="327"/>
        <v>8060.0569309944676</v>
      </c>
      <c r="AQ229" s="7">
        <f t="shared" si="327"/>
        <v>8504.9800179032791</v>
      </c>
      <c r="AR229" s="7">
        <f t="shared" si="327"/>
        <v>8996.6750627663387</v>
      </c>
      <c r="AS229" s="7">
        <f t="shared" si="327"/>
        <v>9532.988786107906</v>
      </c>
      <c r="AT229" s="7">
        <f t="shared" si="327"/>
        <v>10093.334717436841</v>
      </c>
      <c r="AU229" s="7">
        <f t="shared" si="327"/>
        <v>10621.004095592869</v>
      </c>
      <c r="AV229" s="7">
        <f t="shared" si="327"/>
        <v>11172.895159164318</v>
      </c>
      <c r="AW229" s="7">
        <f t="shared" si="327"/>
        <v>11749.927246360447</v>
      </c>
      <c r="AX229" s="7">
        <f t="shared" si="327"/>
        <v>12353.044143345824</v>
      </c>
      <c r="AY229" s="7">
        <f t="shared" si="327"/>
        <v>12983.306109395382</v>
      </c>
      <c r="AZ229" s="7">
        <f t="shared" si="327"/>
        <v>13641.488423863111</v>
      </c>
      <c r="BA229" s="7">
        <f t="shared" si="327"/>
        <v>14328.838737372342</v>
      </c>
      <c r="BB229" s="7">
        <f t="shared" si="327"/>
        <v>15046.416172608659</v>
      </c>
      <c r="BC229" s="7">
        <f t="shared" si="327"/>
        <v>15795.306027866087</v>
      </c>
      <c r="BD229" s="7">
        <f t="shared" si="327"/>
        <v>16545.137326522177</v>
      </c>
      <c r="BE229" s="7">
        <f t="shared" si="327"/>
        <v>17291.475795166982</v>
      </c>
      <c r="BF229" s="7">
        <f t="shared" si="327"/>
        <v>18006.875762962398</v>
      </c>
      <c r="BG229" s="7">
        <f t="shared" si="327"/>
        <v>18709.336127216433</v>
      </c>
      <c r="BH229" s="7">
        <f t="shared" si="327"/>
        <v>19393.794986779038</v>
      </c>
      <c r="BI229" s="7">
        <f t="shared" si="327"/>
        <v>20054.815070675741</v>
      </c>
      <c r="BJ229" s="7">
        <f t="shared" si="327"/>
        <v>20709.899008631215</v>
      </c>
      <c r="BK229" s="7">
        <f t="shared" si="327"/>
        <v>21367.89206428839</v>
      </c>
      <c r="BL229" s="7">
        <f t="shared" si="327"/>
        <v>22027.220725704181</v>
      </c>
      <c r="BM229" s="7">
        <f t="shared" si="327"/>
        <v>22685.176400041015</v>
      </c>
      <c r="BN229" s="7">
        <f t="shared" si="327"/>
        <v>23340.426193907893</v>
      </c>
      <c r="BO229" s="7">
        <f t="shared" si="327"/>
        <v>23992.232575438207</v>
      </c>
      <c r="BP229" s="7">
        <f t="shared" si="327"/>
        <v>24639.966791352101</v>
      </c>
      <c r="BQ229" s="7">
        <f t="shared" si="327"/>
        <v>25282.607731528631</v>
      </c>
      <c r="BR229" s="7">
        <f t="shared" si="327"/>
        <v>25917.640772017061</v>
      </c>
      <c r="BS229" s="7">
        <f t="shared" si="327"/>
        <v>26542.85510212008</v>
      </c>
      <c r="BT229" s="7">
        <f t="shared" ref="BT229:CD229" si="328">SUM(BT230:BT231)</f>
        <v>27156.960428114464</v>
      </c>
      <c r="BU229" s="7">
        <f t="shared" si="328"/>
        <v>27780.147830153801</v>
      </c>
      <c r="BV229" s="7">
        <f t="shared" si="328"/>
        <v>28412.49883018923</v>
      </c>
      <c r="BW229" s="7">
        <f t="shared" si="328"/>
        <v>29053.147727709456</v>
      </c>
      <c r="BX229" s="7">
        <f t="shared" si="328"/>
        <v>29700.99779055094</v>
      </c>
      <c r="BY229" s="7">
        <f t="shared" si="328"/>
        <v>30357.862673892818</v>
      </c>
      <c r="BZ229" s="7">
        <f t="shared" si="328"/>
        <v>31024.492705757315</v>
      </c>
      <c r="CA229" s="7">
        <f t="shared" si="328"/>
        <v>31698.584437628833</v>
      </c>
      <c r="CB229" s="7">
        <f t="shared" si="328"/>
        <v>32380.891962191232</v>
      </c>
      <c r="CC229" s="7">
        <f t="shared" si="328"/>
        <v>33070.918154950305</v>
      </c>
      <c r="CD229" s="7">
        <f t="shared" si="328"/>
        <v>33768.57875845956</v>
      </c>
    </row>
    <row r="230" spans="1:82" s="2" customFormat="1" x14ac:dyDescent="0.2">
      <c r="C230" s="2" t="s">
        <v>166</v>
      </c>
      <c r="F230" s="2" t="s">
        <v>6</v>
      </c>
      <c r="G230" s="2">
        <f t="shared" ref="G230:G231" si="329">O430</f>
        <v>1</v>
      </c>
      <c r="H230" s="2">
        <f t="shared" ref="H230:BR230" si="330">P430</f>
        <v>0</v>
      </c>
      <c r="I230" s="2" t="str">
        <f t="shared" si="330"/>
        <v>emission_co2e_ch4_trww_treated_advanced_aerobic_treatment|emission_co2e_ch4_trww_treated_advanced_anaerobic_treatment|emission_co2e_ch4_trww_treated_latrine_improved_treatment|emission_co2e_ch4_trww_treated_latrine_unimproved_treatment|emission_co2e_ch4_trww_treated_primary_treatment|emission_co2e_ch4_trww_treated_secondary_aerobic_treatment|emission_co2e_ch4_trww_treated_secondary_anaerobic_treatment|emission_co2e_ch4_trww_treated_septic_treatment|emission_co2e_ch4_trww_untreated_no_sewerage_treatment|emission_co2e_ch4_trww_untreated_with_sewerage_treatment</v>
      </c>
      <c r="J230" s="2">
        <f t="shared" si="330"/>
        <v>0</v>
      </c>
      <c r="K230" s="2">
        <f t="shared" si="330"/>
        <v>3142.4607000000001</v>
      </c>
      <c r="L230" s="2">
        <f t="shared" si="330"/>
        <v>3206.9933999999998</v>
      </c>
      <c r="M230" s="2">
        <f t="shared" si="330"/>
        <v>3339.490499999999</v>
      </c>
      <c r="N230" s="2">
        <f t="shared" si="330"/>
        <v>3439.7631000000001</v>
      </c>
      <c r="O230" s="2">
        <f t="shared" si="330"/>
        <v>3541.2912000000001</v>
      </c>
      <c r="P230" s="2">
        <f t="shared" si="330"/>
        <v>4116.8681999999999</v>
      </c>
      <c r="Q230" s="2">
        <f t="shared" si="330"/>
        <v>3669.5754000000002</v>
      </c>
      <c r="R230" s="2">
        <f t="shared" si="330"/>
        <v>3939.7031999999999</v>
      </c>
      <c r="S230" s="2">
        <f t="shared" si="330"/>
        <v>4057.6365000000001</v>
      </c>
      <c r="T230" s="2">
        <f t="shared" si="330"/>
        <v>4177.0763999999999</v>
      </c>
      <c r="U230" s="2">
        <f t="shared" si="330"/>
        <v>4359.933</v>
      </c>
      <c r="V230" s="2">
        <f t="shared" si="330"/>
        <v>4519.0187999999998</v>
      </c>
      <c r="W230" s="2">
        <f t="shared" si="330"/>
        <v>4694.0633999999991</v>
      </c>
      <c r="X230" s="2">
        <f t="shared" si="330"/>
        <v>5066.0541000000003</v>
      </c>
      <c r="Y230" s="2">
        <f t="shared" si="330"/>
        <v>5595.3450000000003</v>
      </c>
      <c r="Z230" s="2">
        <f t="shared" si="330"/>
        <v>5570.2907999999998</v>
      </c>
      <c r="AA230" s="2">
        <f t="shared" si="330"/>
        <v>5661.8864999999996</v>
      </c>
      <c r="AB230" s="2">
        <f t="shared" si="330"/>
        <v>5982.5132999999996</v>
      </c>
      <c r="AC230" s="2">
        <f t="shared" si="330"/>
        <v>6153.1775999999991</v>
      </c>
      <c r="AD230" s="2">
        <f t="shared" si="330"/>
        <v>6691.452299999999</v>
      </c>
      <c r="AE230" s="2">
        <f t="shared" si="330"/>
        <v>6783.131699999999</v>
      </c>
      <c r="AF230" s="2">
        <f t="shared" si="330"/>
        <v>7057.9187999999986</v>
      </c>
      <c r="AG230" s="2">
        <f t="shared" si="330"/>
        <v>7340.3504999999996</v>
      </c>
      <c r="AH230" s="2">
        <f t="shared" si="330"/>
        <v>7630.7894999999999</v>
      </c>
      <c r="AI230" s="2">
        <f t="shared" si="330"/>
        <v>5255.1324000000004</v>
      </c>
      <c r="AJ230" s="2">
        <f t="shared" si="330"/>
        <v>5376.5908156574642</v>
      </c>
      <c r="AK230" s="2">
        <f t="shared" si="330"/>
        <v>5654.8558969269916</v>
      </c>
      <c r="AL230" s="2">
        <f t="shared" si="330"/>
        <v>5970.0052307401056</v>
      </c>
      <c r="AM230" s="2">
        <f t="shared" si="330"/>
        <v>6320.1342225724984</v>
      </c>
      <c r="AN230" s="2">
        <f t="shared" si="330"/>
        <v>6708.9884319480252</v>
      </c>
      <c r="AO230" s="2">
        <f t="shared" si="330"/>
        <v>7139.5851744086112</v>
      </c>
      <c r="AP230" s="2">
        <f t="shared" si="330"/>
        <v>7482.0916882379161</v>
      </c>
      <c r="AQ230" s="2">
        <f t="shared" si="330"/>
        <v>7883.2840642168931</v>
      </c>
      <c r="AR230" s="2">
        <f t="shared" si="330"/>
        <v>8325.737751102346</v>
      </c>
      <c r="AS230" s="2">
        <f t="shared" si="330"/>
        <v>8807.3274039106018</v>
      </c>
      <c r="AT230" s="2">
        <f t="shared" si="330"/>
        <v>9309.5373797992816</v>
      </c>
      <c r="AU230" s="2">
        <f t="shared" si="330"/>
        <v>9781.9870396655788</v>
      </c>
      <c r="AV230" s="2">
        <f t="shared" si="330"/>
        <v>10275.33156761248</v>
      </c>
      <c r="AW230" s="2">
        <f t="shared" si="330"/>
        <v>10790.33551253489</v>
      </c>
      <c r="AX230" s="2">
        <f t="shared" si="330"/>
        <v>11327.78402688805</v>
      </c>
      <c r="AY230" s="2">
        <f t="shared" si="330"/>
        <v>11888.56447628177</v>
      </c>
      <c r="AZ230" s="2">
        <f t="shared" si="330"/>
        <v>12473.278950121199</v>
      </c>
      <c r="BA230" s="2">
        <f t="shared" si="330"/>
        <v>13083.00866824884</v>
      </c>
      <c r="BB230" s="2">
        <f t="shared" si="330"/>
        <v>13718.638416274471</v>
      </c>
      <c r="BC230" s="2">
        <f t="shared" si="330"/>
        <v>14381.076258077819</v>
      </c>
      <c r="BD230" s="2">
        <f t="shared" si="330"/>
        <v>15043.71718015228</v>
      </c>
      <c r="BE230" s="2">
        <f t="shared" si="330"/>
        <v>15702.704960436509</v>
      </c>
      <c r="BF230" s="2">
        <f t="shared" si="330"/>
        <v>16335.52692520765</v>
      </c>
      <c r="BG230" s="2">
        <f t="shared" si="330"/>
        <v>16956.891071802282</v>
      </c>
      <c r="BH230" s="2">
        <f t="shared" si="330"/>
        <v>17562.536249965891</v>
      </c>
      <c r="BI230" s="2">
        <f t="shared" si="330"/>
        <v>18147.90313338019</v>
      </c>
      <c r="BJ230" s="2">
        <f t="shared" si="330"/>
        <v>18711.448026912491</v>
      </c>
      <c r="BK230" s="2">
        <f t="shared" si="330"/>
        <v>19276.164256123451</v>
      </c>
      <c r="BL230" s="2">
        <f t="shared" si="330"/>
        <v>19840.72313189289</v>
      </c>
      <c r="BM230" s="2">
        <f t="shared" si="330"/>
        <v>20402.892985456889</v>
      </c>
      <c r="BN230" s="2">
        <f t="shared" si="330"/>
        <v>20961.565955818791</v>
      </c>
      <c r="BO230" s="2">
        <f t="shared" si="330"/>
        <v>21516.07594081599</v>
      </c>
      <c r="BP230" s="2">
        <f t="shared" si="330"/>
        <v>22065.922449624199</v>
      </c>
      <c r="BQ230" s="2">
        <f t="shared" si="330"/>
        <v>22610.25573971917</v>
      </c>
      <c r="BR230" s="2">
        <f t="shared" si="330"/>
        <v>23147.04667861811</v>
      </c>
      <c r="BS230" s="2">
        <f t="shared" ref="BS230:CD231" si="331">CA430</f>
        <v>23674.52349873359</v>
      </c>
      <c r="BT230" s="2">
        <f t="shared" si="331"/>
        <v>24191.607817711891</v>
      </c>
      <c r="BU230" s="2">
        <f t="shared" si="331"/>
        <v>24715.550247498351</v>
      </c>
      <c r="BV230" s="2">
        <f t="shared" si="331"/>
        <v>25246.40510250887</v>
      </c>
      <c r="BW230" s="2">
        <f t="shared" si="331"/>
        <v>25783.486281227921</v>
      </c>
      <c r="BX230" s="2">
        <f t="shared" si="331"/>
        <v>26325.93480349645</v>
      </c>
      <c r="BY230" s="2">
        <f t="shared" si="331"/>
        <v>26875.113908037249</v>
      </c>
      <c r="BZ230" s="2">
        <f t="shared" si="331"/>
        <v>27431.648136970231</v>
      </c>
      <c r="CA230" s="2">
        <f t="shared" si="331"/>
        <v>27993.74337626946</v>
      </c>
      <c r="CB230" s="2">
        <f t="shared" si="331"/>
        <v>28561.985361258241</v>
      </c>
      <c r="CC230" s="2">
        <f t="shared" si="331"/>
        <v>29135.990508965791</v>
      </c>
      <c r="CD230" s="2">
        <f t="shared" si="331"/>
        <v>29715.639609715221</v>
      </c>
    </row>
    <row r="231" spans="1:82" s="2" customFormat="1" x14ac:dyDescent="0.2">
      <c r="C231" s="2" t="s">
        <v>166</v>
      </c>
      <c r="F231" s="2" t="s">
        <v>8</v>
      </c>
      <c r="G231" s="2">
        <f t="shared" si="329"/>
        <v>1</v>
      </c>
      <c r="H231" s="2">
        <f t="shared" ref="H231:BS231" si="332">P431</f>
        <v>0</v>
      </c>
      <c r="I231" s="2" t="str">
        <f t="shared" si="332"/>
        <v>emission_co2e_n2o_trww_treated_advanced_aerobic_effluent|emission_co2e_n2o_trww_treated_advanced_aerobic_treatment|emission_co2e_n2o_trww_treated_advanced_anaerobic_effluent|emission_co2e_n2o_trww_treated_advanced_anaerobic_treatment|emission_co2e_n2o_trww_treated_latrine_improved_effluent|emission_co2e_n2o_trww_treated_latrine_improved_treatment|emission_co2e_n2o_trww_treated_latrine_unimproved_effluent|emission_co2e_n2o_trww_treated_latrine_unimproved_treatment|emission_co2e_n2o_trww_treated_primary_effluent|emission_co2e_n2o_trww_treated_primary_treatment|emission_co2e_n2o_trww_treated_secondary_aerobic_effluent|emission_co2e_n2o_trww_treated_secondary_aerobic_treatment|emission_co2e_n2o_trww_treated_secondary_anaerobic_effluent|emission_co2e_n2o_trww_treated_secondary_anaerobic_treatment|emission_co2e_n2o_trww_treated_septic_effluent|emission_co2e_n2o_trww_treated_septic_treatment|emission_co2e_n2o_trww_untreated_no_sewerage_effluent|emission_co2e_n2o_trww_untreated_no_sewerage_treatment|emission_co2e_n2o_trww_untreated_with_sewerage_effluent|emission_co2e_n2o_trww_untreated_with_sewerage_treatment</v>
      </c>
      <c r="J231" s="2">
        <f t="shared" si="332"/>
        <v>0</v>
      </c>
      <c r="K231" s="2">
        <f t="shared" si="332"/>
        <v>204.20400000000001</v>
      </c>
      <c r="L231" s="2">
        <f t="shared" si="332"/>
        <v>210.756</v>
      </c>
      <c r="M231" s="2">
        <f t="shared" si="332"/>
        <v>217.30799999999999</v>
      </c>
      <c r="N231" s="2">
        <f t="shared" si="332"/>
        <v>223.86</v>
      </c>
      <c r="O231" s="2">
        <f t="shared" si="332"/>
        <v>230.41200000000001</v>
      </c>
      <c r="P231" s="2">
        <f t="shared" si="332"/>
        <v>236.964</v>
      </c>
      <c r="Q231" s="2">
        <f t="shared" si="332"/>
        <v>244.881</v>
      </c>
      <c r="R231" s="2">
        <f t="shared" si="332"/>
        <v>252.52500000000001</v>
      </c>
      <c r="S231" s="2">
        <f t="shared" si="332"/>
        <v>260.44200000000001</v>
      </c>
      <c r="T231" s="2">
        <f t="shared" si="332"/>
        <v>268.08600000000001</v>
      </c>
      <c r="U231" s="2">
        <f t="shared" si="332"/>
        <v>275.73</v>
      </c>
      <c r="V231" s="2">
        <f t="shared" si="332"/>
        <v>284.46600000000001</v>
      </c>
      <c r="W231" s="2">
        <f t="shared" si="332"/>
        <v>293.202</v>
      </c>
      <c r="X231" s="2">
        <f t="shared" si="332"/>
        <v>301.93799999999999</v>
      </c>
      <c r="Y231" s="2">
        <f t="shared" si="332"/>
        <v>310.40100000000001</v>
      </c>
      <c r="Z231" s="2">
        <f t="shared" si="332"/>
        <v>319.137</v>
      </c>
      <c r="AA231" s="2">
        <f t="shared" si="332"/>
        <v>329.238</v>
      </c>
      <c r="AB231" s="2">
        <f t="shared" si="332"/>
        <v>339.33900000000011</v>
      </c>
      <c r="AC231" s="2">
        <f t="shared" si="332"/>
        <v>349.71300000000002</v>
      </c>
      <c r="AD231" s="2">
        <f t="shared" si="332"/>
        <v>359.81400000000002</v>
      </c>
      <c r="AE231" s="2">
        <f t="shared" si="332"/>
        <v>369.91500000000002</v>
      </c>
      <c r="AF231" s="2">
        <f t="shared" si="332"/>
        <v>383.565</v>
      </c>
      <c r="AG231" s="2">
        <f t="shared" si="332"/>
        <v>410.86500000000001</v>
      </c>
      <c r="AH231" s="2">
        <f t="shared" si="332"/>
        <v>410.86500000000001</v>
      </c>
      <c r="AI231" s="2">
        <f t="shared" si="332"/>
        <v>424.51499999999999</v>
      </c>
      <c r="AJ231" s="2">
        <f t="shared" si="332"/>
        <v>428.76375935031461</v>
      </c>
      <c r="AK231" s="2">
        <f t="shared" si="332"/>
        <v>451.8306010541537</v>
      </c>
      <c r="AL231" s="2">
        <f t="shared" si="332"/>
        <v>469.18743155407788</v>
      </c>
      <c r="AM231" s="2">
        <f t="shared" si="332"/>
        <v>488.76883177262653</v>
      </c>
      <c r="AN231" s="2">
        <f t="shared" si="332"/>
        <v>510.81146376552289</v>
      </c>
      <c r="AO231" s="2">
        <f t="shared" si="332"/>
        <v>541.43292540887535</v>
      </c>
      <c r="AP231" s="2">
        <f t="shared" si="332"/>
        <v>577.96524275655179</v>
      </c>
      <c r="AQ231" s="2">
        <f t="shared" si="332"/>
        <v>621.69595368638545</v>
      </c>
      <c r="AR231" s="2">
        <f t="shared" si="332"/>
        <v>670.93731166399334</v>
      </c>
      <c r="AS231" s="2">
        <f t="shared" si="332"/>
        <v>725.66138219730374</v>
      </c>
      <c r="AT231" s="2">
        <f t="shared" si="332"/>
        <v>783.79733763756019</v>
      </c>
      <c r="AU231" s="2">
        <f t="shared" si="332"/>
        <v>839.01705592729024</v>
      </c>
      <c r="AV231" s="2">
        <f t="shared" si="332"/>
        <v>897.56359155183782</v>
      </c>
      <c r="AW231" s="2">
        <f t="shared" si="332"/>
        <v>959.5917338255573</v>
      </c>
      <c r="AX231" s="2">
        <f t="shared" si="332"/>
        <v>1025.2601164577729</v>
      </c>
      <c r="AY231" s="2">
        <f t="shared" si="332"/>
        <v>1094.7416331136119</v>
      </c>
      <c r="AZ231" s="2">
        <f t="shared" si="332"/>
        <v>1168.209473741912</v>
      </c>
      <c r="BA231" s="2">
        <f t="shared" si="332"/>
        <v>1245.8300691235011</v>
      </c>
      <c r="BB231" s="2">
        <f t="shared" si="332"/>
        <v>1327.7777563341881</v>
      </c>
      <c r="BC231" s="2">
        <f t="shared" si="332"/>
        <v>1414.229769788267</v>
      </c>
      <c r="BD231" s="2">
        <f t="shared" si="332"/>
        <v>1501.4201463698971</v>
      </c>
      <c r="BE231" s="2">
        <f t="shared" si="332"/>
        <v>1588.7708347304711</v>
      </c>
      <c r="BF231" s="2">
        <f t="shared" si="332"/>
        <v>1671.348837754749</v>
      </c>
      <c r="BG231" s="2">
        <f t="shared" si="332"/>
        <v>1752.445055414152</v>
      </c>
      <c r="BH231" s="2">
        <f t="shared" si="332"/>
        <v>1831.258736813146</v>
      </c>
      <c r="BI231" s="2">
        <f t="shared" si="332"/>
        <v>1906.9119372955511</v>
      </c>
      <c r="BJ231" s="2">
        <f t="shared" si="332"/>
        <v>1998.4509817187241</v>
      </c>
      <c r="BK231" s="2">
        <f t="shared" si="332"/>
        <v>2091.7278081649388</v>
      </c>
      <c r="BL231" s="2">
        <f t="shared" si="332"/>
        <v>2186.4975938112921</v>
      </c>
      <c r="BM231" s="2">
        <f t="shared" si="332"/>
        <v>2282.2834145841261</v>
      </c>
      <c r="BN231" s="2">
        <f t="shared" si="332"/>
        <v>2378.8602380891029</v>
      </c>
      <c r="BO231" s="2">
        <f t="shared" si="332"/>
        <v>2476.1566346222171</v>
      </c>
      <c r="BP231" s="2">
        <f t="shared" si="332"/>
        <v>2574.044341727903</v>
      </c>
      <c r="BQ231" s="2">
        <f t="shared" si="332"/>
        <v>2672.3519918094612</v>
      </c>
      <c r="BR231" s="2">
        <f t="shared" si="332"/>
        <v>2770.59409339895</v>
      </c>
      <c r="BS231" s="2">
        <f t="shared" si="332"/>
        <v>2868.3316033864912</v>
      </c>
      <c r="BT231" s="2">
        <f t="shared" si="331"/>
        <v>2965.3526104025718</v>
      </c>
      <c r="BU231" s="2">
        <f t="shared" si="331"/>
        <v>3064.5975826554482</v>
      </c>
      <c r="BV231" s="2">
        <f t="shared" si="331"/>
        <v>3166.0937276803588</v>
      </c>
      <c r="BW231" s="2">
        <f t="shared" si="331"/>
        <v>3269.661446481537</v>
      </c>
      <c r="BX231" s="2">
        <f t="shared" si="331"/>
        <v>3375.0629870544922</v>
      </c>
      <c r="BY231" s="2">
        <f t="shared" si="331"/>
        <v>3482.7487658555692</v>
      </c>
      <c r="BZ231" s="2">
        <f t="shared" si="331"/>
        <v>3592.844568787084</v>
      </c>
      <c r="CA231" s="2">
        <f t="shared" si="331"/>
        <v>3704.8410613593728</v>
      </c>
      <c r="CB231" s="2">
        <f t="shared" si="331"/>
        <v>3818.9066009329908</v>
      </c>
      <c r="CC231" s="2">
        <f t="shared" si="331"/>
        <v>3934.9276459845132</v>
      </c>
      <c r="CD231" s="2">
        <f t="shared" si="331"/>
        <v>4052.9391487443359</v>
      </c>
    </row>
    <row r="232" spans="1:82" s="9" customFormat="1" ht="31" customHeight="1" x14ac:dyDescent="0.2">
      <c r="A232" s="10" t="s">
        <v>200</v>
      </c>
      <c r="G232" s="9">
        <f>G217+G139+G100+G3</f>
        <v>147.001</v>
      </c>
      <c r="H232" s="9">
        <f t="shared" ref="H232:BS232" si="333">H217+H139+H100+H3</f>
        <v>10</v>
      </c>
      <c r="I232" s="9" t="e">
        <f t="shared" si="333"/>
        <v>#VALUE!</v>
      </c>
      <c r="J232" s="9">
        <f t="shared" si="333"/>
        <v>0</v>
      </c>
      <c r="K232" s="9">
        <f t="shared" si="333"/>
        <v>33665.361300000004</v>
      </c>
      <c r="L232" s="9">
        <f t="shared" si="333"/>
        <v>38581.771700000005</v>
      </c>
      <c r="M232" s="9">
        <f t="shared" si="333"/>
        <v>42184.226199999997</v>
      </c>
      <c r="N232" s="9">
        <f t="shared" si="333"/>
        <v>47844.164700000001</v>
      </c>
      <c r="O232" s="9">
        <f t="shared" si="333"/>
        <v>60171.958699999988</v>
      </c>
      <c r="P232" s="9">
        <f t="shared" si="333"/>
        <v>62252.6103</v>
      </c>
      <c r="Q232" s="9">
        <f t="shared" si="333"/>
        <v>72237.726600000009</v>
      </c>
      <c r="R232" s="9">
        <f t="shared" si="333"/>
        <v>63973.744499999993</v>
      </c>
      <c r="S232" s="9">
        <f t="shared" si="333"/>
        <v>69525.817800000004</v>
      </c>
      <c r="T232" s="9">
        <f t="shared" si="333"/>
        <v>71034.875300000014</v>
      </c>
      <c r="U232" s="9">
        <f t="shared" si="333"/>
        <v>83350.183799999984</v>
      </c>
      <c r="V232" s="9">
        <f t="shared" si="333"/>
        <v>97043.148499999981</v>
      </c>
      <c r="W232" s="9">
        <f t="shared" si="333"/>
        <v>101072.8995</v>
      </c>
      <c r="X232" s="9">
        <f t="shared" si="333"/>
        <v>108264.80790000001</v>
      </c>
      <c r="Y232" s="9">
        <f t="shared" si="333"/>
        <v>114779.66010000002</v>
      </c>
      <c r="Z232" s="9">
        <f t="shared" si="333"/>
        <v>120059.5373</v>
      </c>
      <c r="AA232" s="9">
        <f t="shared" si="333"/>
        <v>126899.04520000001</v>
      </c>
      <c r="AB232" s="9">
        <f t="shared" si="333"/>
        <v>130423.66009999999</v>
      </c>
      <c r="AC232" s="9">
        <f t="shared" si="333"/>
        <v>143178.73879999999</v>
      </c>
      <c r="AD232" s="9">
        <f t="shared" si="333"/>
        <v>152067.43170000002</v>
      </c>
      <c r="AE232" s="9">
        <f t="shared" si="333"/>
        <v>154253.00639999998</v>
      </c>
      <c r="AF232" s="9">
        <f t="shared" si="333"/>
        <v>-2828501.9660999998</v>
      </c>
      <c r="AG232" s="9">
        <f t="shared" si="333"/>
        <v>-2825236.9413999999</v>
      </c>
      <c r="AH232" s="9">
        <f t="shared" si="333"/>
        <v>-2819807.5362999998</v>
      </c>
      <c r="AI232" s="9">
        <f t="shared" si="333"/>
        <v>-2815526.4850999997</v>
      </c>
      <c r="AJ232" s="9">
        <f t="shared" si="333"/>
        <v>155225.81360872358</v>
      </c>
      <c r="AK232" s="9">
        <f t="shared" si="333"/>
        <v>153111.83290099306</v>
      </c>
      <c r="AL232" s="9">
        <f t="shared" si="333"/>
        <v>156318.28650652274</v>
      </c>
      <c r="AM232" s="9">
        <f t="shared" si="333"/>
        <v>159595.56087964738</v>
      </c>
      <c r="AN232" s="9">
        <f t="shared" si="333"/>
        <v>165228.80746006948</v>
      </c>
      <c r="AO232" s="9">
        <f t="shared" si="333"/>
        <v>171600.90232015992</v>
      </c>
      <c r="AP232" s="9">
        <f t="shared" si="333"/>
        <v>177300.87476167284</v>
      </c>
      <c r="AQ232" s="9">
        <f t="shared" si="333"/>
        <v>184290.32206253344</v>
      </c>
      <c r="AR232" s="9">
        <f t="shared" si="333"/>
        <v>193292.39901633223</v>
      </c>
      <c r="AS232" s="9">
        <f t="shared" si="333"/>
        <v>202750.74566911708</v>
      </c>
      <c r="AT232" s="9">
        <f t="shared" si="333"/>
        <v>211525.00370691513</v>
      </c>
      <c r="AU232" s="9">
        <f t="shared" si="333"/>
        <v>217402.55990107087</v>
      </c>
      <c r="AV232" s="9">
        <f t="shared" si="333"/>
        <v>221158.17606854049</v>
      </c>
      <c r="AW232" s="9">
        <f t="shared" si="333"/>
        <v>222097.99153869014</v>
      </c>
      <c r="AX232" s="9">
        <f t="shared" si="333"/>
        <v>219839.28940928853</v>
      </c>
      <c r="AY232" s="9">
        <f t="shared" si="333"/>
        <v>214592.22762855631</v>
      </c>
      <c r="AZ232" s="9">
        <f t="shared" si="333"/>
        <v>207205.76395246369</v>
      </c>
      <c r="BA232" s="9">
        <f t="shared" si="333"/>
        <v>199057.42143003535</v>
      </c>
      <c r="BB232" s="9">
        <f t="shared" si="333"/>
        <v>191622.67911218866</v>
      </c>
      <c r="BC232" s="9">
        <f t="shared" si="333"/>
        <v>185963.66216977173</v>
      </c>
      <c r="BD232" s="9">
        <f t="shared" si="333"/>
        <v>182321.22571046703</v>
      </c>
      <c r="BE232" s="9">
        <f t="shared" si="333"/>
        <v>180699.47037839168</v>
      </c>
      <c r="BF232" s="9">
        <f t="shared" si="333"/>
        <v>180810.68925723614</v>
      </c>
      <c r="BG232" s="9">
        <f t="shared" si="333"/>
        <v>182312.47381562262</v>
      </c>
      <c r="BH232" s="9">
        <f t="shared" si="333"/>
        <v>184687.17468484928</v>
      </c>
      <c r="BI232" s="9">
        <f t="shared" si="333"/>
        <v>187126.91248802614</v>
      </c>
      <c r="BJ232" s="9">
        <f t="shared" si="333"/>
        <v>191302.28181795057</v>
      </c>
      <c r="BK232" s="9">
        <f t="shared" si="333"/>
        <v>197209.91585087904</v>
      </c>
      <c r="BL232" s="9">
        <f t="shared" si="333"/>
        <v>203485.57061449456</v>
      </c>
      <c r="BM232" s="9">
        <f t="shared" si="333"/>
        <v>209791.94032075972</v>
      </c>
      <c r="BN232" s="9">
        <f t="shared" si="333"/>
        <v>216045.67863270803</v>
      </c>
      <c r="BO232" s="9">
        <f t="shared" si="333"/>
        <v>222032.98055108287</v>
      </c>
      <c r="BP232" s="9">
        <f t="shared" si="333"/>
        <v>227799.24902324623</v>
      </c>
      <c r="BQ232" s="9">
        <f t="shared" si="333"/>
        <v>233332.1051693128</v>
      </c>
      <c r="BR232" s="9">
        <f t="shared" si="333"/>
        <v>238526.45865430398</v>
      </c>
      <c r="BS232" s="9">
        <f t="shared" si="333"/>
        <v>243382.38249369635</v>
      </c>
      <c r="BT232" s="9">
        <f t="shared" ref="BT232:CD232" si="334">BT217+BT139+BT100+BT3</f>
        <v>247969.30675989459</v>
      </c>
      <c r="BU232" s="9">
        <f t="shared" si="334"/>
        <v>252552.30536040611</v>
      </c>
      <c r="BV232" s="9">
        <f t="shared" si="334"/>
        <v>257114.74491849029</v>
      </c>
      <c r="BW232" s="9">
        <f t="shared" si="334"/>
        <v>261616.52831144701</v>
      </c>
      <c r="BX232" s="9">
        <f t="shared" si="334"/>
        <v>265703.46191109408</v>
      </c>
      <c r="BY232" s="9">
        <f t="shared" si="334"/>
        <v>268827.72115880833</v>
      </c>
      <c r="BZ232" s="9">
        <f t="shared" si="334"/>
        <v>273193.26131235436</v>
      </c>
      <c r="CA232" s="9">
        <f t="shared" si="334"/>
        <v>277510.64110287145</v>
      </c>
      <c r="CB232" s="9">
        <f t="shared" si="334"/>
        <v>281782.80236458988</v>
      </c>
      <c r="CC232" s="9">
        <f t="shared" si="334"/>
        <v>286016.7517159644</v>
      </c>
      <c r="CD232" s="9">
        <f t="shared" si="334"/>
        <v>293322.00083827472</v>
      </c>
    </row>
    <row r="233" spans="1:82" s="6" customFormat="1" x14ac:dyDescent="0.2"/>
    <row r="234" spans="1:82" x14ac:dyDescent="0.2">
      <c r="B234" t="s">
        <v>169</v>
      </c>
    </row>
    <row r="235" spans="1:82" ht="127" customHeight="1" x14ac:dyDescent="0.2">
      <c r="C235" s="12" t="s">
        <v>189</v>
      </c>
      <c r="D235" s="12"/>
      <c r="E235" s="12"/>
      <c r="F235" s="12"/>
      <c r="G235" s="12"/>
      <c r="H235" s="12"/>
      <c r="I235" s="12"/>
      <c r="J235" s="12"/>
      <c r="K235" s="12"/>
      <c r="L235" s="12"/>
      <c r="M235" s="12"/>
      <c r="N235" s="12"/>
    </row>
    <row r="237" spans="1:82" x14ac:dyDescent="0.2">
      <c r="B237" t="s">
        <v>170</v>
      </c>
    </row>
    <row r="238" spans="1:82" x14ac:dyDescent="0.2">
      <c r="C238" t="s">
        <v>171</v>
      </c>
      <c r="F238">
        <v>-99999</v>
      </c>
    </row>
    <row r="247" spans="2:94" x14ac:dyDescent="0.2">
      <c r="B247" s="13" t="s">
        <v>201</v>
      </c>
      <c r="C247" s="13"/>
      <c r="D247" s="13"/>
      <c r="E247" s="13"/>
      <c r="F247" s="13"/>
      <c r="G247" s="13"/>
    </row>
    <row r="248" spans="2:94" x14ac:dyDescent="0.2">
      <c r="B248" s="13"/>
      <c r="C248" s="13"/>
      <c r="D248" s="13"/>
      <c r="E248" s="13"/>
      <c r="F248" s="13"/>
      <c r="G248" s="13"/>
    </row>
    <row r="249" spans="2:94" x14ac:dyDescent="0.2">
      <c r="B249" s="13"/>
      <c r="C249" s="13"/>
      <c r="D249" s="13"/>
      <c r="E249" s="13"/>
      <c r="F249" s="13"/>
      <c r="G249" s="13"/>
    </row>
    <row r="250" spans="2:94" x14ac:dyDescent="0.2">
      <c r="B250" s="13"/>
      <c r="C250" s="13"/>
      <c r="D250" s="13"/>
      <c r="E250" s="13"/>
      <c r="F250" s="13"/>
      <c r="G250" s="13"/>
    </row>
    <row r="254" spans="2:94" x14ac:dyDescent="0.2">
      <c r="D254" t="s">
        <v>0</v>
      </c>
      <c r="E254" t="s">
        <v>1</v>
      </c>
      <c r="F254" t="s">
        <v>2</v>
      </c>
      <c r="G254" t="s">
        <v>3</v>
      </c>
      <c r="H254" t="s">
        <v>4</v>
      </c>
      <c r="K254" t="s">
        <v>5</v>
      </c>
      <c r="M254" t="s">
        <v>6</v>
      </c>
      <c r="N254">
        <v>1</v>
      </c>
      <c r="O254">
        <v>1</v>
      </c>
      <c r="P254">
        <v>0</v>
      </c>
      <c r="Q254" t="s">
        <v>202</v>
      </c>
      <c r="S254">
        <v>0</v>
      </c>
      <c r="T254">
        <v>0</v>
      </c>
      <c r="U254">
        <v>0</v>
      </c>
      <c r="V254">
        <v>0</v>
      </c>
      <c r="W254">
        <v>0</v>
      </c>
      <c r="X254">
        <v>0</v>
      </c>
      <c r="Y254">
        <v>0</v>
      </c>
      <c r="Z254">
        <v>0</v>
      </c>
      <c r="AA254">
        <v>0</v>
      </c>
      <c r="AB254">
        <v>0</v>
      </c>
      <c r="AC254">
        <v>0.1116</v>
      </c>
      <c r="AD254">
        <v>0.13950000000000001</v>
      </c>
      <c r="AE254">
        <v>0.1953</v>
      </c>
      <c r="AF254">
        <v>0.22320000000000001</v>
      </c>
      <c r="AG254">
        <v>0.16739999999999999</v>
      </c>
      <c r="AH254">
        <v>0.22320000000000001</v>
      </c>
      <c r="AI254">
        <v>0.30690000000000001</v>
      </c>
      <c r="AJ254">
        <v>0.25109999999999999</v>
      </c>
      <c r="AK254">
        <v>8.3699999999999997E-2</v>
      </c>
      <c r="AL254">
        <v>5.5800000000000002E-2</v>
      </c>
      <c r="AM254">
        <v>5.5800000000000002E-2</v>
      </c>
      <c r="AN254">
        <v>5.5800000000000002E-2</v>
      </c>
      <c r="AO254">
        <v>0.13950000000000001</v>
      </c>
      <c r="AP254">
        <v>0.25109999999999999</v>
      </c>
      <c r="AQ254">
        <v>8.3699999999999997E-2</v>
      </c>
      <c r="AR254">
        <v>5.0827729859672776E-3</v>
      </c>
      <c r="AS254">
        <v>7.5252518774540592E-3</v>
      </c>
      <c r="AT254">
        <v>1.005044366061705E-2</v>
      </c>
      <c r="AU254">
        <v>1.111249430745692E-2</v>
      </c>
      <c r="AV254">
        <v>1.0314072744763449E-2</v>
      </c>
      <c r="AW254">
        <v>1.3145013936798461E-2</v>
      </c>
      <c r="AX254">
        <v>1.625290078970747E-2</v>
      </c>
      <c r="AY254">
        <v>2.0342772698929E-2</v>
      </c>
      <c r="AZ254">
        <v>2.9379078674063318E-2</v>
      </c>
      <c r="BA254">
        <v>4.2949620456377013E-2</v>
      </c>
      <c r="BB254">
        <v>5.6219254677135212E-2</v>
      </c>
      <c r="BC254">
        <v>6.1854643085101482E-2</v>
      </c>
      <c r="BD254">
        <v>6.6034961207793674E-2</v>
      </c>
      <c r="BE254">
        <v>6.8765128450689397E-2</v>
      </c>
      <c r="BF254">
        <v>7.0817087675793033E-2</v>
      </c>
      <c r="BG254">
        <v>7.2457464762102089E-2</v>
      </c>
      <c r="BH254">
        <v>7.4067473878103557E-2</v>
      </c>
      <c r="BI254">
        <v>7.5799578008568749E-2</v>
      </c>
      <c r="BJ254">
        <v>7.7835826621123164E-2</v>
      </c>
      <c r="BK254">
        <v>8.0545663903872716E-2</v>
      </c>
      <c r="BL254">
        <v>8.4148703864237645E-2</v>
      </c>
      <c r="BM254">
        <v>8.7331314831973428E-2</v>
      </c>
      <c r="BN254">
        <v>9.046313190012778E-2</v>
      </c>
      <c r="BO254">
        <v>9.3343061430901514E-2</v>
      </c>
      <c r="BP254">
        <v>9.6005532380208453E-2</v>
      </c>
      <c r="BQ254">
        <v>9.848968617488249E-2</v>
      </c>
      <c r="BR254">
        <v>9.9723803374540079E-2</v>
      </c>
      <c r="BS254">
        <v>0.1012141818690705</v>
      </c>
      <c r="BT254">
        <v>0.10299779915039831</v>
      </c>
      <c r="BU254">
        <v>0.1057376210953537</v>
      </c>
      <c r="BV254">
        <v>0.1100261492518064</v>
      </c>
      <c r="BW254">
        <v>0.1111778570146527</v>
      </c>
      <c r="BX254">
        <v>0.1119110768434879</v>
      </c>
      <c r="BY254">
        <v>0.1122891651692849</v>
      </c>
      <c r="BZ254">
        <v>0.1123188304821864</v>
      </c>
      <c r="CA254">
        <v>0.1119747336927189</v>
      </c>
      <c r="CB254">
        <v>0.11124072090842391</v>
      </c>
      <c r="CC254">
        <v>0.1101961190798266</v>
      </c>
      <c r="CD254">
        <v>0.1088455284481962</v>
      </c>
      <c r="CE254">
        <v>0.107193555836343</v>
      </c>
      <c r="CF254">
        <v>0.1051986070752023</v>
      </c>
      <c r="CG254">
        <v>0.102979406238937</v>
      </c>
      <c r="CH254">
        <v>0.1003744731246881</v>
      </c>
      <c r="CI254">
        <v>9.7418383718633095E-2</v>
      </c>
      <c r="CJ254">
        <v>9.4013184007269227E-2</v>
      </c>
      <c r="CK254">
        <v>9.0128477857667713E-2</v>
      </c>
      <c r="CL254">
        <v>8.573258013604193E-2</v>
      </c>
      <c r="CM254">
        <v>8.0792949335527234E-2</v>
      </c>
      <c r="CN254">
        <v>7.5277152790414179E-2</v>
      </c>
      <c r="CO254">
        <v>6.9153287609168418E-2</v>
      </c>
      <c r="CP254">
        <v>6.2391444330824719E-2</v>
      </c>
    </row>
    <row r="255" spans="2:94" x14ac:dyDescent="0.2">
      <c r="D255" t="s">
        <v>0</v>
      </c>
      <c r="E255" t="s">
        <v>1</v>
      </c>
      <c r="F255" t="s">
        <v>2</v>
      </c>
      <c r="G255" t="s">
        <v>3</v>
      </c>
      <c r="H255" t="s">
        <v>4</v>
      </c>
      <c r="K255" t="s">
        <v>5</v>
      </c>
      <c r="M255" t="s">
        <v>7</v>
      </c>
      <c r="N255">
        <v>1</v>
      </c>
      <c r="O255">
        <v>1</v>
      </c>
      <c r="P255">
        <v>0</v>
      </c>
      <c r="Q255" t="s">
        <v>203</v>
      </c>
      <c r="S255">
        <v>0.874</v>
      </c>
      <c r="T255">
        <v>0.874</v>
      </c>
      <c r="U255">
        <v>0.95599999999999996</v>
      </c>
      <c r="V255">
        <v>0.90300000000000002</v>
      </c>
      <c r="W255">
        <v>0.97899999999999998</v>
      </c>
      <c r="X255">
        <v>0.98599999999999999</v>
      </c>
      <c r="Y255">
        <v>1.054</v>
      </c>
      <c r="Z255">
        <v>1.052</v>
      </c>
      <c r="AA255">
        <v>1.129</v>
      </c>
      <c r="AB255">
        <v>1.129</v>
      </c>
      <c r="AC255">
        <v>105.96299999999999</v>
      </c>
      <c r="AD255">
        <v>121.288</v>
      </c>
      <c r="AE255">
        <v>171.29</v>
      </c>
      <c r="AF255">
        <v>199.06399999999999</v>
      </c>
      <c r="AG255">
        <v>147.363</v>
      </c>
      <c r="AH255">
        <v>207.17599999999999</v>
      </c>
      <c r="AI255">
        <v>277.76400000000001</v>
      </c>
      <c r="AJ255">
        <v>235.387</v>
      </c>
      <c r="AK255">
        <v>84.366</v>
      </c>
      <c r="AL255">
        <v>42.957000000000001</v>
      </c>
      <c r="AM255">
        <v>52.786999999999999</v>
      </c>
      <c r="AN255">
        <v>43.420999999999999</v>
      </c>
      <c r="AO255">
        <v>122.776</v>
      </c>
      <c r="AP255">
        <v>223.33699999999999</v>
      </c>
      <c r="AQ255">
        <v>74.471000000000004</v>
      </c>
      <c r="AR255">
        <v>15.9948909576151</v>
      </c>
      <c r="AS255">
        <v>19.089689515657799</v>
      </c>
      <c r="AT255">
        <v>21.3397730891176</v>
      </c>
      <c r="AU255">
        <v>20.625235950758199</v>
      </c>
      <c r="AV255">
        <v>19.9811435227641</v>
      </c>
      <c r="AW255">
        <v>20.996841632012899</v>
      </c>
      <c r="AX255">
        <v>22.129494151730199</v>
      </c>
      <c r="AY255">
        <v>23.837974130222101</v>
      </c>
      <c r="AZ255">
        <v>28.411726011210899</v>
      </c>
      <c r="BA255">
        <v>34.7555482664891</v>
      </c>
      <c r="BB255">
        <v>40.028861161688397</v>
      </c>
      <c r="BC255">
        <v>42.184208253368404</v>
      </c>
      <c r="BD255">
        <v>43.3591185556634</v>
      </c>
      <c r="BE255">
        <v>43.624247462786499</v>
      </c>
      <c r="BF255">
        <v>43.394013352651413</v>
      </c>
      <c r="BG255">
        <v>42.815430564104901</v>
      </c>
      <c r="BH255">
        <v>42.059872066847703</v>
      </c>
      <c r="BI255">
        <v>41.1824267825383</v>
      </c>
      <c r="BJ255">
        <v>40.234530637514503</v>
      </c>
      <c r="BK255">
        <v>39.306080451120799</v>
      </c>
      <c r="BL255">
        <v>38.401539254813002</v>
      </c>
      <c r="BM255">
        <v>37.137705705251598</v>
      </c>
      <c r="BN255">
        <v>35.641571927921099</v>
      </c>
      <c r="BO255">
        <v>33.914208565945202</v>
      </c>
      <c r="BP255">
        <v>32.020313701933098</v>
      </c>
      <c r="BQ255">
        <v>30.027611891033899</v>
      </c>
      <c r="BR255">
        <v>27.9022867781229</v>
      </c>
      <c r="BS255">
        <v>25.899137647129098</v>
      </c>
      <c r="BT255">
        <v>24.050318686847099</v>
      </c>
      <c r="BU255">
        <v>22.3975379640389</v>
      </c>
      <c r="BV255">
        <v>20.933935213646599</v>
      </c>
      <c r="BW255">
        <v>21.424138348527698</v>
      </c>
      <c r="BX255">
        <v>21.912270094056499</v>
      </c>
      <c r="BY255">
        <v>22.398310628107598</v>
      </c>
      <c r="BZ255">
        <v>22.8817701663944</v>
      </c>
      <c r="CA255">
        <v>23.362056676963601</v>
      </c>
      <c r="CB255">
        <v>23.838794437359599</v>
      </c>
      <c r="CC255">
        <v>24.314749022932499</v>
      </c>
      <c r="CD255">
        <v>24.790353078215102</v>
      </c>
      <c r="CE255">
        <v>25.2656832152025</v>
      </c>
      <c r="CF255">
        <v>25.7405711429913</v>
      </c>
      <c r="CG255">
        <v>26.2155860552961</v>
      </c>
      <c r="CH255">
        <v>26.691101707152999</v>
      </c>
      <c r="CI255">
        <v>27.166682833170398</v>
      </c>
      <c r="CJ255">
        <v>27.6424431184574</v>
      </c>
      <c r="CK255">
        <v>28.1182331319825</v>
      </c>
      <c r="CL255">
        <v>28.594010739107901</v>
      </c>
      <c r="CM255">
        <v>29.0698830488429</v>
      </c>
      <c r="CN255">
        <v>29.545681722588998</v>
      </c>
      <c r="CO255">
        <v>30.021271711300301</v>
      </c>
      <c r="CP255">
        <v>30.4969696521961</v>
      </c>
    </row>
    <row r="256" spans="2:94" x14ac:dyDescent="0.2">
      <c r="D256" t="s">
        <v>0</v>
      </c>
      <c r="E256" t="s">
        <v>1</v>
      </c>
      <c r="F256" t="s">
        <v>2</v>
      </c>
      <c r="G256" t="s">
        <v>3</v>
      </c>
      <c r="H256" t="s">
        <v>4</v>
      </c>
      <c r="K256" t="s">
        <v>5</v>
      </c>
      <c r="M256" t="s">
        <v>8</v>
      </c>
      <c r="N256">
        <v>1</v>
      </c>
      <c r="O256">
        <v>1</v>
      </c>
      <c r="P256">
        <v>0</v>
      </c>
      <c r="Q256" t="s">
        <v>204</v>
      </c>
      <c r="S256">
        <v>0</v>
      </c>
      <c r="T256">
        <v>0</v>
      </c>
      <c r="U256">
        <v>0</v>
      </c>
      <c r="V256">
        <v>0</v>
      </c>
      <c r="W256">
        <v>0</v>
      </c>
      <c r="X256">
        <v>0</v>
      </c>
      <c r="Y256">
        <v>0</v>
      </c>
      <c r="Z256">
        <v>0</v>
      </c>
      <c r="AA256">
        <v>0</v>
      </c>
      <c r="AB256">
        <v>0</v>
      </c>
      <c r="AC256">
        <v>0.27300000000000002</v>
      </c>
      <c r="AD256">
        <v>0.27300000000000002</v>
      </c>
      <c r="AE256">
        <v>0.27300000000000002</v>
      </c>
      <c r="AF256">
        <v>0.54600000000000004</v>
      </c>
      <c r="AG256">
        <v>0.27300000000000002</v>
      </c>
      <c r="AH256">
        <v>0.54600000000000004</v>
      </c>
      <c r="AI256">
        <v>0.54600000000000004</v>
      </c>
      <c r="AJ256">
        <v>0.54600000000000004</v>
      </c>
      <c r="AK256">
        <v>0.27300000000000002</v>
      </c>
      <c r="AL256">
        <v>0</v>
      </c>
      <c r="AM256">
        <v>0</v>
      </c>
      <c r="AN256">
        <v>0</v>
      </c>
      <c r="AO256">
        <v>0.27300000000000002</v>
      </c>
      <c r="AP256">
        <v>0.54600000000000004</v>
      </c>
      <c r="AQ256">
        <v>0.27300000000000002</v>
      </c>
      <c r="AR256">
        <v>2.5280165685435622E-3</v>
      </c>
      <c r="AS256">
        <v>3.6381671784893668E-3</v>
      </c>
      <c r="AT256">
        <v>4.8246400409057786E-3</v>
      </c>
      <c r="AU256">
        <v>5.25910452028331E-3</v>
      </c>
      <c r="AV256">
        <v>4.8679270062155144E-3</v>
      </c>
      <c r="AW256">
        <v>6.1465976023890954E-3</v>
      </c>
      <c r="AX256">
        <v>7.5516319372843288E-3</v>
      </c>
      <c r="AY256">
        <v>9.4115492883481665E-3</v>
      </c>
      <c r="AZ256">
        <v>1.356751275251219E-2</v>
      </c>
      <c r="BA256">
        <v>1.9798964303827809E-2</v>
      </c>
      <c r="BB256">
        <v>2.5859389354942339E-2</v>
      </c>
      <c r="BC256">
        <v>2.8418997730537288E-2</v>
      </c>
      <c r="BD256">
        <v>3.0297476493653198E-2</v>
      </c>
      <c r="BE256">
        <v>3.1499389014207811E-2</v>
      </c>
      <c r="BF256">
        <v>3.2382097203933882E-2</v>
      </c>
      <c r="BG256">
        <v>3.3069143485860181E-2</v>
      </c>
      <c r="BH256">
        <v>3.3735858822702039E-2</v>
      </c>
      <c r="BI256">
        <v>3.4451888866895423E-2</v>
      </c>
      <c r="BJ256">
        <v>3.5299911735278168E-2</v>
      </c>
      <c r="BK256">
        <v>3.6447250549783441E-2</v>
      </c>
      <c r="BL256">
        <v>3.7992361017100067E-2</v>
      </c>
      <c r="BM256">
        <v>3.9338143525149277E-2</v>
      </c>
      <c r="BN256">
        <v>4.0653939669973743E-2</v>
      </c>
      <c r="BO256">
        <v>4.1850115589250232E-2</v>
      </c>
      <c r="BP256">
        <v>4.2944319028846163E-2</v>
      </c>
      <c r="BQ256">
        <v>4.3956407112794992E-2</v>
      </c>
      <c r="BR256">
        <v>4.4408835016335232E-2</v>
      </c>
      <c r="BS256">
        <v>4.4979483931453443E-2</v>
      </c>
      <c r="BT256">
        <v>4.5685909790797272E-2</v>
      </c>
      <c r="BU256">
        <v>4.6824413047462453E-2</v>
      </c>
      <c r="BV256">
        <v>4.8658287369963048E-2</v>
      </c>
      <c r="BW256">
        <v>4.9163771896893832E-2</v>
      </c>
      <c r="BX256">
        <v>4.9483299479635583E-2</v>
      </c>
      <c r="BY256">
        <v>4.9645065714772597E-2</v>
      </c>
      <c r="BZ256">
        <v>4.9652085959839512E-2</v>
      </c>
      <c r="CA256">
        <v>4.9493119344600288E-2</v>
      </c>
      <c r="CB256">
        <v>4.9160999369719023E-2</v>
      </c>
      <c r="CC256">
        <v>4.8690674067407763E-2</v>
      </c>
      <c r="CD256">
        <v>4.8084189146001502E-2</v>
      </c>
      <c r="CE256">
        <v>4.7343600971143693E-2</v>
      </c>
      <c r="CF256">
        <v>4.6450420568011498E-2</v>
      </c>
      <c r="CG256">
        <v>4.5457430113511187E-2</v>
      </c>
      <c r="CH256">
        <v>4.4292810954895963E-2</v>
      </c>
      <c r="CI256">
        <v>4.2971958658731567E-2</v>
      </c>
      <c r="CJ256">
        <v>4.145130372690807E-2</v>
      </c>
      <c r="CK256">
        <v>3.9717331564221497E-2</v>
      </c>
      <c r="CL256">
        <v>3.7755949192319643E-2</v>
      </c>
      <c r="CM256">
        <v>3.5552678698441309E-2</v>
      </c>
      <c r="CN256">
        <v>3.3093100659254693E-2</v>
      </c>
      <c r="CO256">
        <v>3.0363027556869881E-2</v>
      </c>
      <c r="CP256">
        <v>2.7349144930282239E-2</v>
      </c>
    </row>
    <row r="257" spans="4:94" x14ac:dyDescent="0.2">
      <c r="D257" t="s">
        <v>0</v>
      </c>
      <c r="E257" t="s">
        <v>1</v>
      </c>
      <c r="F257" t="s">
        <v>2</v>
      </c>
      <c r="G257" t="s">
        <v>9</v>
      </c>
      <c r="K257" t="s">
        <v>10</v>
      </c>
      <c r="M257" t="s">
        <v>6</v>
      </c>
      <c r="N257">
        <v>1</v>
      </c>
      <c r="O257">
        <v>1</v>
      </c>
      <c r="P257">
        <v>0</v>
      </c>
      <c r="Q257" t="s">
        <v>205</v>
      </c>
      <c r="S257">
        <v>0</v>
      </c>
      <c r="T257">
        <v>0</v>
      </c>
      <c r="U257">
        <v>0</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row>
    <row r="258" spans="4:94" x14ac:dyDescent="0.2">
      <c r="D258" t="s">
        <v>0</v>
      </c>
      <c r="E258" t="s">
        <v>1</v>
      </c>
      <c r="F258" t="s">
        <v>2</v>
      </c>
      <c r="G258" t="s">
        <v>9</v>
      </c>
      <c r="K258" t="s">
        <v>10</v>
      </c>
      <c r="M258" t="s">
        <v>7</v>
      </c>
      <c r="N258">
        <v>1</v>
      </c>
      <c r="O258">
        <v>1</v>
      </c>
      <c r="P258">
        <v>0</v>
      </c>
      <c r="Q258" t="s">
        <v>206</v>
      </c>
      <c r="S258">
        <v>0</v>
      </c>
      <c r="T258">
        <v>0</v>
      </c>
      <c r="U258">
        <v>0</v>
      </c>
      <c r="V258">
        <v>0</v>
      </c>
      <c r="W258">
        <v>0</v>
      </c>
      <c r="X258">
        <v>0</v>
      </c>
      <c r="Y258">
        <v>0</v>
      </c>
      <c r="Z258">
        <v>0</v>
      </c>
      <c r="AA258">
        <v>0</v>
      </c>
      <c r="AB258">
        <v>0</v>
      </c>
      <c r="AC258">
        <v>0</v>
      </c>
      <c r="AD258">
        <v>0</v>
      </c>
      <c r="AE258">
        <v>0</v>
      </c>
      <c r="AF258">
        <v>0</v>
      </c>
      <c r="AG258">
        <v>0</v>
      </c>
      <c r="AH258">
        <v>0</v>
      </c>
      <c r="AI258">
        <v>0</v>
      </c>
      <c r="AJ258">
        <v>0</v>
      </c>
      <c r="AK258">
        <v>0</v>
      </c>
      <c r="AL258">
        <v>0</v>
      </c>
      <c r="AM258">
        <v>0</v>
      </c>
      <c r="AN258">
        <v>0</v>
      </c>
      <c r="AO258">
        <v>0</v>
      </c>
      <c r="AP258">
        <v>0</v>
      </c>
      <c r="AQ258">
        <v>0</v>
      </c>
      <c r="AR258">
        <v>0</v>
      </c>
      <c r="AS258">
        <v>0</v>
      </c>
      <c r="AT258">
        <v>0</v>
      </c>
      <c r="AU258">
        <v>0</v>
      </c>
      <c r="AV258">
        <v>0</v>
      </c>
      <c r="AW258">
        <v>0</v>
      </c>
      <c r="AX258">
        <v>0</v>
      </c>
      <c r="AY258">
        <v>0</v>
      </c>
      <c r="AZ258">
        <v>0</v>
      </c>
      <c r="BA258">
        <v>0</v>
      </c>
      <c r="BB258">
        <v>0</v>
      </c>
      <c r="BC258">
        <v>0</v>
      </c>
      <c r="BD258">
        <v>0</v>
      </c>
      <c r="BE258">
        <v>0</v>
      </c>
      <c r="BF258">
        <v>0</v>
      </c>
      <c r="BG258">
        <v>0</v>
      </c>
      <c r="BH258">
        <v>0</v>
      </c>
      <c r="BI258">
        <v>0</v>
      </c>
      <c r="BJ258">
        <v>0</v>
      </c>
      <c r="BK258">
        <v>0</v>
      </c>
      <c r="BL258">
        <v>0</v>
      </c>
      <c r="BM258">
        <v>0</v>
      </c>
      <c r="BN258">
        <v>0</v>
      </c>
      <c r="BO258">
        <v>0</v>
      </c>
      <c r="BP258">
        <v>0</v>
      </c>
      <c r="BQ258">
        <v>0</v>
      </c>
      <c r="BR258">
        <v>0</v>
      </c>
      <c r="BS258">
        <v>0</v>
      </c>
      <c r="BT258">
        <v>0</v>
      </c>
      <c r="BU258">
        <v>0</v>
      </c>
      <c r="BV258">
        <v>0</v>
      </c>
      <c r="BW258">
        <v>0</v>
      </c>
      <c r="BX258">
        <v>0</v>
      </c>
      <c r="BY258">
        <v>0</v>
      </c>
      <c r="BZ258">
        <v>0</v>
      </c>
      <c r="CA258">
        <v>0</v>
      </c>
      <c r="CB258">
        <v>0</v>
      </c>
      <c r="CC258">
        <v>0</v>
      </c>
      <c r="CD258">
        <v>0</v>
      </c>
      <c r="CE258">
        <v>0</v>
      </c>
      <c r="CF258">
        <v>0</v>
      </c>
      <c r="CG258">
        <v>0</v>
      </c>
      <c r="CH258">
        <v>0</v>
      </c>
      <c r="CI258">
        <v>0</v>
      </c>
      <c r="CJ258">
        <v>0</v>
      </c>
      <c r="CK258">
        <v>0</v>
      </c>
      <c r="CL258">
        <v>0</v>
      </c>
      <c r="CM258">
        <v>0</v>
      </c>
      <c r="CN258">
        <v>0</v>
      </c>
      <c r="CO258">
        <v>0</v>
      </c>
      <c r="CP258">
        <v>0</v>
      </c>
    </row>
    <row r="259" spans="4:94" x14ac:dyDescent="0.2">
      <c r="D259" t="s">
        <v>0</v>
      </c>
      <c r="E259" t="s">
        <v>1</v>
      </c>
      <c r="F259" t="s">
        <v>2</v>
      </c>
      <c r="G259" t="s">
        <v>9</v>
      </c>
      <c r="K259" t="s">
        <v>10</v>
      </c>
      <c r="M259" t="s">
        <v>8</v>
      </c>
      <c r="N259">
        <v>1</v>
      </c>
      <c r="O259">
        <v>1</v>
      </c>
      <c r="P259">
        <v>0</v>
      </c>
      <c r="Q259" t="s">
        <v>207</v>
      </c>
      <c r="S259">
        <v>0</v>
      </c>
      <c r="T259">
        <v>0</v>
      </c>
      <c r="U259">
        <v>0</v>
      </c>
      <c r="V259">
        <v>0</v>
      </c>
      <c r="W259">
        <v>0</v>
      </c>
      <c r="X259">
        <v>0</v>
      </c>
      <c r="Y259">
        <v>0</v>
      </c>
      <c r="Z259">
        <v>0</v>
      </c>
      <c r="AA259">
        <v>0</v>
      </c>
      <c r="AB259">
        <v>0</v>
      </c>
      <c r="AC259">
        <v>0</v>
      </c>
      <c r="AD259">
        <v>0</v>
      </c>
      <c r="AE259">
        <v>0</v>
      </c>
      <c r="AF259">
        <v>0</v>
      </c>
      <c r="AG259">
        <v>0</v>
      </c>
      <c r="AH259">
        <v>0</v>
      </c>
      <c r="AI259">
        <v>0</v>
      </c>
      <c r="AJ259">
        <v>0</v>
      </c>
      <c r="AK259">
        <v>0</v>
      </c>
      <c r="AL259">
        <v>0</v>
      </c>
      <c r="AM259">
        <v>0</v>
      </c>
      <c r="AN259">
        <v>0</v>
      </c>
      <c r="AO259">
        <v>0</v>
      </c>
      <c r="AP259">
        <v>0</v>
      </c>
      <c r="AQ259">
        <v>0</v>
      </c>
      <c r="AR259">
        <v>0</v>
      </c>
      <c r="AS259">
        <v>0</v>
      </c>
      <c r="AT259">
        <v>0</v>
      </c>
      <c r="AU259">
        <v>0</v>
      </c>
      <c r="AV259">
        <v>0</v>
      </c>
      <c r="AW259">
        <v>0</v>
      </c>
      <c r="AX259">
        <v>0</v>
      </c>
      <c r="AY259">
        <v>0</v>
      </c>
      <c r="AZ259">
        <v>0</v>
      </c>
      <c r="BA259">
        <v>0</v>
      </c>
      <c r="BB259">
        <v>0</v>
      </c>
      <c r="BC259">
        <v>0</v>
      </c>
      <c r="BD259">
        <v>0</v>
      </c>
      <c r="BE259">
        <v>0</v>
      </c>
      <c r="BF259">
        <v>0</v>
      </c>
      <c r="BG259">
        <v>0</v>
      </c>
      <c r="BH259">
        <v>0</v>
      </c>
      <c r="BI259">
        <v>0</v>
      </c>
      <c r="BJ259">
        <v>0</v>
      </c>
      <c r="BK259">
        <v>0</v>
      </c>
      <c r="BL259">
        <v>0</v>
      </c>
      <c r="BM259">
        <v>0</v>
      </c>
      <c r="BN259">
        <v>0</v>
      </c>
      <c r="BO259">
        <v>0</v>
      </c>
      <c r="BP259">
        <v>0</v>
      </c>
      <c r="BQ259">
        <v>0</v>
      </c>
      <c r="BR259">
        <v>0</v>
      </c>
      <c r="BS259">
        <v>0</v>
      </c>
      <c r="BT259">
        <v>0</v>
      </c>
      <c r="BU259">
        <v>0</v>
      </c>
      <c r="BV259">
        <v>0</v>
      </c>
      <c r="BW259">
        <v>0</v>
      </c>
      <c r="BX259">
        <v>0</v>
      </c>
      <c r="BY259">
        <v>0</v>
      </c>
      <c r="BZ259">
        <v>0</v>
      </c>
      <c r="CA259">
        <v>0</v>
      </c>
      <c r="CB259">
        <v>0</v>
      </c>
      <c r="CC259">
        <v>0</v>
      </c>
      <c r="CD259">
        <v>0</v>
      </c>
      <c r="CE259">
        <v>0</v>
      </c>
      <c r="CF259">
        <v>0</v>
      </c>
      <c r="CG259">
        <v>0</v>
      </c>
      <c r="CH259">
        <v>0</v>
      </c>
      <c r="CI259">
        <v>0</v>
      </c>
      <c r="CJ259">
        <v>0</v>
      </c>
      <c r="CK259">
        <v>0</v>
      </c>
      <c r="CL259">
        <v>0</v>
      </c>
      <c r="CM259">
        <v>0</v>
      </c>
      <c r="CN259">
        <v>0</v>
      </c>
      <c r="CO259">
        <v>0</v>
      </c>
      <c r="CP259">
        <v>0</v>
      </c>
    </row>
    <row r="260" spans="4:94" x14ac:dyDescent="0.2">
      <c r="D260" t="s">
        <v>0</v>
      </c>
      <c r="E260" t="s">
        <v>1</v>
      </c>
      <c r="F260" t="s">
        <v>2</v>
      </c>
      <c r="G260" t="s">
        <v>11</v>
      </c>
      <c r="H260" t="s">
        <v>12</v>
      </c>
      <c r="K260" t="s">
        <v>10</v>
      </c>
      <c r="M260" t="s">
        <v>6</v>
      </c>
      <c r="N260">
        <v>1</v>
      </c>
      <c r="O260">
        <v>1</v>
      </c>
      <c r="P260">
        <v>0</v>
      </c>
      <c r="Q260" t="s">
        <v>208</v>
      </c>
      <c r="S260">
        <v>54.823500000000003</v>
      </c>
      <c r="T260">
        <v>54.823500000000003</v>
      </c>
      <c r="U260">
        <v>59.817599999999999</v>
      </c>
      <c r="V260">
        <v>62.496000000000002</v>
      </c>
      <c r="W260">
        <v>77.617800000000003</v>
      </c>
      <c r="X260">
        <v>77.896799999999985</v>
      </c>
      <c r="Y260">
        <v>89.447399999999988</v>
      </c>
      <c r="Z260">
        <v>105.82470000000001</v>
      </c>
      <c r="AA260">
        <v>114.13890000000001</v>
      </c>
      <c r="AB260">
        <v>122.45310000000001</v>
      </c>
      <c r="AC260">
        <v>128.70269999999999</v>
      </c>
      <c r="AD260">
        <v>128.98169999999999</v>
      </c>
      <c r="AE260">
        <v>141.2577</v>
      </c>
      <c r="AF260">
        <v>147.8142</v>
      </c>
      <c r="AG260">
        <v>154.28700000000001</v>
      </c>
      <c r="AH260">
        <v>160.62029999999999</v>
      </c>
      <c r="AI260">
        <v>160.62029999999999</v>
      </c>
      <c r="AJ260">
        <v>160.62029999999999</v>
      </c>
      <c r="AK260">
        <v>199.90350000000001</v>
      </c>
      <c r="AL260">
        <v>125.2431</v>
      </c>
      <c r="AM260">
        <v>461.80079999999998</v>
      </c>
      <c r="AN260">
        <v>309.35520000000002</v>
      </c>
      <c r="AO260">
        <v>309.35520000000002</v>
      </c>
      <c r="AP260">
        <v>1030.4865</v>
      </c>
      <c r="AQ260">
        <v>1288.1987999999999</v>
      </c>
      <c r="AR260">
        <v>0</v>
      </c>
      <c r="AS260">
        <v>0</v>
      </c>
      <c r="AT260">
        <v>0</v>
      </c>
      <c r="AU260">
        <v>0</v>
      </c>
      <c r="AV260">
        <v>0</v>
      </c>
      <c r="AW260">
        <v>0</v>
      </c>
      <c r="AX260">
        <v>0</v>
      </c>
      <c r="AY260">
        <v>0</v>
      </c>
      <c r="AZ260">
        <v>0</v>
      </c>
      <c r="BA260">
        <v>0</v>
      </c>
      <c r="BB260">
        <v>0</v>
      </c>
      <c r="BC260">
        <v>0</v>
      </c>
      <c r="BD260">
        <v>0</v>
      </c>
      <c r="BE260">
        <v>0</v>
      </c>
      <c r="BF260">
        <v>0</v>
      </c>
      <c r="BG260">
        <v>0</v>
      </c>
      <c r="BH260">
        <v>0</v>
      </c>
      <c r="BI260">
        <v>0</v>
      </c>
      <c r="BJ260">
        <v>0</v>
      </c>
      <c r="BK260">
        <v>0</v>
      </c>
      <c r="BL260">
        <v>0</v>
      </c>
      <c r="BM260">
        <v>0</v>
      </c>
      <c r="BN260">
        <v>0</v>
      </c>
      <c r="BO260">
        <v>0</v>
      </c>
      <c r="BP260">
        <v>0</v>
      </c>
      <c r="BQ260">
        <v>0</v>
      </c>
      <c r="BR260">
        <v>0</v>
      </c>
      <c r="BS260">
        <v>0</v>
      </c>
      <c r="BT260">
        <v>0</v>
      </c>
      <c r="BU260">
        <v>0</v>
      </c>
      <c r="BV260">
        <v>0</v>
      </c>
      <c r="BW260">
        <v>0</v>
      </c>
      <c r="BX260">
        <v>0</v>
      </c>
      <c r="BY260">
        <v>0</v>
      </c>
      <c r="BZ260">
        <v>0</v>
      </c>
      <c r="CA260">
        <v>0</v>
      </c>
      <c r="CB260">
        <v>0</v>
      </c>
      <c r="CC260">
        <v>0</v>
      </c>
      <c r="CD260">
        <v>0</v>
      </c>
      <c r="CE260">
        <v>0</v>
      </c>
      <c r="CF260">
        <v>0</v>
      </c>
      <c r="CG260">
        <v>0</v>
      </c>
      <c r="CH260">
        <v>0</v>
      </c>
      <c r="CI260">
        <v>0</v>
      </c>
      <c r="CJ260">
        <v>0</v>
      </c>
      <c r="CK260">
        <v>0</v>
      </c>
      <c r="CL260">
        <v>0</v>
      </c>
      <c r="CM260">
        <v>0</v>
      </c>
      <c r="CN260">
        <v>0</v>
      </c>
      <c r="CO260">
        <v>0</v>
      </c>
      <c r="CP260">
        <v>0</v>
      </c>
    </row>
    <row r="261" spans="4:94" x14ac:dyDescent="0.2">
      <c r="D261" t="s">
        <v>0</v>
      </c>
      <c r="E261" t="s">
        <v>1</v>
      </c>
      <c r="F261" t="s">
        <v>2</v>
      </c>
      <c r="G261" t="s">
        <v>11</v>
      </c>
      <c r="H261" t="s">
        <v>12</v>
      </c>
      <c r="K261" t="s">
        <v>10</v>
      </c>
      <c r="M261" t="s">
        <v>7</v>
      </c>
      <c r="N261">
        <v>1</v>
      </c>
      <c r="O261">
        <v>1</v>
      </c>
      <c r="P261">
        <v>0</v>
      </c>
      <c r="Q261" t="s">
        <v>209</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0</v>
      </c>
      <c r="AU261">
        <v>0</v>
      </c>
      <c r="AV261">
        <v>0</v>
      </c>
      <c r="AW261">
        <v>0</v>
      </c>
      <c r="AX261">
        <v>0</v>
      </c>
      <c r="AY261">
        <v>0</v>
      </c>
      <c r="AZ261">
        <v>0</v>
      </c>
      <c r="BA261">
        <v>0</v>
      </c>
      <c r="BB261">
        <v>0</v>
      </c>
      <c r="BC261">
        <v>0</v>
      </c>
      <c r="BD261">
        <v>0</v>
      </c>
      <c r="BE261">
        <v>0</v>
      </c>
      <c r="BF261">
        <v>0</v>
      </c>
      <c r="BG261">
        <v>0</v>
      </c>
      <c r="BH261">
        <v>0</v>
      </c>
      <c r="BI261">
        <v>0</v>
      </c>
      <c r="BJ261">
        <v>0</v>
      </c>
      <c r="BK261">
        <v>0</v>
      </c>
      <c r="BL261">
        <v>0</v>
      </c>
      <c r="BM261">
        <v>0</v>
      </c>
      <c r="BN261">
        <v>0</v>
      </c>
      <c r="BO261">
        <v>0</v>
      </c>
      <c r="BP261">
        <v>0</v>
      </c>
      <c r="BQ261">
        <v>0</v>
      </c>
      <c r="BR261">
        <v>0</v>
      </c>
      <c r="BS261">
        <v>0</v>
      </c>
      <c r="BT261">
        <v>0</v>
      </c>
      <c r="BU261">
        <v>0</v>
      </c>
      <c r="BV261">
        <v>0</v>
      </c>
      <c r="BW261">
        <v>0</v>
      </c>
      <c r="BX261">
        <v>0</v>
      </c>
      <c r="BY261">
        <v>0</v>
      </c>
      <c r="BZ261">
        <v>0</v>
      </c>
      <c r="CA261">
        <v>0</v>
      </c>
      <c r="CB261">
        <v>0</v>
      </c>
      <c r="CC261">
        <v>0</v>
      </c>
      <c r="CD261">
        <v>0</v>
      </c>
      <c r="CE261">
        <v>0</v>
      </c>
      <c r="CF261">
        <v>0</v>
      </c>
      <c r="CG261">
        <v>0</v>
      </c>
      <c r="CH261">
        <v>0</v>
      </c>
      <c r="CI261">
        <v>0</v>
      </c>
      <c r="CJ261">
        <v>0</v>
      </c>
      <c r="CK261">
        <v>0</v>
      </c>
      <c r="CL261">
        <v>0</v>
      </c>
      <c r="CM261">
        <v>0</v>
      </c>
      <c r="CN261">
        <v>0</v>
      </c>
      <c r="CO261">
        <v>0</v>
      </c>
      <c r="CP261">
        <v>0</v>
      </c>
    </row>
    <row r="262" spans="4:94" x14ac:dyDescent="0.2">
      <c r="D262" t="s">
        <v>0</v>
      </c>
      <c r="E262" t="s">
        <v>1</v>
      </c>
      <c r="F262" t="s">
        <v>2</v>
      </c>
      <c r="G262" t="s">
        <v>11</v>
      </c>
      <c r="H262" t="s">
        <v>12</v>
      </c>
      <c r="K262" t="s">
        <v>10</v>
      </c>
      <c r="M262" t="s">
        <v>8</v>
      </c>
      <c r="N262">
        <v>1</v>
      </c>
      <c r="O262">
        <v>1</v>
      </c>
      <c r="P262">
        <v>0</v>
      </c>
      <c r="Q262" t="s">
        <v>210</v>
      </c>
      <c r="S262">
        <v>10.647</v>
      </c>
      <c r="T262">
        <v>10.647</v>
      </c>
      <c r="U262">
        <v>11.739000000000001</v>
      </c>
      <c r="V262">
        <v>12.285</v>
      </c>
      <c r="W262">
        <v>15.288</v>
      </c>
      <c r="X262">
        <v>15.288</v>
      </c>
      <c r="Y262">
        <v>17.472000000000001</v>
      </c>
      <c r="Z262">
        <v>20.748000000000001</v>
      </c>
      <c r="AA262">
        <v>22.385999999999999</v>
      </c>
      <c r="AB262">
        <v>24.024000000000001</v>
      </c>
      <c r="AC262">
        <v>25.116</v>
      </c>
      <c r="AD262">
        <v>25.116</v>
      </c>
      <c r="AE262">
        <v>27.573</v>
      </c>
      <c r="AF262">
        <v>28.937999999999999</v>
      </c>
      <c r="AG262">
        <v>30.303000000000001</v>
      </c>
      <c r="AH262">
        <v>31.395</v>
      </c>
      <c r="AI262">
        <v>31.395</v>
      </c>
      <c r="AJ262">
        <v>31.395</v>
      </c>
      <c r="AK262">
        <v>39.038999999999987</v>
      </c>
      <c r="AL262">
        <v>24.57</v>
      </c>
      <c r="AM262">
        <v>90.363</v>
      </c>
      <c r="AN262">
        <v>60.606000000000002</v>
      </c>
      <c r="AO262">
        <v>60.606000000000002</v>
      </c>
      <c r="AP262">
        <v>251.97900000000001</v>
      </c>
      <c r="AQ262">
        <v>315.04199999999997</v>
      </c>
      <c r="AR262">
        <v>0</v>
      </c>
      <c r="AS262">
        <v>0</v>
      </c>
      <c r="AT262">
        <v>0</v>
      </c>
      <c r="AU262">
        <v>0</v>
      </c>
      <c r="AV262">
        <v>0</v>
      </c>
      <c r="AW262">
        <v>0</v>
      </c>
      <c r="AX262">
        <v>0</v>
      </c>
      <c r="AY262">
        <v>0</v>
      </c>
      <c r="AZ262">
        <v>0</v>
      </c>
      <c r="BA262">
        <v>0</v>
      </c>
      <c r="BB262">
        <v>0</v>
      </c>
      <c r="BC262">
        <v>0</v>
      </c>
      <c r="BD262">
        <v>0</v>
      </c>
      <c r="BE262">
        <v>0</v>
      </c>
      <c r="BF262">
        <v>0</v>
      </c>
      <c r="BG262">
        <v>0</v>
      </c>
      <c r="BH262">
        <v>0</v>
      </c>
      <c r="BI262">
        <v>0</v>
      </c>
      <c r="BJ262">
        <v>0</v>
      </c>
      <c r="BK262">
        <v>0</v>
      </c>
      <c r="BL262">
        <v>0</v>
      </c>
      <c r="BM262">
        <v>0</v>
      </c>
      <c r="BN262">
        <v>0</v>
      </c>
      <c r="BO262">
        <v>0</v>
      </c>
      <c r="BP262">
        <v>0</v>
      </c>
      <c r="BQ262">
        <v>0</v>
      </c>
      <c r="BR262">
        <v>0</v>
      </c>
      <c r="BS262">
        <v>0</v>
      </c>
      <c r="BT262">
        <v>0</v>
      </c>
      <c r="BU262">
        <v>0</v>
      </c>
      <c r="BV262">
        <v>0</v>
      </c>
      <c r="BW262">
        <v>0</v>
      </c>
      <c r="BX262">
        <v>0</v>
      </c>
      <c r="BY262">
        <v>0</v>
      </c>
      <c r="BZ262">
        <v>0</v>
      </c>
      <c r="CA262">
        <v>0</v>
      </c>
      <c r="CB262">
        <v>0</v>
      </c>
      <c r="CC262">
        <v>0</v>
      </c>
      <c r="CD262">
        <v>0</v>
      </c>
      <c r="CE262">
        <v>0</v>
      </c>
      <c r="CF262">
        <v>0</v>
      </c>
      <c r="CG262">
        <v>0</v>
      </c>
      <c r="CH262">
        <v>0</v>
      </c>
      <c r="CI262">
        <v>0</v>
      </c>
      <c r="CJ262">
        <v>0</v>
      </c>
      <c r="CK262">
        <v>0</v>
      </c>
      <c r="CL262">
        <v>0</v>
      </c>
      <c r="CM262">
        <v>0</v>
      </c>
      <c r="CN262">
        <v>0</v>
      </c>
      <c r="CO262">
        <v>0</v>
      </c>
      <c r="CP262">
        <v>0</v>
      </c>
    </row>
    <row r="263" spans="4:94" x14ac:dyDescent="0.2">
      <c r="D263" t="s">
        <v>0</v>
      </c>
      <c r="E263" t="s">
        <v>1</v>
      </c>
      <c r="F263" t="s">
        <v>2</v>
      </c>
      <c r="G263" t="s">
        <v>11</v>
      </c>
      <c r="H263" t="s">
        <v>13</v>
      </c>
      <c r="K263" t="s">
        <v>10</v>
      </c>
      <c r="M263" t="s">
        <v>6</v>
      </c>
      <c r="N263">
        <v>1</v>
      </c>
      <c r="O263">
        <v>1</v>
      </c>
      <c r="P263">
        <v>0</v>
      </c>
      <c r="Q263" t="s">
        <v>211</v>
      </c>
      <c r="S263">
        <v>0</v>
      </c>
      <c r="T263">
        <v>0</v>
      </c>
      <c r="U263">
        <v>0</v>
      </c>
      <c r="V263">
        <v>0</v>
      </c>
      <c r="W263">
        <v>0</v>
      </c>
      <c r="X263">
        <v>0</v>
      </c>
      <c r="Y263">
        <v>0</v>
      </c>
      <c r="Z263">
        <v>0</v>
      </c>
      <c r="AA263">
        <v>0</v>
      </c>
      <c r="AB263">
        <v>0</v>
      </c>
      <c r="AC263">
        <v>0</v>
      </c>
      <c r="AD263">
        <v>0</v>
      </c>
      <c r="AE263">
        <v>0</v>
      </c>
      <c r="AF263">
        <v>0</v>
      </c>
      <c r="AG263">
        <v>0</v>
      </c>
      <c r="AH263">
        <v>0</v>
      </c>
      <c r="AI263">
        <v>0</v>
      </c>
      <c r="AJ263">
        <v>0</v>
      </c>
      <c r="AK263">
        <v>0</v>
      </c>
      <c r="AL263">
        <v>0</v>
      </c>
      <c r="AM263">
        <v>0</v>
      </c>
      <c r="AN263">
        <v>0</v>
      </c>
      <c r="AO263">
        <v>0</v>
      </c>
      <c r="AP263">
        <v>0</v>
      </c>
      <c r="AQ263">
        <v>0</v>
      </c>
      <c r="AR263">
        <v>0</v>
      </c>
      <c r="AS263">
        <v>0</v>
      </c>
      <c r="AT263">
        <v>0</v>
      </c>
      <c r="AU263">
        <v>0</v>
      </c>
      <c r="AV263">
        <v>0</v>
      </c>
      <c r="AW263">
        <v>0</v>
      </c>
      <c r="AX263">
        <v>0</v>
      </c>
      <c r="AY263">
        <v>0</v>
      </c>
      <c r="AZ263">
        <v>0</v>
      </c>
      <c r="BA263">
        <v>0</v>
      </c>
      <c r="BB263">
        <v>0</v>
      </c>
      <c r="BC263">
        <v>0</v>
      </c>
      <c r="BD263">
        <v>0</v>
      </c>
      <c r="BE263">
        <v>0</v>
      </c>
      <c r="BF263">
        <v>0</v>
      </c>
      <c r="BG263">
        <v>0</v>
      </c>
      <c r="BH263">
        <v>0</v>
      </c>
      <c r="BI263">
        <v>0</v>
      </c>
      <c r="BJ263">
        <v>0</v>
      </c>
      <c r="BK263">
        <v>0</v>
      </c>
      <c r="BL263">
        <v>0</v>
      </c>
      <c r="BM263">
        <v>0</v>
      </c>
      <c r="BN263">
        <v>0</v>
      </c>
      <c r="BO263">
        <v>0</v>
      </c>
      <c r="BP263">
        <v>0</v>
      </c>
      <c r="BQ263">
        <v>0</v>
      </c>
      <c r="BR263">
        <v>0</v>
      </c>
      <c r="BS263">
        <v>0</v>
      </c>
      <c r="BT263">
        <v>0</v>
      </c>
      <c r="BU263">
        <v>0</v>
      </c>
      <c r="BV263">
        <v>0</v>
      </c>
      <c r="BW263">
        <v>0</v>
      </c>
      <c r="BX263">
        <v>0</v>
      </c>
      <c r="BY263">
        <v>0</v>
      </c>
      <c r="BZ263">
        <v>0</v>
      </c>
      <c r="CA263">
        <v>0</v>
      </c>
      <c r="CB263">
        <v>0</v>
      </c>
      <c r="CC263">
        <v>0</v>
      </c>
      <c r="CD263">
        <v>0</v>
      </c>
      <c r="CE263">
        <v>0</v>
      </c>
      <c r="CF263">
        <v>0</v>
      </c>
      <c r="CG263">
        <v>0</v>
      </c>
      <c r="CH263">
        <v>0</v>
      </c>
      <c r="CI263">
        <v>0</v>
      </c>
      <c r="CJ263">
        <v>0</v>
      </c>
      <c r="CK263">
        <v>0</v>
      </c>
      <c r="CL263">
        <v>0</v>
      </c>
      <c r="CM263">
        <v>0</v>
      </c>
      <c r="CN263">
        <v>0</v>
      </c>
      <c r="CO263">
        <v>0</v>
      </c>
      <c r="CP263">
        <v>0</v>
      </c>
    </row>
    <row r="264" spans="4:94" x14ac:dyDescent="0.2">
      <c r="D264" t="s">
        <v>0</v>
      </c>
      <c r="E264" t="s">
        <v>1</v>
      </c>
      <c r="F264" t="s">
        <v>2</v>
      </c>
      <c r="G264" t="s">
        <v>11</v>
      </c>
      <c r="H264" t="s">
        <v>13</v>
      </c>
      <c r="K264" t="s">
        <v>10</v>
      </c>
      <c r="M264" t="s">
        <v>7</v>
      </c>
      <c r="N264">
        <v>1</v>
      </c>
      <c r="O264">
        <v>1</v>
      </c>
      <c r="P264">
        <v>0</v>
      </c>
      <c r="Q264" t="s">
        <v>212</v>
      </c>
      <c r="S264">
        <v>0</v>
      </c>
      <c r="T264">
        <v>0</v>
      </c>
      <c r="U264">
        <v>0</v>
      </c>
      <c r="V264">
        <v>0</v>
      </c>
      <c r="W264">
        <v>0</v>
      </c>
      <c r="X264">
        <v>0</v>
      </c>
      <c r="Y264">
        <v>0</v>
      </c>
      <c r="Z264">
        <v>0</v>
      </c>
      <c r="AA264">
        <v>0</v>
      </c>
      <c r="AB264">
        <v>0</v>
      </c>
      <c r="AC264">
        <v>0</v>
      </c>
      <c r="AD264">
        <v>0</v>
      </c>
      <c r="AE264">
        <v>0</v>
      </c>
      <c r="AF264">
        <v>0</v>
      </c>
      <c r="AG264">
        <v>0</v>
      </c>
      <c r="AH264">
        <v>0</v>
      </c>
      <c r="AI264">
        <v>0</v>
      </c>
      <c r="AJ264">
        <v>0</v>
      </c>
      <c r="AK264">
        <v>0</v>
      </c>
      <c r="AL264">
        <v>0</v>
      </c>
      <c r="AM264">
        <v>0</v>
      </c>
      <c r="AN264">
        <v>0</v>
      </c>
      <c r="AO264">
        <v>0</v>
      </c>
      <c r="AP264">
        <v>0</v>
      </c>
      <c r="AQ264">
        <v>0</v>
      </c>
      <c r="AR264">
        <v>0</v>
      </c>
      <c r="AS264">
        <v>0</v>
      </c>
      <c r="AT264">
        <v>0</v>
      </c>
      <c r="AU264">
        <v>0</v>
      </c>
      <c r="AV264">
        <v>0</v>
      </c>
      <c r="AW264">
        <v>0</v>
      </c>
      <c r="AX264">
        <v>0</v>
      </c>
      <c r="AY264">
        <v>0</v>
      </c>
      <c r="AZ264">
        <v>0</v>
      </c>
      <c r="BA264">
        <v>0</v>
      </c>
      <c r="BB264">
        <v>0</v>
      </c>
      <c r="BC264">
        <v>0</v>
      </c>
      <c r="BD264">
        <v>0</v>
      </c>
      <c r="BE264">
        <v>0</v>
      </c>
      <c r="BF264">
        <v>0</v>
      </c>
      <c r="BG264">
        <v>0</v>
      </c>
      <c r="BH264">
        <v>0</v>
      </c>
      <c r="BI264">
        <v>0</v>
      </c>
      <c r="BJ264">
        <v>0</v>
      </c>
      <c r="BK264">
        <v>0</v>
      </c>
      <c r="BL264">
        <v>0</v>
      </c>
      <c r="BM264">
        <v>0</v>
      </c>
      <c r="BN264">
        <v>0</v>
      </c>
      <c r="BO264">
        <v>0</v>
      </c>
      <c r="BP264">
        <v>0</v>
      </c>
      <c r="BQ264">
        <v>0</v>
      </c>
      <c r="BR264">
        <v>0</v>
      </c>
      <c r="BS264">
        <v>0</v>
      </c>
      <c r="BT264">
        <v>0</v>
      </c>
      <c r="BU264">
        <v>0</v>
      </c>
      <c r="BV264">
        <v>0</v>
      </c>
      <c r="BW264">
        <v>0</v>
      </c>
      <c r="BX264">
        <v>0</v>
      </c>
      <c r="BY264">
        <v>0</v>
      </c>
      <c r="BZ264">
        <v>0</v>
      </c>
      <c r="CA264">
        <v>0</v>
      </c>
      <c r="CB264">
        <v>0</v>
      </c>
      <c r="CC264">
        <v>0</v>
      </c>
      <c r="CD264">
        <v>0</v>
      </c>
      <c r="CE264">
        <v>0</v>
      </c>
      <c r="CF264">
        <v>0</v>
      </c>
      <c r="CG264">
        <v>0</v>
      </c>
      <c r="CH264">
        <v>0</v>
      </c>
      <c r="CI264">
        <v>0</v>
      </c>
      <c r="CJ264">
        <v>0</v>
      </c>
      <c r="CK264">
        <v>0</v>
      </c>
      <c r="CL264">
        <v>0</v>
      </c>
      <c r="CM264">
        <v>0</v>
      </c>
      <c r="CN264">
        <v>0</v>
      </c>
      <c r="CO264">
        <v>0</v>
      </c>
      <c r="CP264">
        <v>0</v>
      </c>
    </row>
    <row r="265" spans="4:94" x14ac:dyDescent="0.2">
      <c r="D265" t="s">
        <v>0</v>
      </c>
      <c r="E265" t="s">
        <v>1</v>
      </c>
      <c r="F265" t="s">
        <v>2</v>
      </c>
      <c r="G265" t="s">
        <v>11</v>
      </c>
      <c r="H265" t="s">
        <v>13</v>
      </c>
      <c r="K265" t="s">
        <v>10</v>
      </c>
      <c r="M265" t="s">
        <v>8</v>
      </c>
      <c r="N265">
        <v>1</v>
      </c>
      <c r="O265">
        <v>1</v>
      </c>
      <c r="P265">
        <v>0</v>
      </c>
      <c r="Q265" t="s">
        <v>213</v>
      </c>
      <c r="S265">
        <v>0</v>
      </c>
      <c r="T265">
        <v>0</v>
      </c>
      <c r="U265">
        <v>0</v>
      </c>
      <c r="V265">
        <v>0</v>
      </c>
      <c r="W265">
        <v>0</v>
      </c>
      <c r="X265">
        <v>0</v>
      </c>
      <c r="Y265">
        <v>0</v>
      </c>
      <c r="Z265">
        <v>0</v>
      </c>
      <c r="AA265">
        <v>0</v>
      </c>
      <c r="AB265">
        <v>0</v>
      </c>
      <c r="AC265">
        <v>0</v>
      </c>
      <c r="AD265">
        <v>0</v>
      </c>
      <c r="AE265">
        <v>0</v>
      </c>
      <c r="AF265">
        <v>0</v>
      </c>
      <c r="AG265">
        <v>0</v>
      </c>
      <c r="AH265">
        <v>0</v>
      </c>
      <c r="AI265">
        <v>0</v>
      </c>
      <c r="AJ265">
        <v>0</v>
      </c>
      <c r="AK265">
        <v>0</v>
      </c>
      <c r="AL265">
        <v>0</v>
      </c>
      <c r="AM265">
        <v>0</v>
      </c>
      <c r="AN265">
        <v>0</v>
      </c>
      <c r="AO265">
        <v>0</v>
      </c>
      <c r="AP265">
        <v>0</v>
      </c>
      <c r="AQ265">
        <v>0</v>
      </c>
      <c r="AR265">
        <v>0</v>
      </c>
      <c r="AS265">
        <v>0</v>
      </c>
      <c r="AT265">
        <v>0</v>
      </c>
      <c r="AU265">
        <v>0</v>
      </c>
      <c r="AV265">
        <v>0</v>
      </c>
      <c r="AW265">
        <v>0</v>
      </c>
      <c r="AX265">
        <v>0</v>
      </c>
      <c r="AY265">
        <v>0</v>
      </c>
      <c r="AZ265">
        <v>0</v>
      </c>
      <c r="BA265">
        <v>0</v>
      </c>
      <c r="BB265">
        <v>0</v>
      </c>
      <c r="BC265">
        <v>0</v>
      </c>
      <c r="BD265">
        <v>0</v>
      </c>
      <c r="BE265">
        <v>0</v>
      </c>
      <c r="BF265">
        <v>0</v>
      </c>
      <c r="BG265">
        <v>0</v>
      </c>
      <c r="BH265">
        <v>0</v>
      </c>
      <c r="BI265">
        <v>0</v>
      </c>
      <c r="BJ265">
        <v>0</v>
      </c>
      <c r="BK265">
        <v>0</v>
      </c>
      <c r="BL265">
        <v>0</v>
      </c>
      <c r="BM265">
        <v>0</v>
      </c>
      <c r="BN265">
        <v>0</v>
      </c>
      <c r="BO265">
        <v>0</v>
      </c>
      <c r="BP265">
        <v>0</v>
      </c>
      <c r="BQ265">
        <v>0</v>
      </c>
      <c r="BR265">
        <v>0</v>
      </c>
      <c r="BS265">
        <v>0</v>
      </c>
      <c r="BT265">
        <v>0</v>
      </c>
      <c r="BU265">
        <v>0</v>
      </c>
      <c r="BV265">
        <v>0</v>
      </c>
      <c r="BW265">
        <v>0</v>
      </c>
      <c r="BX265">
        <v>0</v>
      </c>
      <c r="BY265">
        <v>0</v>
      </c>
      <c r="BZ265">
        <v>0</v>
      </c>
      <c r="CA265">
        <v>0</v>
      </c>
      <c r="CB265">
        <v>0</v>
      </c>
      <c r="CC265">
        <v>0</v>
      </c>
      <c r="CD265">
        <v>0</v>
      </c>
      <c r="CE265">
        <v>0</v>
      </c>
      <c r="CF265">
        <v>0</v>
      </c>
      <c r="CG265">
        <v>0</v>
      </c>
      <c r="CH265">
        <v>0</v>
      </c>
      <c r="CI265">
        <v>0</v>
      </c>
      <c r="CJ265">
        <v>0</v>
      </c>
      <c r="CK265">
        <v>0</v>
      </c>
      <c r="CL265">
        <v>0</v>
      </c>
      <c r="CM265">
        <v>0</v>
      </c>
      <c r="CN265">
        <v>0</v>
      </c>
      <c r="CO265">
        <v>0</v>
      </c>
      <c r="CP265">
        <v>0</v>
      </c>
    </row>
    <row r="266" spans="4:94" x14ac:dyDescent="0.2">
      <c r="D266" t="s">
        <v>0</v>
      </c>
      <c r="E266" t="s">
        <v>1</v>
      </c>
      <c r="F266" t="s">
        <v>14</v>
      </c>
      <c r="G266" t="s">
        <v>15</v>
      </c>
      <c r="K266" t="s">
        <v>16</v>
      </c>
      <c r="M266" t="s">
        <v>6</v>
      </c>
      <c r="N266">
        <v>1</v>
      </c>
      <c r="O266">
        <v>1</v>
      </c>
      <c r="P266">
        <v>0</v>
      </c>
      <c r="Q266" t="s">
        <v>214</v>
      </c>
      <c r="S266">
        <v>0</v>
      </c>
      <c r="T266">
        <v>0</v>
      </c>
      <c r="U266">
        <v>0</v>
      </c>
      <c r="V266">
        <v>0</v>
      </c>
      <c r="W266">
        <v>0</v>
      </c>
      <c r="X266">
        <v>0</v>
      </c>
      <c r="Y266">
        <v>0</v>
      </c>
      <c r="Z266">
        <v>0</v>
      </c>
      <c r="AA266">
        <v>0</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0</v>
      </c>
      <c r="BT266">
        <v>0</v>
      </c>
      <c r="BU266">
        <v>0</v>
      </c>
      <c r="BV266">
        <v>0</v>
      </c>
      <c r="BW266">
        <v>0</v>
      </c>
      <c r="BX266">
        <v>0</v>
      </c>
      <c r="BY266">
        <v>0</v>
      </c>
      <c r="BZ266">
        <v>0</v>
      </c>
      <c r="CA266">
        <v>0</v>
      </c>
      <c r="CB266">
        <v>0</v>
      </c>
      <c r="CC266">
        <v>0</v>
      </c>
      <c r="CD266">
        <v>0</v>
      </c>
      <c r="CE266">
        <v>0</v>
      </c>
      <c r="CF266">
        <v>0</v>
      </c>
      <c r="CG266">
        <v>0</v>
      </c>
      <c r="CH266">
        <v>0</v>
      </c>
      <c r="CI266">
        <v>0</v>
      </c>
      <c r="CJ266">
        <v>0</v>
      </c>
      <c r="CK266">
        <v>0</v>
      </c>
      <c r="CL266">
        <v>0</v>
      </c>
      <c r="CM266">
        <v>0</v>
      </c>
      <c r="CN266">
        <v>0</v>
      </c>
      <c r="CO266">
        <v>0</v>
      </c>
      <c r="CP266">
        <v>0</v>
      </c>
    </row>
    <row r="267" spans="4:94" x14ac:dyDescent="0.2">
      <c r="D267" t="s">
        <v>0</v>
      </c>
      <c r="E267" t="s">
        <v>1</v>
      </c>
      <c r="F267" t="s">
        <v>14</v>
      </c>
      <c r="G267" t="s">
        <v>15</v>
      </c>
      <c r="K267" t="s">
        <v>16</v>
      </c>
      <c r="M267" t="s">
        <v>7</v>
      </c>
      <c r="N267">
        <v>1</v>
      </c>
      <c r="O267">
        <v>1</v>
      </c>
      <c r="P267">
        <v>0</v>
      </c>
      <c r="Q267" t="s">
        <v>215</v>
      </c>
      <c r="S267">
        <v>0</v>
      </c>
      <c r="T267">
        <v>0</v>
      </c>
      <c r="U267">
        <v>0</v>
      </c>
      <c r="V267">
        <v>0</v>
      </c>
      <c r="W267">
        <v>0</v>
      </c>
      <c r="X267">
        <v>0</v>
      </c>
      <c r="Y267">
        <v>0</v>
      </c>
      <c r="Z267">
        <v>0</v>
      </c>
      <c r="AA267">
        <v>0</v>
      </c>
      <c r="AB267">
        <v>0</v>
      </c>
      <c r="AC267">
        <v>0</v>
      </c>
      <c r="AD267">
        <v>0</v>
      </c>
      <c r="AE267">
        <v>0</v>
      </c>
      <c r="AF267">
        <v>0</v>
      </c>
      <c r="AG267">
        <v>0</v>
      </c>
      <c r="AH267">
        <v>0</v>
      </c>
      <c r="AI267">
        <v>0</v>
      </c>
      <c r="AJ267">
        <v>0</v>
      </c>
      <c r="AK267">
        <v>0</v>
      </c>
      <c r="AL267">
        <v>0</v>
      </c>
      <c r="AM267">
        <v>0</v>
      </c>
      <c r="AN267">
        <v>0</v>
      </c>
      <c r="AO267">
        <v>0</v>
      </c>
      <c r="AP267">
        <v>0</v>
      </c>
      <c r="AQ267">
        <v>0</v>
      </c>
      <c r="AR267">
        <v>0</v>
      </c>
      <c r="AS267">
        <v>0</v>
      </c>
      <c r="AT267">
        <v>0</v>
      </c>
      <c r="AU267">
        <v>0</v>
      </c>
      <c r="AV267">
        <v>0</v>
      </c>
      <c r="AW267">
        <v>0</v>
      </c>
      <c r="AX267">
        <v>0</v>
      </c>
      <c r="AY267">
        <v>0</v>
      </c>
      <c r="AZ267">
        <v>0</v>
      </c>
      <c r="BA267">
        <v>0</v>
      </c>
      <c r="BB267">
        <v>0</v>
      </c>
      <c r="BC267">
        <v>0</v>
      </c>
      <c r="BD267">
        <v>0</v>
      </c>
      <c r="BE267">
        <v>0</v>
      </c>
      <c r="BF267">
        <v>0</v>
      </c>
      <c r="BG267">
        <v>0</v>
      </c>
      <c r="BH267">
        <v>0</v>
      </c>
      <c r="BI267">
        <v>0</v>
      </c>
      <c r="BJ267">
        <v>0</v>
      </c>
      <c r="BK267">
        <v>0</v>
      </c>
      <c r="BL267">
        <v>0</v>
      </c>
      <c r="BM267">
        <v>0</v>
      </c>
      <c r="BN267">
        <v>0</v>
      </c>
      <c r="BO267">
        <v>0</v>
      </c>
      <c r="BP267">
        <v>0</v>
      </c>
      <c r="BQ267">
        <v>0</v>
      </c>
      <c r="BR267">
        <v>0</v>
      </c>
      <c r="BS267">
        <v>0</v>
      </c>
      <c r="BT267">
        <v>0</v>
      </c>
      <c r="BU267">
        <v>0</v>
      </c>
      <c r="BV267">
        <v>0</v>
      </c>
      <c r="BW267">
        <v>0</v>
      </c>
      <c r="BX267">
        <v>0</v>
      </c>
      <c r="BY267">
        <v>0</v>
      </c>
      <c r="BZ267">
        <v>0</v>
      </c>
      <c r="CA267">
        <v>0</v>
      </c>
      <c r="CB267">
        <v>0</v>
      </c>
      <c r="CC267">
        <v>0</v>
      </c>
      <c r="CD267">
        <v>0</v>
      </c>
      <c r="CE267">
        <v>0</v>
      </c>
      <c r="CF267">
        <v>0</v>
      </c>
      <c r="CG267">
        <v>0</v>
      </c>
      <c r="CH267">
        <v>0</v>
      </c>
      <c r="CI267">
        <v>0</v>
      </c>
      <c r="CJ267">
        <v>0</v>
      </c>
      <c r="CK267">
        <v>0</v>
      </c>
      <c r="CL267">
        <v>0</v>
      </c>
      <c r="CM267">
        <v>0</v>
      </c>
      <c r="CN267">
        <v>0</v>
      </c>
      <c r="CO267">
        <v>0</v>
      </c>
      <c r="CP267">
        <v>0</v>
      </c>
    </row>
    <row r="268" spans="4:94" x14ac:dyDescent="0.2">
      <c r="D268" t="s">
        <v>0</v>
      </c>
      <c r="E268" t="s">
        <v>1</v>
      </c>
      <c r="F268" t="s">
        <v>14</v>
      </c>
      <c r="G268" t="s">
        <v>15</v>
      </c>
      <c r="K268" t="s">
        <v>16</v>
      </c>
      <c r="M268" t="s">
        <v>8</v>
      </c>
      <c r="N268">
        <v>1</v>
      </c>
      <c r="O268">
        <v>1</v>
      </c>
      <c r="P268">
        <v>0</v>
      </c>
      <c r="Q268" t="s">
        <v>216</v>
      </c>
      <c r="S268">
        <v>0</v>
      </c>
      <c r="T268">
        <v>0</v>
      </c>
      <c r="U268">
        <v>0</v>
      </c>
      <c r="V268">
        <v>0</v>
      </c>
      <c r="W268">
        <v>0</v>
      </c>
      <c r="X268">
        <v>0</v>
      </c>
      <c r="Y268">
        <v>0</v>
      </c>
      <c r="Z268">
        <v>0</v>
      </c>
      <c r="AA268">
        <v>0</v>
      </c>
      <c r="AB268">
        <v>0</v>
      </c>
      <c r="AC268">
        <v>0</v>
      </c>
      <c r="AD268">
        <v>0</v>
      </c>
      <c r="AE268">
        <v>0</v>
      </c>
      <c r="AF268">
        <v>0</v>
      </c>
      <c r="AG268">
        <v>0</v>
      </c>
      <c r="AH268">
        <v>0</v>
      </c>
      <c r="AI268">
        <v>0</v>
      </c>
      <c r="AJ268">
        <v>0</v>
      </c>
      <c r="AK268">
        <v>0</v>
      </c>
      <c r="AL268">
        <v>0</v>
      </c>
      <c r="AM268">
        <v>0</v>
      </c>
      <c r="AN268">
        <v>0</v>
      </c>
      <c r="AO268">
        <v>0</v>
      </c>
      <c r="AP268">
        <v>0</v>
      </c>
      <c r="AQ268">
        <v>0</v>
      </c>
      <c r="AR268">
        <v>0</v>
      </c>
      <c r="AS268">
        <v>0</v>
      </c>
      <c r="AT268">
        <v>0</v>
      </c>
      <c r="AU268">
        <v>0</v>
      </c>
      <c r="AV268">
        <v>0</v>
      </c>
      <c r="AW268">
        <v>0</v>
      </c>
      <c r="AX268">
        <v>0</v>
      </c>
      <c r="AY268">
        <v>0</v>
      </c>
      <c r="AZ268">
        <v>0</v>
      </c>
      <c r="BA268">
        <v>0</v>
      </c>
      <c r="BB268">
        <v>0</v>
      </c>
      <c r="BC268">
        <v>0</v>
      </c>
      <c r="BD268">
        <v>0</v>
      </c>
      <c r="BE268">
        <v>0</v>
      </c>
      <c r="BF268">
        <v>0</v>
      </c>
      <c r="BG268">
        <v>0</v>
      </c>
      <c r="BH268">
        <v>0</v>
      </c>
      <c r="BI268">
        <v>0</v>
      </c>
      <c r="BJ268">
        <v>0</v>
      </c>
      <c r="BK268">
        <v>0</v>
      </c>
      <c r="BL268">
        <v>0</v>
      </c>
      <c r="BM268">
        <v>0</v>
      </c>
      <c r="BN268">
        <v>0</v>
      </c>
      <c r="BO268">
        <v>0</v>
      </c>
      <c r="BP268">
        <v>0</v>
      </c>
      <c r="BQ268">
        <v>0</v>
      </c>
      <c r="BR268">
        <v>0</v>
      </c>
      <c r="BS268">
        <v>0</v>
      </c>
      <c r="BT268">
        <v>0</v>
      </c>
      <c r="BU268">
        <v>0</v>
      </c>
      <c r="BV268">
        <v>0</v>
      </c>
      <c r="BW268">
        <v>0</v>
      </c>
      <c r="BX268">
        <v>0</v>
      </c>
      <c r="BY268">
        <v>0</v>
      </c>
      <c r="BZ268">
        <v>0</v>
      </c>
      <c r="CA268">
        <v>0</v>
      </c>
      <c r="CB268">
        <v>0</v>
      </c>
      <c r="CC268">
        <v>0</v>
      </c>
      <c r="CD268">
        <v>0</v>
      </c>
      <c r="CE268">
        <v>0</v>
      </c>
      <c r="CF268">
        <v>0</v>
      </c>
      <c r="CG268">
        <v>0</v>
      </c>
      <c r="CH268">
        <v>0</v>
      </c>
      <c r="CI268">
        <v>0</v>
      </c>
      <c r="CJ268">
        <v>0</v>
      </c>
      <c r="CK268">
        <v>0</v>
      </c>
      <c r="CL268">
        <v>0</v>
      </c>
      <c r="CM268">
        <v>0</v>
      </c>
      <c r="CN268">
        <v>0</v>
      </c>
      <c r="CO268">
        <v>0</v>
      </c>
      <c r="CP268">
        <v>0</v>
      </c>
    </row>
    <row r="269" spans="4:94" x14ac:dyDescent="0.2">
      <c r="D269" t="s">
        <v>0</v>
      </c>
      <c r="E269" t="s">
        <v>1</v>
      </c>
      <c r="F269" t="s">
        <v>14</v>
      </c>
      <c r="G269" t="s">
        <v>17</v>
      </c>
      <c r="K269" t="s">
        <v>16</v>
      </c>
      <c r="M269" t="s">
        <v>6</v>
      </c>
      <c r="N269">
        <v>1</v>
      </c>
      <c r="O269">
        <v>1</v>
      </c>
      <c r="P269">
        <v>0</v>
      </c>
      <c r="Q269" t="s">
        <v>217</v>
      </c>
      <c r="S269">
        <v>0</v>
      </c>
      <c r="T269">
        <v>0</v>
      </c>
      <c r="U269">
        <v>0</v>
      </c>
      <c r="V269">
        <v>0</v>
      </c>
      <c r="W269">
        <v>0</v>
      </c>
      <c r="X269">
        <v>0</v>
      </c>
      <c r="Y269">
        <v>0</v>
      </c>
      <c r="Z269">
        <v>0</v>
      </c>
      <c r="AA269">
        <v>0</v>
      </c>
      <c r="AB269">
        <v>0</v>
      </c>
      <c r="AC269">
        <v>0</v>
      </c>
      <c r="AD269">
        <v>0</v>
      </c>
      <c r="AE269">
        <v>0</v>
      </c>
      <c r="AF269">
        <v>0</v>
      </c>
      <c r="AG269">
        <v>0</v>
      </c>
      <c r="AH269">
        <v>0</v>
      </c>
      <c r="AI269">
        <v>0</v>
      </c>
      <c r="AJ269">
        <v>0</v>
      </c>
      <c r="AK269">
        <v>0</v>
      </c>
      <c r="AL269">
        <v>0</v>
      </c>
      <c r="AM269">
        <v>0</v>
      </c>
      <c r="AN269">
        <v>0</v>
      </c>
      <c r="AO269">
        <v>0</v>
      </c>
      <c r="AP269">
        <v>0</v>
      </c>
      <c r="AQ269">
        <v>0</v>
      </c>
      <c r="AR269">
        <v>1.860356319575416</v>
      </c>
      <c r="AS269">
        <v>1.606717457067788</v>
      </c>
      <c r="AT269">
        <v>1.602772617860301</v>
      </c>
      <c r="AU269">
        <v>1.6013492233796891</v>
      </c>
      <c r="AV269">
        <v>1.59836945554738</v>
      </c>
      <c r="AW269">
        <v>1.594051104795952</v>
      </c>
      <c r="AX269">
        <v>1.588174669843698</v>
      </c>
      <c r="AY269">
        <v>1.58841926600559</v>
      </c>
      <c r="AZ269">
        <v>1.5817128854102791</v>
      </c>
      <c r="BA269">
        <v>1.574536392425161</v>
      </c>
      <c r="BB269">
        <v>1.5501513693735409</v>
      </c>
      <c r="BC269">
        <v>1.5191233822716741</v>
      </c>
      <c r="BD269">
        <v>1.4761732781996579</v>
      </c>
      <c r="BE269">
        <v>1.4142868585330051</v>
      </c>
      <c r="BF269">
        <v>1.3296595091647621</v>
      </c>
      <c r="BG269">
        <v>1.2238846116464599</v>
      </c>
      <c r="BH269">
        <v>1.104596168772944</v>
      </c>
      <c r="BI269">
        <v>0.98330511817271016</v>
      </c>
      <c r="BJ269">
        <v>0.87126352181663569</v>
      </c>
      <c r="BK269">
        <v>0.77590877915094958</v>
      </c>
      <c r="BL269">
        <v>0.70014244225861455</v>
      </c>
      <c r="BM269">
        <v>0.6425408504915755</v>
      </c>
      <c r="BN269">
        <v>0.60294147791018271</v>
      </c>
      <c r="BO269">
        <v>0.57618191431298027</v>
      </c>
      <c r="BP269">
        <v>0.55823069934080338</v>
      </c>
      <c r="BQ269">
        <v>0.54622233357343042</v>
      </c>
      <c r="BR269">
        <v>0.54736892507747592</v>
      </c>
      <c r="BS269">
        <v>0.54838391265908926</v>
      </c>
      <c r="BT269">
        <v>0.54924788116225387</v>
      </c>
      <c r="BU269">
        <v>0.54996805050624376</v>
      </c>
      <c r="BV269">
        <v>0.55051289432422179</v>
      </c>
      <c r="BW269">
        <v>0.55082934468667255</v>
      </c>
      <c r="BX269">
        <v>0.55086916829110588</v>
      </c>
      <c r="BY269">
        <v>0.55058864205684543</v>
      </c>
      <c r="BZ269">
        <v>0.54998010984271428</v>
      </c>
      <c r="CA269">
        <v>0.54902659665104558</v>
      </c>
      <c r="CB269">
        <v>0.54768273111412435</v>
      </c>
      <c r="CC269">
        <v>0.54654528653228629</v>
      </c>
      <c r="CD269">
        <v>0.54561981850912367</v>
      </c>
      <c r="CE269">
        <v>0.54493481223093043</v>
      </c>
      <c r="CF269">
        <v>0.54452383291921402</v>
      </c>
      <c r="CG269">
        <v>0.54434619175434418</v>
      </c>
      <c r="CH269">
        <v>0.54439685233292268</v>
      </c>
      <c r="CI269">
        <v>0.54473821263126077</v>
      </c>
      <c r="CJ269">
        <v>0.54536033765307779</v>
      </c>
      <c r="CK269">
        <v>0.54628279988653394</v>
      </c>
      <c r="CL269">
        <v>0.54751079064833474</v>
      </c>
      <c r="CM269">
        <v>0.54903853336105379</v>
      </c>
      <c r="CN269">
        <v>0.55088892258883904</v>
      </c>
      <c r="CO269">
        <v>0.5530750240191773</v>
      </c>
      <c r="CP269">
        <v>0.55557154224101946</v>
      </c>
    </row>
    <row r="270" spans="4:94" x14ac:dyDescent="0.2">
      <c r="D270" t="s">
        <v>0</v>
      </c>
      <c r="E270" t="s">
        <v>1</v>
      </c>
      <c r="F270" t="s">
        <v>14</v>
      </c>
      <c r="G270" t="s">
        <v>17</v>
      </c>
      <c r="K270" t="s">
        <v>16</v>
      </c>
      <c r="M270" t="s">
        <v>7</v>
      </c>
      <c r="N270">
        <v>1</v>
      </c>
      <c r="O270">
        <v>1</v>
      </c>
      <c r="P270">
        <v>0</v>
      </c>
      <c r="Q270" t="s">
        <v>218</v>
      </c>
      <c r="S270">
        <v>0</v>
      </c>
      <c r="T270">
        <v>0</v>
      </c>
      <c r="U270">
        <v>0</v>
      </c>
      <c r="V270">
        <v>0</v>
      </c>
      <c r="W270">
        <v>0</v>
      </c>
      <c r="X270">
        <v>0</v>
      </c>
      <c r="Y270">
        <v>0</v>
      </c>
      <c r="Z270">
        <v>0</v>
      </c>
      <c r="AA270">
        <v>0</v>
      </c>
      <c r="AB270">
        <v>0</v>
      </c>
      <c r="AC270">
        <v>0</v>
      </c>
      <c r="AD270">
        <v>0</v>
      </c>
      <c r="AE270">
        <v>0</v>
      </c>
      <c r="AF270">
        <v>0</v>
      </c>
      <c r="AG270">
        <v>0</v>
      </c>
      <c r="AH270">
        <v>0</v>
      </c>
      <c r="AI270">
        <v>0</v>
      </c>
      <c r="AJ270">
        <v>0</v>
      </c>
      <c r="AK270">
        <v>0</v>
      </c>
      <c r="AL270">
        <v>0</v>
      </c>
      <c r="AM270">
        <v>0</v>
      </c>
      <c r="AN270">
        <v>0</v>
      </c>
      <c r="AO270">
        <v>0</v>
      </c>
      <c r="AP270">
        <v>0</v>
      </c>
      <c r="AQ270">
        <v>0</v>
      </c>
      <c r="AR270">
        <v>349.7315818964118</v>
      </c>
      <c r="AS270">
        <v>304.01220546905893</v>
      </c>
      <c r="AT270">
        <v>303.01099976496539</v>
      </c>
      <c r="AU270">
        <v>302.86021395781108</v>
      </c>
      <c r="AV270">
        <v>302.42655037398259</v>
      </c>
      <c r="AW270">
        <v>301.74976263344541</v>
      </c>
      <c r="AX270">
        <v>300.78980832764381</v>
      </c>
      <c r="AY270">
        <v>302.64115383001928</v>
      </c>
      <c r="AZ270">
        <v>304.03455069745229</v>
      </c>
      <c r="BA270">
        <v>306.58786888096301</v>
      </c>
      <c r="BB270">
        <v>307.61736755386852</v>
      </c>
      <c r="BC270">
        <v>309.8096954021147</v>
      </c>
      <c r="BD270">
        <v>312.96187712226379</v>
      </c>
      <c r="BE270">
        <v>316.38587222051189</v>
      </c>
      <c r="BF270">
        <v>319.53593975702472</v>
      </c>
      <c r="BG270">
        <v>322.08876035900693</v>
      </c>
      <c r="BH270">
        <v>323.97098744184473</v>
      </c>
      <c r="BI270">
        <v>325.28141358577562</v>
      </c>
      <c r="BJ270">
        <v>326.14084064709903</v>
      </c>
      <c r="BK270">
        <v>326.56618204354618</v>
      </c>
      <c r="BL270">
        <v>326.62307699589769</v>
      </c>
      <c r="BM270">
        <v>326.12454041311082</v>
      </c>
      <c r="BN270">
        <v>326.6320897286588</v>
      </c>
      <c r="BO270">
        <v>327.50075704638652</v>
      </c>
      <c r="BP270">
        <v>328.3270187997</v>
      </c>
      <c r="BQ270">
        <v>328.95281684257498</v>
      </c>
      <c r="BR270">
        <v>329.58349741445232</v>
      </c>
      <c r="BS270">
        <v>330.13382022289278</v>
      </c>
      <c r="BT270">
        <v>330.59212132382549</v>
      </c>
      <c r="BU270">
        <v>330.96312240667942</v>
      </c>
      <c r="BV270">
        <v>331.22773273035432</v>
      </c>
      <c r="BW270">
        <v>331.3536264676581</v>
      </c>
      <c r="BX270">
        <v>331.31145872637251</v>
      </c>
      <c r="BY270">
        <v>331.07466540765569</v>
      </c>
      <c r="BZ270">
        <v>330.63886406729409</v>
      </c>
      <c r="CA270">
        <v>329.99394890394791</v>
      </c>
      <c r="CB270">
        <v>329.11236045561878</v>
      </c>
      <c r="CC270">
        <v>328.35591978380569</v>
      </c>
      <c r="CD270">
        <v>327.72800928162729</v>
      </c>
      <c r="CE270">
        <v>327.24610768624621</v>
      </c>
      <c r="CF270">
        <v>326.93081579981367</v>
      </c>
      <c r="CG270">
        <v>326.75708033094651</v>
      </c>
      <c r="CH270">
        <v>326.72176647264121</v>
      </c>
      <c r="CI270">
        <v>326.86319802923282</v>
      </c>
      <c r="CJ270">
        <v>327.17522570904919</v>
      </c>
      <c r="CK270">
        <v>327.66984056410388</v>
      </c>
      <c r="CL270">
        <v>328.35019035435857</v>
      </c>
      <c r="CM270">
        <v>329.21267805227382</v>
      </c>
      <c r="CN270">
        <v>330.27133264252979</v>
      </c>
      <c r="CO270">
        <v>331.5341385191486</v>
      </c>
      <c r="CP270">
        <v>332.98549327514371</v>
      </c>
    </row>
    <row r="271" spans="4:94" x14ac:dyDescent="0.2">
      <c r="D271" t="s">
        <v>0</v>
      </c>
      <c r="E271" t="s">
        <v>1</v>
      </c>
      <c r="F271" t="s">
        <v>14</v>
      </c>
      <c r="G271" t="s">
        <v>17</v>
      </c>
      <c r="K271" t="s">
        <v>16</v>
      </c>
      <c r="M271" t="s">
        <v>8</v>
      </c>
      <c r="N271">
        <v>1</v>
      </c>
      <c r="O271">
        <v>1</v>
      </c>
      <c r="P271">
        <v>0</v>
      </c>
      <c r="Q271" t="s">
        <v>219</v>
      </c>
      <c r="S271">
        <v>0</v>
      </c>
      <c r="T271">
        <v>0</v>
      </c>
      <c r="U271">
        <v>0</v>
      </c>
      <c r="V271">
        <v>0</v>
      </c>
      <c r="W271">
        <v>0</v>
      </c>
      <c r="X271">
        <v>0</v>
      </c>
      <c r="Y271">
        <v>0</v>
      </c>
      <c r="Z271">
        <v>0</v>
      </c>
      <c r="AA271">
        <v>0</v>
      </c>
      <c r="AB271">
        <v>0</v>
      </c>
      <c r="AC271">
        <v>0</v>
      </c>
      <c r="AD271">
        <v>0</v>
      </c>
      <c r="AE271">
        <v>0</v>
      </c>
      <c r="AF271">
        <v>0</v>
      </c>
      <c r="AG271">
        <v>0</v>
      </c>
      <c r="AH271">
        <v>0</v>
      </c>
      <c r="AI271">
        <v>0</v>
      </c>
      <c r="AJ271">
        <v>0</v>
      </c>
      <c r="AK271">
        <v>0</v>
      </c>
      <c r="AL271">
        <v>0</v>
      </c>
      <c r="AM271">
        <v>0</v>
      </c>
      <c r="AN271">
        <v>0</v>
      </c>
      <c r="AO271">
        <v>0</v>
      </c>
      <c r="AP271">
        <v>0</v>
      </c>
      <c r="AQ271">
        <v>0</v>
      </c>
      <c r="AR271">
        <v>1.674330332475807</v>
      </c>
      <c r="AS271">
        <v>1.4525414471796181</v>
      </c>
      <c r="AT271">
        <v>1.448132943819721</v>
      </c>
      <c r="AU271">
        <v>1.447237961809928</v>
      </c>
      <c r="AV271">
        <v>1.4449743236153141</v>
      </c>
      <c r="AW271">
        <v>1.4415341109668289</v>
      </c>
      <c r="AX271">
        <v>1.436723810901877</v>
      </c>
      <c r="AY271">
        <v>1.441794616427196</v>
      </c>
      <c r="AZ271">
        <v>1.4428512864047449</v>
      </c>
      <c r="BA271">
        <v>1.446770278489657</v>
      </c>
      <c r="BB271">
        <v>1.439710712112358</v>
      </c>
      <c r="BC271">
        <v>1.4330068038626269</v>
      </c>
      <c r="BD271">
        <v>1.423992704897213</v>
      </c>
      <c r="BE271">
        <v>1.4080167877966989</v>
      </c>
      <c r="BF271">
        <v>1.3821014929227491</v>
      </c>
      <c r="BG271">
        <v>1.3460405594258389</v>
      </c>
      <c r="BH271">
        <v>1.302731817773561</v>
      </c>
      <c r="BI271">
        <v>1.2570960894399199</v>
      </c>
      <c r="BJ271">
        <v>1.21400712703957</v>
      </c>
      <c r="BK271">
        <v>1.1765203011346059</v>
      </c>
      <c r="BL271">
        <v>1.1459838056518321</v>
      </c>
      <c r="BM271">
        <v>1.1213291063899751</v>
      </c>
      <c r="BN271">
        <v>1.106617539495333</v>
      </c>
      <c r="BO271">
        <v>1.098058444062131</v>
      </c>
      <c r="BP271">
        <v>1.0929541894244099</v>
      </c>
      <c r="BQ271">
        <v>1.089727307381992</v>
      </c>
      <c r="BR271">
        <v>1.091846017037055</v>
      </c>
      <c r="BS271">
        <v>1.0936990663267341</v>
      </c>
      <c r="BT271">
        <v>1.0952478018943339</v>
      </c>
      <c r="BU271">
        <v>1.0965076815007779</v>
      </c>
      <c r="BV271">
        <v>1.0974155143827069</v>
      </c>
      <c r="BW271">
        <v>1.097864394651511</v>
      </c>
      <c r="BX271">
        <v>1.097757257274387</v>
      </c>
      <c r="BY271">
        <v>1.0970062174133011</v>
      </c>
      <c r="BZ271">
        <v>1.0955966449138259</v>
      </c>
      <c r="CA271">
        <v>1.0934950045036891</v>
      </c>
      <c r="CB271">
        <v>1.0906101153232031</v>
      </c>
      <c r="CC271">
        <v>1.0881393946107469</v>
      </c>
      <c r="CD271">
        <v>1.0860940292496899</v>
      </c>
      <c r="CE271">
        <v>1.084531761880452</v>
      </c>
      <c r="CF271">
        <v>1.0835206468021401</v>
      </c>
      <c r="CG271">
        <v>1.082977959811694</v>
      </c>
      <c r="CH271">
        <v>1.082893366240276</v>
      </c>
      <c r="CI271">
        <v>1.0833934550098689</v>
      </c>
      <c r="CJ271">
        <v>1.0844579370067511</v>
      </c>
      <c r="CK271">
        <v>1.0861264348619579</v>
      </c>
      <c r="CL271">
        <v>1.088409365689929</v>
      </c>
      <c r="CM271">
        <v>1.0912948717172011</v>
      </c>
      <c r="CN271">
        <v>1.0948293083269089</v>
      </c>
      <c r="CO271">
        <v>1.0990390685590701</v>
      </c>
      <c r="CP271">
        <v>1.103872647498195</v>
      </c>
    </row>
    <row r="272" spans="4:94" x14ac:dyDescent="0.2">
      <c r="D272" t="s">
        <v>0</v>
      </c>
      <c r="E272" t="s">
        <v>1</v>
      </c>
      <c r="F272" t="s">
        <v>14</v>
      </c>
      <c r="G272" t="s">
        <v>18</v>
      </c>
      <c r="K272" t="s">
        <v>16</v>
      </c>
      <c r="M272" t="s">
        <v>6</v>
      </c>
      <c r="N272">
        <v>1</v>
      </c>
      <c r="O272">
        <v>1</v>
      </c>
      <c r="P272">
        <v>0</v>
      </c>
      <c r="Q272" t="s">
        <v>220</v>
      </c>
      <c r="S272">
        <v>0</v>
      </c>
      <c r="T272">
        <v>0</v>
      </c>
      <c r="U272">
        <v>0</v>
      </c>
      <c r="V272">
        <v>0</v>
      </c>
      <c r="W272">
        <v>0</v>
      </c>
      <c r="X272">
        <v>0</v>
      </c>
      <c r="Y272">
        <v>0</v>
      </c>
      <c r="Z272">
        <v>0</v>
      </c>
      <c r="AA272">
        <v>0</v>
      </c>
      <c r="AB272">
        <v>0</v>
      </c>
      <c r="AC272">
        <v>0</v>
      </c>
      <c r="AD272">
        <v>0</v>
      </c>
      <c r="AE272">
        <v>0</v>
      </c>
      <c r="AF272">
        <v>0</v>
      </c>
      <c r="AG272">
        <v>0</v>
      </c>
      <c r="AH272">
        <v>0</v>
      </c>
      <c r="AI272">
        <v>0</v>
      </c>
      <c r="AJ272">
        <v>0</v>
      </c>
      <c r="AK272">
        <v>0</v>
      </c>
      <c r="AL272">
        <v>0</v>
      </c>
      <c r="AM272">
        <v>0</v>
      </c>
      <c r="AN272">
        <v>0</v>
      </c>
      <c r="AO272">
        <v>0</v>
      </c>
      <c r="AP272">
        <v>0</v>
      </c>
      <c r="AQ272">
        <v>0</v>
      </c>
      <c r="AR272">
        <v>0</v>
      </c>
      <c r="AS272">
        <v>0</v>
      </c>
      <c r="AT272">
        <v>0</v>
      </c>
      <c r="AU272">
        <v>0</v>
      </c>
      <c r="AV272">
        <v>0</v>
      </c>
      <c r="AW272">
        <v>0</v>
      </c>
      <c r="AX272">
        <v>0</v>
      </c>
      <c r="AY272">
        <v>0</v>
      </c>
      <c r="AZ272">
        <v>0</v>
      </c>
      <c r="BA272">
        <v>0</v>
      </c>
      <c r="BB272">
        <v>0</v>
      </c>
      <c r="BC272">
        <v>0</v>
      </c>
      <c r="BD272">
        <v>0</v>
      </c>
      <c r="BE272">
        <v>0</v>
      </c>
      <c r="BF272">
        <v>0</v>
      </c>
      <c r="BG272">
        <v>0</v>
      </c>
      <c r="BH272">
        <v>0</v>
      </c>
      <c r="BI272">
        <v>0</v>
      </c>
      <c r="BJ272">
        <v>0</v>
      </c>
      <c r="BK272">
        <v>0</v>
      </c>
      <c r="BL272">
        <v>0</v>
      </c>
      <c r="BM272">
        <v>0</v>
      </c>
      <c r="BN272">
        <v>0</v>
      </c>
      <c r="BO272">
        <v>0</v>
      </c>
      <c r="BP272">
        <v>0</v>
      </c>
      <c r="BQ272">
        <v>0</v>
      </c>
      <c r="BR272">
        <v>0</v>
      </c>
      <c r="BS272">
        <v>0</v>
      </c>
      <c r="BT272">
        <v>0</v>
      </c>
      <c r="BU272">
        <v>0</v>
      </c>
      <c r="BV272">
        <v>0</v>
      </c>
      <c r="BW272">
        <v>0</v>
      </c>
      <c r="BX272">
        <v>0</v>
      </c>
      <c r="BY272">
        <v>0</v>
      </c>
      <c r="BZ272">
        <v>0</v>
      </c>
      <c r="CA272">
        <v>0</v>
      </c>
      <c r="CB272">
        <v>0</v>
      </c>
      <c r="CC272">
        <v>0</v>
      </c>
      <c r="CD272">
        <v>0</v>
      </c>
      <c r="CE272">
        <v>0</v>
      </c>
      <c r="CF272">
        <v>0</v>
      </c>
      <c r="CG272">
        <v>0</v>
      </c>
      <c r="CH272">
        <v>0</v>
      </c>
      <c r="CI272">
        <v>0</v>
      </c>
      <c r="CJ272">
        <v>0</v>
      </c>
      <c r="CK272">
        <v>0</v>
      </c>
      <c r="CL272">
        <v>0</v>
      </c>
      <c r="CM272">
        <v>0</v>
      </c>
      <c r="CN272">
        <v>0</v>
      </c>
      <c r="CO272">
        <v>0</v>
      </c>
      <c r="CP272">
        <v>0</v>
      </c>
    </row>
    <row r="273" spans="4:94" x14ac:dyDescent="0.2">
      <c r="D273" t="s">
        <v>0</v>
      </c>
      <c r="E273" t="s">
        <v>1</v>
      </c>
      <c r="F273" t="s">
        <v>14</v>
      </c>
      <c r="G273" t="s">
        <v>18</v>
      </c>
      <c r="K273" t="s">
        <v>16</v>
      </c>
      <c r="M273" t="s">
        <v>7</v>
      </c>
      <c r="N273">
        <v>1</v>
      </c>
      <c r="O273">
        <v>1</v>
      </c>
      <c r="P273">
        <v>0</v>
      </c>
      <c r="Q273" t="s">
        <v>221</v>
      </c>
      <c r="S273">
        <v>0</v>
      </c>
      <c r="T273">
        <v>0</v>
      </c>
      <c r="U273">
        <v>0</v>
      </c>
      <c r="V273">
        <v>0</v>
      </c>
      <c r="W273">
        <v>0</v>
      </c>
      <c r="X273">
        <v>0</v>
      </c>
      <c r="Y273">
        <v>0</v>
      </c>
      <c r="Z273">
        <v>0</v>
      </c>
      <c r="AA273">
        <v>0</v>
      </c>
      <c r="AB273">
        <v>0</v>
      </c>
      <c r="AC273">
        <v>0</v>
      </c>
      <c r="AD273">
        <v>0</v>
      </c>
      <c r="AE273">
        <v>0</v>
      </c>
      <c r="AF273">
        <v>0</v>
      </c>
      <c r="AG273">
        <v>0</v>
      </c>
      <c r="AH273">
        <v>0</v>
      </c>
      <c r="AI273">
        <v>0</v>
      </c>
      <c r="AJ273">
        <v>0</v>
      </c>
      <c r="AK273">
        <v>0</v>
      </c>
      <c r="AL273">
        <v>0</v>
      </c>
      <c r="AM273">
        <v>0</v>
      </c>
      <c r="AN273">
        <v>0</v>
      </c>
      <c r="AO273">
        <v>0</v>
      </c>
      <c r="AP273">
        <v>0</v>
      </c>
      <c r="AQ273">
        <v>0</v>
      </c>
      <c r="AR273">
        <v>0</v>
      </c>
      <c r="AS273">
        <v>0</v>
      </c>
      <c r="AT273">
        <v>0</v>
      </c>
      <c r="AU273">
        <v>0</v>
      </c>
      <c r="AV273">
        <v>0</v>
      </c>
      <c r="AW273">
        <v>0</v>
      </c>
      <c r="AX273">
        <v>0</v>
      </c>
      <c r="AY273">
        <v>0</v>
      </c>
      <c r="AZ273">
        <v>0</v>
      </c>
      <c r="BA273">
        <v>0</v>
      </c>
      <c r="BB273">
        <v>0</v>
      </c>
      <c r="BC273">
        <v>0</v>
      </c>
      <c r="BD273">
        <v>0</v>
      </c>
      <c r="BE273">
        <v>0</v>
      </c>
      <c r="BF273">
        <v>0</v>
      </c>
      <c r="BG273">
        <v>0</v>
      </c>
      <c r="BH273">
        <v>0</v>
      </c>
      <c r="BI273">
        <v>0</v>
      </c>
      <c r="BJ273">
        <v>0</v>
      </c>
      <c r="BK273">
        <v>0</v>
      </c>
      <c r="BL273">
        <v>0</v>
      </c>
      <c r="BM273">
        <v>0</v>
      </c>
      <c r="BN273">
        <v>0</v>
      </c>
      <c r="BO273">
        <v>0</v>
      </c>
      <c r="BP273">
        <v>0</v>
      </c>
      <c r="BQ273">
        <v>0</v>
      </c>
      <c r="BR273">
        <v>0</v>
      </c>
      <c r="BS273">
        <v>0</v>
      </c>
      <c r="BT273">
        <v>0</v>
      </c>
      <c r="BU273">
        <v>0</v>
      </c>
      <c r="BV273">
        <v>0</v>
      </c>
      <c r="BW273">
        <v>0</v>
      </c>
      <c r="BX273">
        <v>0</v>
      </c>
      <c r="BY273">
        <v>0</v>
      </c>
      <c r="BZ273">
        <v>0</v>
      </c>
      <c r="CA273">
        <v>0</v>
      </c>
      <c r="CB273">
        <v>0</v>
      </c>
      <c r="CC273">
        <v>0</v>
      </c>
      <c r="CD273">
        <v>0</v>
      </c>
      <c r="CE273">
        <v>0</v>
      </c>
      <c r="CF273">
        <v>0</v>
      </c>
      <c r="CG273">
        <v>0</v>
      </c>
      <c r="CH273">
        <v>0</v>
      </c>
      <c r="CI273">
        <v>0</v>
      </c>
      <c r="CJ273">
        <v>0</v>
      </c>
      <c r="CK273">
        <v>0</v>
      </c>
      <c r="CL273">
        <v>0</v>
      </c>
      <c r="CM273">
        <v>0</v>
      </c>
      <c r="CN273">
        <v>0</v>
      </c>
      <c r="CO273">
        <v>0</v>
      </c>
      <c r="CP273">
        <v>0</v>
      </c>
    </row>
    <row r="274" spans="4:94" x14ac:dyDescent="0.2">
      <c r="D274" t="s">
        <v>0</v>
      </c>
      <c r="E274" t="s">
        <v>1</v>
      </c>
      <c r="F274" t="s">
        <v>14</v>
      </c>
      <c r="G274" t="s">
        <v>18</v>
      </c>
      <c r="K274" t="s">
        <v>16</v>
      </c>
      <c r="M274" t="s">
        <v>8</v>
      </c>
      <c r="N274">
        <v>1</v>
      </c>
      <c r="O274">
        <v>1</v>
      </c>
      <c r="P274">
        <v>0</v>
      </c>
      <c r="Q274" t="s">
        <v>222</v>
      </c>
      <c r="S274">
        <v>0</v>
      </c>
      <c r="T274">
        <v>0</v>
      </c>
      <c r="U274">
        <v>0</v>
      </c>
      <c r="V274">
        <v>0</v>
      </c>
      <c r="W274">
        <v>0</v>
      </c>
      <c r="X274">
        <v>0</v>
      </c>
      <c r="Y274">
        <v>0</v>
      </c>
      <c r="Z274">
        <v>0</v>
      </c>
      <c r="AA274">
        <v>0</v>
      </c>
      <c r="AB274">
        <v>0</v>
      </c>
      <c r="AC274">
        <v>0</v>
      </c>
      <c r="AD274">
        <v>0</v>
      </c>
      <c r="AE274">
        <v>0</v>
      </c>
      <c r="AF274">
        <v>0</v>
      </c>
      <c r="AG274">
        <v>0</v>
      </c>
      <c r="AH274">
        <v>0</v>
      </c>
      <c r="AI274">
        <v>0</v>
      </c>
      <c r="AJ274">
        <v>0</v>
      </c>
      <c r="AK274">
        <v>0</v>
      </c>
      <c r="AL274">
        <v>0</v>
      </c>
      <c r="AM274">
        <v>0</v>
      </c>
      <c r="AN274">
        <v>0</v>
      </c>
      <c r="AO274">
        <v>0</v>
      </c>
      <c r="AP274">
        <v>0</v>
      </c>
      <c r="AQ274">
        <v>0</v>
      </c>
      <c r="AR274">
        <v>0</v>
      </c>
      <c r="AS274">
        <v>0</v>
      </c>
      <c r="AT274">
        <v>0</v>
      </c>
      <c r="AU274">
        <v>0</v>
      </c>
      <c r="AV274">
        <v>0</v>
      </c>
      <c r="AW274">
        <v>0</v>
      </c>
      <c r="AX274">
        <v>0</v>
      </c>
      <c r="AY274">
        <v>0</v>
      </c>
      <c r="AZ274">
        <v>0</v>
      </c>
      <c r="BA274">
        <v>0</v>
      </c>
      <c r="BB274">
        <v>0</v>
      </c>
      <c r="BC274">
        <v>0</v>
      </c>
      <c r="BD274">
        <v>0</v>
      </c>
      <c r="BE274">
        <v>0</v>
      </c>
      <c r="BF274">
        <v>0</v>
      </c>
      <c r="BG274">
        <v>0</v>
      </c>
      <c r="BH274">
        <v>0</v>
      </c>
      <c r="BI274">
        <v>0</v>
      </c>
      <c r="BJ274">
        <v>0</v>
      </c>
      <c r="BK274">
        <v>0</v>
      </c>
      <c r="BL274">
        <v>0</v>
      </c>
      <c r="BM274">
        <v>0</v>
      </c>
      <c r="BN274">
        <v>0</v>
      </c>
      <c r="BO274">
        <v>0</v>
      </c>
      <c r="BP274">
        <v>0</v>
      </c>
      <c r="BQ274">
        <v>0</v>
      </c>
      <c r="BR274">
        <v>0</v>
      </c>
      <c r="BS274">
        <v>0</v>
      </c>
      <c r="BT274">
        <v>0</v>
      </c>
      <c r="BU274">
        <v>0</v>
      </c>
      <c r="BV274">
        <v>0</v>
      </c>
      <c r="BW274">
        <v>0</v>
      </c>
      <c r="BX274">
        <v>0</v>
      </c>
      <c r="BY274">
        <v>0</v>
      </c>
      <c r="BZ274">
        <v>0</v>
      </c>
      <c r="CA274">
        <v>0</v>
      </c>
      <c r="CB274">
        <v>0</v>
      </c>
      <c r="CC274">
        <v>0</v>
      </c>
      <c r="CD274">
        <v>0</v>
      </c>
      <c r="CE274">
        <v>0</v>
      </c>
      <c r="CF274">
        <v>0</v>
      </c>
      <c r="CG274">
        <v>0</v>
      </c>
      <c r="CH274">
        <v>0</v>
      </c>
      <c r="CI274">
        <v>0</v>
      </c>
      <c r="CJ274">
        <v>0</v>
      </c>
      <c r="CK274">
        <v>0</v>
      </c>
      <c r="CL274">
        <v>0</v>
      </c>
      <c r="CM274">
        <v>0</v>
      </c>
      <c r="CN274">
        <v>0</v>
      </c>
      <c r="CO274">
        <v>0</v>
      </c>
      <c r="CP274">
        <v>0</v>
      </c>
    </row>
    <row r="275" spans="4:94" x14ac:dyDescent="0.2">
      <c r="D275" t="s">
        <v>0</v>
      </c>
      <c r="E275" t="s">
        <v>1</v>
      </c>
      <c r="F275" t="s">
        <v>14</v>
      </c>
      <c r="G275" t="s">
        <v>19</v>
      </c>
      <c r="K275" t="s">
        <v>16</v>
      </c>
      <c r="M275" t="s">
        <v>6</v>
      </c>
      <c r="N275">
        <v>1</v>
      </c>
      <c r="O275">
        <v>1</v>
      </c>
      <c r="P275">
        <v>0</v>
      </c>
      <c r="Q275" t="s">
        <v>223</v>
      </c>
      <c r="S275">
        <v>11.6343</v>
      </c>
      <c r="T275">
        <v>11.6343</v>
      </c>
      <c r="U275">
        <v>12.945600000000001</v>
      </c>
      <c r="V275">
        <v>13.587300000000001</v>
      </c>
      <c r="W275">
        <v>13.0014</v>
      </c>
      <c r="X275">
        <v>13.6152</v>
      </c>
      <c r="Y275">
        <v>36.660600000000002</v>
      </c>
      <c r="Z275">
        <v>22.375800000000002</v>
      </c>
      <c r="AA275">
        <v>24.663599999999999</v>
      </c>
      <c r="AB275">
        <v>26.9514</v>
      </c>
      <c r="AC275">
        <v>28.932300000000001</v>
      </c>
      <c r="AD275">
        <v>29.267099999999999</v>
      </c>
      <c r="AE275">
        <v>32.921999999999997</v>
      </c>
      <c r="AF275">
        <v>43.747199999999999</v>
      </c>
      <c r="AG275">
        <v>38.083500000000001</v>
      </c>
      <c r="AH275">
        <v>39.534300000000002</v>
      </c>
      <c r="AI275">
        <v>39.394799999999996</v>
      </c>
      <c r="AJ275">
        <v>39.645899999999997</v>
      </c>
      <c r="AK275">
        <v>78.566399999999987</v>
      </c>
      <c r="AL275">
        <v>80.826299999999989</v>
      </c>
      <c r="AM275">
        <v>87.159599999999998</v>
      </c>
      <c r="AN275">
        <v>81.551699999999997</v>
      </c>
      <c r="AO275">
        <v>57.473999999999997</v>
      </c>
      <c r="AP275">
        <v>62.942399999999992</v>
      </c>
      <c r="AQ275">
        <v>1587.0356999999999</v>
      </c>
      <c r="AR275">
        <v>358.6912080860281</v>
      </c>
      <c r="AS275">
        <v>358.70863386776631</v>
      </c>
      <c r="AT275">
        <v>360.37419764983082</v>
      </c>
      <c r="AU275">
        <v>362.44248785419131</v>
      </c>
      <c r="AV275">
        <v>384.34634666139868</v>
      </c>
      <c r="AW275">
        <v>409.48925600405738</v>
      </c>
      <c r="AX275">
        <v>439.33552776703237</v>
      </c>
      <c r="AY275">
        <v>474.90779096608071</v>
      </c>
      <c r="AZ275">
        <v>514.84838372129423</v>
      </c>
      <c r="BA275">
        <v>557.46106774011162</v>
      </c>
      <c r="BB275">
        <v>597.12140902916076</v>
      </c>
      <c r="BC275">
        <v>621.36164523424964</v>
      </c>
      <c r="BD275">
        <v>635.37808347011605</v>
      </c>
      <c r="BE275">
        <v>635.18200112394402</v>
      </c>
      <c r="BF275">
        <v>617.84812721873061</v>
      </c>
      <c r="BG275">
        <v>583.12027808755147</v>
      </c>
      <c r="BH275">
        <v>534.41741640379416</v>
      </c>
      <c r="BI275">
        <v>478.2948297542037</v>
      </c>
      <c r="BJ275">
        <v>422.3298014841647</v>
      </c>
      <c r="BK275">
        <v>372.75161428278068</v>
      </c>
      <c r="BL275">
        <v>331.55180349421778</v>
      </c>
      <c r="BM275">
        <v>300.25002570875478</v>
      </c>
      <c r="BN275">
        <v>278.3884861970987</v>
      </c>
      <c r="BO275">
        <v>264.48071381331209</v>
      </c>
      <c r="BP275">
        <v>256.72306085703741</v>
      </c>
      <c r="BQ275">
        <v>253.39135644327541</v>
      </c>
      <c r="BR275">
        <v>263.27009184090491</v>
      </c>
      <c r="BS275">
        <v>273.03406036569351</v>
      </c>
      <c r="BT275">
        <v>282.64167873189717</v>
      </c>
      <c r="BU275">
        <v>292.0506379439766</v>
      </c>
      <c r="BV275">
        <v>301.21818449209468</v>
      </c>
      <c r="BW275">
        <v>310.10143210681571</v>
      </c>
      <c r="BX275">
        <v>318.65768785211088</v>
      </c>
      <c r="BY275">
        <v>326.84478286027388</v>
      </c>
      <c r="BZ275">
        <v>334.62141489281032</v>
      </c>
      <c r="CA275">
        <v>341.94747935853582</v>
      </c>
      <c r="CB275">
        <v>348.78440371712219</v>
      </c>
      <c r="CC275">
        <v>355.75812472457488</v>
      </c>
      <c r="CD275">
        <v>362.87137879314997</v>
      </c>
      <c r="CE275">
        <v>370.12696122227482</v>
      </c>
      <c r="CF275">
        <v>377.52772405757253</v>
      </c>
      <c r="CG275">
        <v>385.07656282433862</v>
      </c>
      <c r="CH275">
        <v>392.77643759374598</v>
      </c>
      <c r="CI275">
        <v>400.63037990749831</v>
      </c>
      <c r="CJ275">
        <v>408.6414686229578</v>
      </c>
      <c r="CK275">
        <v>416.81284958685973</v>
      </c>
      <c r="CL275">
        <v>425.14772891176398</v>
      </c>
      <c r="CM275">
        <v>433.64937485336338</v>
      </c>
      <c r="CN275">
        <v>442.32112628092722</v>
      </c>
      <c r="CO275">
        <v>451.16638700646013</v>
      </c>
      <c r="CP275">
        <v>460.1886219473252</v>
      </c>
    </row>
    <row r="276" spans="4:94" x14ac:dyDescent="0.2">
      <c r="D276" t="s">
        <v>0</v>
      </c>
      <c r="E276" t="s">
        <v>1</v>
      </c>
      <c r="F276" t="s">
        <v>14</v>
      </c>
      <c r="G276" t="s">
        <v>19</v>
      </c>
      <c r="K276" t="s">
        <v>16</v>
      </c>
      <c r="M276" t="s">
        <v>7</v>
      </c>
      <c r="N276">
        <v>1</v>
      </c>
      <c r="O276">
        <v>1</v>
      </c>
      <c r="P276">
        <v>0</v>
      </c>
      <c r="Q276" t="s">
        <v>224</v>
      </c>
      <c r="S276">
        <v>151.40600000000001</v>
      </c>
      <c r="T276">
        <v>151.40600000000001</v>
      </c>
      <c r="U276">
        <v>185.87299999999999</v>
      </c>
      <c r="V276">
        <v>216.286</v>
      </c>
      <c r="W276">
        <v>170.49199999999999</v>
      </c>
      <c r="X276">
        <v>150.95400000000001</v>
      </c>
      <c r="Y276">
        <v>148.203</v>
      </c>
      <c r="Z276">
        <v>144.13200000000001</v>
      </c>
      <c r="AA276">
        <v>185.02199999999999</v>
      </c>
      <c r="AB276">
        <v>224.358</v>
      </c>
      <c r="AC276">
        <v>209.20699999999999</v>
      </c>
      <c r="AD276">
        <v>232.65700000000001</v>
      </c>
      <c r="AE276">
        <v>198.518</v>
      </c>
      <c r="AF276">
        <v>186.86799999999999</v>
      </c>
      <c r="AG276">
        <v>814.41499999999996</v>
      </c>
      <c r="AH276">
        <v>378.85899999999998</v>
      </c>
      <c r="AI276">
        <v>244.435</v>
      </c>
      <c r="AJ276">
        <v>485.38099999999997</v>
      </c>
      <c r="AK276">
        <v>578.72900000000004</v>
      </c>
      <c r="AL276">
        <v>661.58799999999997</v>
      </c>
      <c r="AM276">
        <v>1022.672</v>
      </c>
      <c r="AN276">
        <v>941.85400000000004</v>
      </c>
      <c r="AO276">
        <v>928.00800000000004</v>
      </c>
      <c r="AP276">
        <v>927.82799999999997</v>
      </c>
      <c r="AQ276">
        <v>1005.206</v>
      </c>
      <c r="AR276">
        <v>54.1890859522222</v>
      </c>
      <c r="AS276">
        <v>84.45296231691681</v>
      </c>
      <c r="AT276">
        <v>121.4740590087585</v>
      </c>
      <c r="AU276">
        <v>165.4984657241655</v>
      </c>
      <c r="AV276">
        <v>175.49642702893379</v>
      </c>
      <c r="AW276">
        <v>186.9728075927965</v>
      </c>
      <c r="AX276">
        <v>200.595985874896</v>
      </c>
      <c r="AY276">
        <v>232.57133102969871</v>
      </c>
      <c r="AZ276">
        <v>278.02566142554753</v>
      </c>
      <c r="BA276">
        <v>343.54457172924691</v>
      </c>
      <c r="BB276">
        <v>436.85978294065148</v>
      </c>
      <c r="BC276">
        <v>562.65980249022005</v>
      </c>
      <c r="BD276">
        <v>741.08333256099888</v>
      </c>
      <c r="BE276">
        <v>987.38622793789398</v>
      </c>
      <c r="BF276">
        <v>1313.103622195146</v>
      </c>
      <c r="BG276">
        <v>1720.418821896023</v>
      </c>
      <c r="BH276">
        <v>2198.473140717349</v>
      </c>
      <c r="BI276">
        <v>2725.3488516747402</v>
      </c>
      <c r="BJ276">
        <v>3275.5931593249602</v>
      </c>
      <c r="BK276">
        <v>3828.6449920638051</v>
      </c>
      <c r="BL276">
        <v>4352.1289542752584</v>
      </c>
      <c r="BM276">
        <v>4836.3529705033779</v>
      </c>
      <c r="BN276">
        <v>5278.5276380098376</v>
      </c>
      <c r="BO276">
        <v>5679.1453998234574</v>
      </c>
      <c r="BP276">
        <v>6039.7384884619323</v>
      </c>
      <c r="BQ276">
        <v>6361.5829468322218</v>
      </c>
      <c r="BR276">
        <v>6608.7669730304406</v>
      </c>
      <c r="BS276">
        <v>6853.080208270957</v>
      </c>
      <c r="BT276">
        <v>7093.4811834307766</v>
      </c>
      <c r="BU276">
        <v>7328.911371778433</v>
      </c>
      <c r="BV276">
        <v>7558.2994335702679</v>
      </c>
      <c r="BW276">
        <v>7780.5697464703226</v>
      </c>
      <c r="BX276">
        <v>7994.6516862231892</v>
      </c>
      <c r="BY276">
        <v>8199.4878857633539</v>
      </c>
      <c r="BZ276">
        <v>8394.0441500265733</v>
      </c>
      <c r="CA276">
        <v>8577.3158025049215</v>
      </c>
      <c r="CB276">
        <v>8748.3352388894364</v>
      </c>
      <c r="CC276">
        <v>8922.7901952389184</v>
      </c>
      <c r="CD276">
        <v>9100.7495066406682</v>
      </c>
      <c r="CE276">
        <v>9282.2844668631315</v>
      </c>
      <c r="CF276">
        <v>9467.4680141350909</v>
      </c>
      <c r="CG276">
        <v>9656.3710173848776</v>
      </c>
      <c r="CH276">
        <v>9849.0674891648159</v>
      </c>
      <c r="CI276">
        <v>10045.63611418479</v>
      </c>
      <c r="CJ276">
        <v>10246.15368680036</v>
      </c>
      <c r="CK276">
        <v>10450.69994528582</v>
      </c>
      <c r="CL276">
        <v>10659.355532975251</v>
      </c>
      <c r="CM276">
        <v>10872.20219118493</v>
      </c>
      <c r="CN276">
        <v>11089.324661487621</v>
      </c>
      <c r="CO276">
        <v>11310.808902988651</v>
      </c>
      <c r="CP276">
        <v>11536.740780444001</v>
      </c>
    </row>
    <row r="277" spans="4:94" x14ac:dyDescent="0.2">
      <c r="D277" t="s">
        <v>0</v>
      </c>
      <c r="E277" t="s">
        <v>1</v>
      </c>
      <c r="F277" t="s">
        <v>14</v>
      </c>
      <c r="G277" t="s">
        <v>19</v>
      </c>
      <c r="K277" t="s">
        <v>16</v>
      </c>
      <c r="M277" t="s">
        <v>8</v>
      </c>
      <c r="N277">
        <v>1</v>
      </c>
      <c r="O277">
        <v>1</v>
      </c>
      <c r="P277">
        <v>0</v>
      </c>
      <c r="Q277" t="s">
        <v>225</v>
      </c>
      <c r="S277">
        <v>15.288</v>
      </c>
      <c r="T277">
        <v>15.288</v>
      </c>
      <c r="U277">
        <v>16.925999999999998</v>
      </c>
      <c r="V277">
        <v>18.018000000000001</v>
      </c>
      <c r="W277">
        <v>17.199000000000002</v>
      </c>
      <c r="X277">
        <v>18.018000000000001</v>
      </c>
      <c r="Y277">
        <v>48.047999999999988</v>
      </c>
      <c r="Z277">
        <v>29.210999999999999</v>
      </c>
      <c r="AA277">
        <v>32.213999999999999</v>
      </c>
      <c r="AB277">
        <v>35.216999999999999</v>
      </c>
      <c r="AC277">
        <v>37.947000000000003</v>
      </c>
      <c r="AD277">
        <v>38.220000000000013</v>
      </c>
      <c r="AE277">
        <v>43.134</v>
      </c>
      <c r="AF277">
        <v>57.33</v>
      </c>
      <c r="AG277">
        <v>50.231999999999999</v>
      </c>
      <c r="AH277">
        <v>51.87</v>
      </c>
      <c r="AI277">
        <v>51.597000000000001</v>
      </c>
      <c r="AJ277">
        <v>52.143000000000001</v>
      </c>
      <c r="AK277">
        <v>102.92100000000001</v>
      </c>
      <c r="AL277">
        <v>105.92400000000001</v>
      </c>
      <c r="AM277">
        <v>114.387</v>
      </c>
      <c r="AN277">
        <v>107.01600000000001</v>
      </c>
      <c r="AO277">
        <v>75.621000000000009</v>
      </c>
      <c r="AP277">
        <v>82.718999999999994</v>
      </c>
      <c r="AQ277">
        <v>382.2</v>
      </c>
      <c r="AR277">
        <v>58.586932304393287</v>
      </c>
      <c r="AS277">
        <v>58.693723221826097</v>
      </c>
      <c r="AT277">
        <v>59.092101571886097</v>
      </c>
      <c r="AU277">
        <v>59.580050948545598</v>
      </c>
      <c r="AV277">
        <v>63.180561732404691</v>
      </c>
      <c r="AW277">
        <v>67.3134994174886</v>
      </c>
      <c r="AX277">
        <v>72.219564426666295</v>
      </c>
      <c r="AY277">
        <v>78.148798275361798</v>
      </c>
      <c r="AZ277">
        <v>84.855855184033302</v>
      </c>
      <c r="BA277">
        <v>92.100218730339691</v>
      </c>
      <c r="BB277">
        <v>99.010922686076313</v>
      </c>
      <c r="BC277">
        <v>103.5925732747157</v>
      </c>
      <c r="BD277">
        <v>106.7917693791286</v>
      </c>
      <c r="BE277">
        <v>108.0416931136171</v>
      </c>
      <c r="BF277">
        <v>106.9284414912665</v>
      </c>
      <c r="BG277">
        <v>103.4218443860578</v>
      </c>
      <c r="BH277">
        <v>98.019252489493596</v>
      </c>
      <c r="BI277">
        <v>91.668571385391104</v>
      </c>
      <c r="BJ277">
        <v>85.464888832529994</v>
      </c>
      <c r="BK277">
        <v>80.310376214418213</v>
      </c>
      <c r="BL277">
        <v>76.359252861028409</v>
      </c>
      <c r="BM277">
        <v>73.807297064161403</v>
      </c>
      <c r="BN277">
        <v>72.5659051814294</v>
      </c>
      <c r="BO277">
        <v>72.396831261359907</v>
      </c>
      <c r="BP277">
        <v>73.015855567730696</v>
      </c>
      <c r="BQ277">
        <v>74.150304535094904</v>
      </c>
      <c r="BR277">
        <v>77.036463884497095</v>
      </c>
      <c r="BS277">
        <v>79.889098074560891</v>
      </c>
      <c r="BT277">
        <v>82.696052667151292</v>
      </c>
      <c r="BU277">
        <v>85.444967403020911</v>
      </c>
      <c r="BV277">
        <v>88.123342632507615</v>
      </c>
      <c r="BW277">
        <v>90.7186345077927</v>
      </c>
      <c r="BX277">
        <v>93.2183565692863</v>
      </c>
      <c r="BY277">
        <v>95.610176279896194</v>
      </c>
      <c r="BZ277">
        <v>97.882022673554005</v>
      </c>
      <c r="CA277">
        <v>100.0221721596306</v>
      </c>
      <c r="CB277">
        <v>102.0193416383589</v>
      </c>
      <c r="CC277">
        <v>104.056548530282</v>
      </c>
      <c r="CD277">
        <v>106.1345943584584</v>
      </c>
      <c r="CE277">
        <v>108.2543033996933</v>
      </c>
      <c r="CF277">
        <v>110.41651777458929</v>
      </c>
      <c r="CG277">
        <v>112.62207452320359</v>
      </c>
      <c r="CH277">
        <v>114.87183815306901</v>
      </c>
      <c r="CI277">
        <v>117.1667102959771</v>
      </c>
      <c r="CJ277">
        <v>119.5075890911917</v>
      </c>
      <c r="CK277">
        <v>121.89539939009229</v>
      </c>
      <c r="CL277">
        <v>124.3310802553414</v>
      </c>
      <c r="CM277">
        <v>126.81558633142809</v>
      </c>
      <c r="CN277">
        <v>129.3498998403447</v>
      </c>
      <c r="CO277">
        <v>131.93501968264391</v>
      </c>
      <c r="CP277">
        <v>134.5719534678332</v>
      </c>
    </row>
    <row r="278" spans="4:94" x14ac:dyDescent="0.2">
      <c r="D278" t="s">
        <v>0</v>
      </c>
      <c r="E278" t="s">
        <v>1</v>
      </c>
      <c r="F278" t="s">
        <v>14</v>
      </c>
      <c r="G278" t="s">
        <v>20</v>
      </c>
      <c r="K278" t="s">
        <v>16</v>
      </c>
      <c r="M278" t="s">
        <v>6</v>
      </c>
      <c r="N278">
        <v>1</v>
      </c>
      <c r="O278">
        <v>1</v>
      </c>
      <c r="P278">
        <v>0</v>
      </c>
      <c r="Q278" t="s">
        <v>226</v>
      </c>
      <c r="S278">
        <v>0</v>
      </c>
      <c r="T278">
        <v>0</v>
      </c>
      <c r="U278">
        <v>0</v>
      </c>
      <c r="V278">
        <v>0</v>
      </c>
      <c r="W278">
        <v>0</v>
      </c>
      <c r="X278">
        <v>0</v>
      </c>
      <c r="Y278">
        <v>0</v>
      </c>
      <c r="Z278">
        <v>0</v>
      </c>
      <c r="AA278">
        <v>0</v>
      </c>
      <c r="AB278">
        <v>0</v>
      </c>
      <c r="AC278">
        <v>0</v>
      </c>
      <c r="AD278">
        <v>0</v>
      </c>
      <c r="AE278">
        <v>0</v>
      </c>
      <c r="AF278">
        <v>0</v>
      </c>
      <c r="AG278">
        <v>0</v>
      </c>
      <c r="AH278">
        <v>0</v>
      </c>
      <c r="AI278">
        <v>0</v>
      </c>
      <c r="AJ278">
        <v>0</v>
      </c>
      <c r="AK278">
        <v>0</v>
      </c>
      <c r="AL278">
        <v>0</v>
      </c>
      <c r="AM278">
        <v>0</v>
      </c>
      <c r="AN278">
        <v>0</v>
      </c>
      <c r="AO278">
        <v>0</v>
      </c>
      <c r="AP278">
        <v>0</v>
      </c>
      <c r="AQ278">
        <v>0</v>
      </c>
      <c r="AR278">
        <v>16.981374124233898</v>
      </c>
      <c r="AS278">
        <v>15.7999864503929</v>
      </c>
      <c r="AT278">
        <v>15.367745889061901</v>
      </c>
      <c r="AU278">
        <v>14.816693735411899</v>
      </c>
      <c r="AV278">
        <v>14.9698525144532</v>
      </c>
      <c r="AW278">
        <v>15.1245944814863</v>
      </c>
      <c r="AX278">
        <v>15.280936001777301</v>
      </c>
      <c r="AY278">
        <v>15.4173516378281</v>
      </c>
      <c r="AZ278">
        <v>15.481830284453601</v>
      </c>
      <c r="BA278">
        <v>15.490781943531299</v>
      </c>
      <c r="BB278">
        <v>15.3084817176779</v>
      </c>
      <c r="BC278">
        <v>14.9476962531671</v>
      </c>
      <c r="BD278">
        <v>14.3513890022281</v>
      </c>
      <c r="BE278">
        <v>13.4430612238436</v>
      </c>
      <c r="BF278">
        <v>12.187959724608</v>
      </c>
      <c r="BG278">
        <v>10.622792688327101</v>
      </c>
      <c r="BH278">
        <v>8.8642814872907998</v>
      </c>
      <c r="BI278">
        <v>7.0799037822070998</v>
      </c>
      <c r="BJ278">
        <v>5.4320005252644998</v>
      </c>
      <c r="BK278">
        <v>4.0297187902899996</v>
      </c>
      <c r="BL278">
        <v>2.9138462629166</v>
      </c>
      <c r="BM278">
        <v>2.0711455600086999</v>
      </c>
      <c r="BN278">
        <v>1.4631370576128999</v>
      </c>
      <c r="BO278">
        <v>1.0355061267287999</v>
      </c>
      <c r="BP278">
        <v>0.73987771147850001</v>
      </c>
      <c r="BQ278">
        <v>0.53820609371569994</v>
      </c>
      <c r="BR278">
        <v>0.54486557617809994</v>
      </c>
      <c r="BS278">
        <v>0.55153372210829998</v>
      </c>
      <c r="BT278">
        <v>0.55818242537329998</v>
      </c>
      <c r="BU278">
        <v>0.56478228490460003</v>
      </c>
      <c r="BV278">
        <v>0.57130261862289999</v>
      </c>
      <c r="BW278">
        <v>0.57771149309430003</v>
      </c>
      <c r="BX278">
        <v>0.58397576998430001</v>
      </c>
      <c r="BY278">
        <v>0.5900611703327</v>
      </c>
      <c r="BZ278">
        <v>0.59593235759320007</v>
      </c>
      <c r="CA278">
        <v>0.60155304027800005</v>
      </c>
      <c r="CB278">
        <v>0.60688609492279999</v>
      </c>
      <c r="CC278">
        <v>0.61241937115870004</v>
      </c>
      <c r="CD278">
        <v>0.61815743293059999</v>
      </c>
      <c r="CE278">
        <v>0.62410503946859996</v>
      </c>
      <c r="CF278">
        <v>0.63026715181760007</v>
      </c>
      <c r="CG278">
        <v>0.63664893967790004</v>
      </c>
      <c r="CH278">
        <v>0.64325578857159993</v>
      </c>
      <c r="CI278">
        <v>0.6500933073477001</v>
      </c>
      <c r="CJ278">
        <v>0.65716733604159994</v>
      </c>
      <c r="CK278">
        <v>0.66448395410250005</v>
      </c>
      <c r="CL278">
        <v>0.67204948900649997</v>
      </c>
      <c r="CM278">
        <v>0.679870525271</v>
      </c>
      <c r="CN278">
        <v>0.68795391388990002</v>
      </c>
      <c r="CO278">
        <v>0.69630678220590003</v>
      </c>
      <c r="CP278">
        <v>0.7049365442419</v>
      </c>
    </row>
    <row r="279" spans="4:94" x14ac:dyDescent="0.2">
      <c r="D279" t="s">
        <v>0</v>
      </c>
      <c r="E279" t="s">
        <v>1</v>
      </c>
      <c r="F279" t="s">
        <v>14</v>
      </c>
      <c r="G279" t="s">
        <v>20</v>
      </c>
      <c r="K279" t="s">
        <v>16</v>
      </c>
      <c r="M279" t="s">
        <v>7</v>
      </c>
      <c r="N279">
        <v>1</v>
      </c>
      <c r="O279">
        <v>1</v>
      </c>
      <c r="P279">
        <v>0</v>
      </c>
      <c r="Q279" t="s">
        <v>227</v>
      </c>
      <c r="S279">
        <v>0</v>
      </c>
      <c r="T279">
        <v>0</v>
      </c>
      <c r="U279">
        <v>0</v>
      </c>
      <c r="V279">
        <v>0</v>
      </c>
      <c r="W279">
        <v>0</v>
      </c>
      <c r="X279">
        <v>0</v>
      </c>
      <c r="Y279">
        <v>0</v>
      </c>
      <c r="Z279">
        <v>0</v>
      </c>
      <c r="AA279">
        <v>0</v>
      </c>
      <c r="AB279">
        <v>0</v>
      </c>
      <c r="AC279">
        <v>0</v>
      </c>
      <c r="AD279">
        <v>0</v>
      </c>
      <c r="AE279">
        <v>0</v>
      </c>
      <c r="AF279">
        <v>0</v>
      </c>
      <c r="AG279">
        <v>0</v>
      </c>
      <c r="AH279">
        <v>0</v>
      </c>
      <c r="AI279">
        <v>0</v>
      </c>
      <c r="AJ279">
        <v>0</v>
      </c>
      <c r="AK279">
        <v>0</v>
      </c>
      <c r="AL279">
        <v>0</v>
      </c>
      <c r="AM279">
        <v>0</v>
      </c>
      <c r="AN279">
        <v>0</v>
      </c>
      <c r="AO279">
        <v>0</v>
      </c>
      <c r="AP279">
        <v>0</v>
      </c>
      <c r="AQ279">
        <v>0</v>
      </c>
      <c r="AR279">
        <v>2.6684396177468002</v>
      </c>
      <c r="AS279">
        <v>3.8681366387296001</v>
      </c>
      <c r="AT279">
        <v>5.3872221683178001</v>
      </c>
      <c r="AU279">
        <v>7.0384316835612006</v>
      </c>
      <c r="AV279">
        <v>7.1111872943790999</v>
      </c>
      <c r="AW279">
        <v>7.1846949731493996</v>
      </c>
      <c r="AX279">
        <v>7.2589624939285002</v>
      </c>
      <c r="AY279">
        <v>8.2294545366341012</v>
      </c>
      <c r="AZ279">
        <v>9.6493432125548999</v>
      </c>
      <c r="BA279">
        <v>11.766587655770399</v>
      </c>
      <c r="BB279">
        <v>14.806570439421201</v>
      </c>
      <c r="BC279">
        <v>19.1839363062169</v>
      </c>
      <c r="BD279">
        <v>25.3274815212575</v>
      </c>
      <c r="BE279">
        <v>33.574010795070002</v>
      </c>
      <c r="BF279">
        <v>44.023124474907902</v>
      </c>
      <c r="BG279">
        <v>56.3640236507743</v>
      </c>
      <c r="BH279">
        <v>69.826382276681201</v>
      </c>
      <c r="BI279">
        <v>83.35148203369711</v>
      </c>
      <c r="BJ279">
        <v>95.918551593556501</v>
      </c>
      <c r="BK279">
        <v>106.82617240389099</v>
      </c>
      <c r="BL279">
        <v>115.783190846925</v>
      </c>
      <c r="BM279">
        <v>122.828498507003</v>
      </c>
      <c r="BN279">
        <v>128.52566006216901</v>
      </c>
      <c r="BO279">
        <v>133.15820610441</v>
      </c>
      <c r="BP279">
        <v>136.924371469199</v>
      </c>
      <c r="BQ279">
        <v>140.01868670090701</v>
      </c>
      <c r="BR279">
        <v>141.75120515321399</v>
      </c>
      <c r="BS279">
        <v>143.48597747700299</v>
      </c>
      <c r="BT279">
        <v>145.215691633522</v>
      </c>
      <c r="BU279">
        <v>146.93269869599101</v>
      </c>
      <c r="BV279">
        <v>148.62901647233099</v>
      </c>
      <c r="BW279">
        <v>150.29633722026199</v>
      </c>
      <c r="BX279">
        <v>151.926039732932</v>
      </c>
      <c r="BY279">
        <v>153.509206060476</v>
      </c>
      <c r="BZ279">
        <v>155.03664311326199</v>
      </c>
      <c r="CA279">
        <v>156.49890936606101</v>
      </c>
      <c r="CB279">
        <v>157.88634684805299</v>
      </c>
      <c r="CC279">
        <v>159.32587360325701</v>
      </c>
      <c r="CD279">
        <v>160.818676978924</v>
      </c>
      <c r="CE279">
        <v>162.365995127476</v>
      </c>
      <c r="CF279">
        <v>163.969118705016</v>
      </c>
      <c r="CG279">
        <v>165.62939265106701</v>
      </c>
      <c r="CH279">
        <v>167.34821805293399</v>
      </c>
      <c r="CI279">
        <v>169.127054098283</v>
      </c>
      <c r="CJ279">
        <v>170.96742011972199</v>
      </c>
      <c r="CK279">
        <v>172.870897735342</v>
      </c>
      <c r="CL279">
        <v>174.83913308942999</v>
      </c>
      <c r="CM279">
        <v>176.873839197731</v>
      </c>
      <c r="CN279">
        <v>178.97679840190099</v>
      </c>
      <c r="CO279">
        <v>181.14986493802999</v>
      </c>
      <c r="CP279">
        <v>183.39496762435101</v>
      </c>
    </row>
    <row r="280" spans="4:94" x14ac:dyDescent="0.2">
      <c r="D280" t="s">
        <v>0</v>
      </c>
      <c r="E280" t="s">
        <v>1</v>
      </c>
      <c r="F280" t="s">
        <v>14</v>
      </c>
      <c r="G280" t="s">
        <v>20</v>
      </c>
      <c r="K280" t="s">
        <v>16</v>
      </c>
      <c r="M280" t="s">
        <v>8</v>
      </c>
      <c r="N280">
        <v>1</v>
      </c>
      <c r="O280">
        <v>1</v>
      </c>
      <c r="P280">
        <v>0</v>
      </c>
      <c r="Q280" t="s">
        <v>228</v>
      </c>
      <c r="S280">
        <v>0</v>
      </c>
      <c r="T280">
        <v>0</v>
      </c>
      <c r="U280">
        <v>0</v>
      </c>
      <c r="V280">
        <v>0</v>
      </c>
      <c r="W280">
        <v>0</v>
      </c>
      <c r="X280">
        <v>0</v>
      </c>
      <c r="Y280">
        <v>0</v>
      </c>
      <c r="Z280">
        <v>0</v>
      </c>
      <c r="AA280">
        <v>0</v>
      </c>
      <c r="AB280">
        <v>0</v>
      </c>
      <c r="AC280">
        <v>0</v>
      </c>
      <c r="AD280">
        <v>0</v>
      </c>
      <c r="AE280">
        <v>0</v>
      </c>
      <c r="AF280">
        <v>0</v>
      </c>
      <c r="AG280">
        <v>0</v>
      </c>
      <c r="AH280">
        <v>0</v>
      </c>
      <c r="AI280">
        <v>0</v>
      </c>
      <c r="AJ280">
        <v>0</v>
      </c>
      <c r="AK280">
        <v>0</v>
      </c>
      <c r="AL280">
        <v>0</v>
      </c>
      <c r="AM280">
        <v>0</v>
      </c>
      <c r="AN280">
        <v>0</v>
      </c>
      <c r="AO280">
        <v>0</v>
      </c>
      <c r="AP280">
        <v>0</v>
      </c>
      <c r="AQ280">
        <v>0</v>
      </c>
      <c r="AR280">
        <v>2.7777993442767999</v>
      </c>
      <c r="AS280">
        <v>2.5912799389158998</v>
      </c>
      <c r="AT280">
        <v>2.5282852643942002</v>
      </c>
      <c r="AU280">
        <v>2.4465881576003001</v>
      </c>
      <c r="AV280">
        <v>2.4718783108374001</v>
      </c>
      <c r="AW280">
        <v>2.4974298860259001</v>
      </c>
      <c r="AX280">
        <v>2.5232455854603999</v>
      </c>
      <c r="AY280">
        <v>2.5508332895982999</v>
      </c>
      <c r="AZ280">
        <v>2.5692453372588</v>
      </c>
      <c r="BA280">
        <v>2.5825337754776001</v>
      </c>
      <c r="BB280">
        <v>2.5699073159446999</v>
      </c>
      <c r="BC280">
        <v>2.5357577432391998</v>
      </c>
      <c r="BD280">
        <v>2.4732151118145</v>
      </c>
      <c r="BE280">
        <v>2.3717333051748</v>
      </c>
      <c r="BF280">
        <v>2.2262227238571999</v>
      </c>
      <c r="BG280">
        <v>2.0409101238018001</v>
      </c>
      <c r="BH280">
        <v>1.8304534231219001</v>
      </c>
      <c r="BI280">
        <v>1.6161449110902999</v>
      </c>
      <c r="BJ280">
        <v>1.4186544230446001</v>
      </c>
      <c r="BK280">
        <v>1.2517944411797</v>
      </c>
      <c r="BL280">
        <v>1.1205643173688999</v>
      </c>
      <c r="BM280">
        <v>1.0230307719749001</v>
      </c>
      <c r="BN280">
        <v>0.95609204846090001</v>
      </c>
      <c r="BO280">
        <v>0.91250848323700007</v>
      </c>
      <c r="BP280">
        <v>0.88552865691049998</v>
      </c>
      <c r="BQ280">
        <v>0.87005863861470001</v>
      </c>
      <c r="BR280">
        <v>0.88082429198229995</v>
      </c>
      <c r="BS280">
        <v>0.89160395062570008</v>
      </c>
      <c r="BT280">
        <v>0.90235217844920002</v>
      </c>
      <c r="BU280">
        <v>0.91302144597669999</v>
      </c>
      <c r="BV280">
        <v>0.92356215286309995</v>
      </c>
      <c r="BW280">
        <v>0.93392267583519994</v>
      </c>
      <c r="BX280">
        <v>0.94404944378989997</v>
      </c>
      <c r="BY280">
        <v>0.95388704169979999</v>
      </c>
      <c r="BZ280">
        <v>0.96337834485389995</v>
      </c>
      <c r="CA280">
        <v>0.97246468479299997</v>
      </c>
      <c r="CB280">
        <v>0.98108604809239996</v>
      </c>
      <c r="CC280">
        <v>0.99003108763229997</v>
      </c>
      <c r="CD280">
        <v>0.9993071814408</v>
      </c>
      <c r="CE280">
        <v>1.0089220232419001</v>
      </c>
      <c r="CF280">
        <v>1.0188836330116999</v>
      </c>
      <c r="CG280">
        <v>1.0292003680366999</v>
      </c>
      <c r="CH280">
        <v>1.0398809344982001</v>
      </c>
      <c r="CI280">
        <v>1.0509343996061999</v>
      </c>
      <c r="CJ280">
        <v>1.0623702043043</v>
      </c>
      <c r="CK280">
        <v>1.0741981765691</v>
      </c>
      <c r="CL280">
        <v>1.0864285453364999</v>
      </c>
      <c r="CM280">
        <v>1.0990719550718</v>
      </c>
      <c r="CN280">
        <v>1.1121394810237999</v>
      </c>
      <c r="CO280">
        <v>1.1256426451843</v>
      </c>
      <c r="CP280">
        <v>1.1395934329887001</v>
      </c>
    </row>
    <row r="281" spans="4:94" x14ac:dyDescent="0.2">
      <c r="D281" t="s">
        <v>0</v>
      </c>
      <c r="E281" t="s">
        <v>1</v>
      </c>
      <c r="F281" t="s">
        <v>14</v>
      </c>
      <c r="G281" t="s">
        <v>21</v>
      </c>
      <c r="K281" t="s">
        <v>16</v>
      </c>
      <c r="M281" t="s">
        <v>6</v>
      </c>
      <c r="N281">
        <v>1</v>
      </c>
      <c r="O281">
        <v>1</v>
      </c>
      <c r="P281">
        <v>0</v>
      </c>
      <c r="Q281" t="s">
        <v>229</v>
      </c>
      <c r="S281">
        <v>0</v>
      </c>
      <c r="T281">
        <v>0</v>
      </c>
      <c r="U281">
        <v>0</v>
      </c>
      <c r="V281">
        <v>0</v>
      </c>
      <c r="W281">
        <v>0</v>
      </c>
      <c r="X281">
        <v>0</v>
      </c>
      <c r="Y281">
        <v>0</v>
      </c>
      <c r="Z281">
        <v>0</v>
      </c>
      <c r="AA281">
        <v>0</v>
      </c>
      <c r="AB281">
        <v>0</v>
      </c>
      <c r="AC281">
        <v>0</v>
      </c>
      <c r="AD281">
        <v>0</v>
      </c>
      <c r="AE281">
        <v>0</v>
      </c>
      <c r="AF281">
        <v>0</v>
      </c>
      <c r="AG281">
        <v>0</v>
      </c>
      <c r="AH281">
        <v>0</v>
      </c>
      <c r="AI281">
        <v>0</v>
      </c>
      <c r="AJ281">
        <v>0</v>
      </c>
      <c r="AK281">
        <v>0</v>
      </c>
      <c r="AL281">
        <v>0</v>
      </c>
      <c r="AM281">
        <v>0</v>
      </c>
      <c r="AN281">
        <v>0</v>
      </c>
      <c r="AO281">
        <v>0</v>
      </c>
      <c r="AP281">
        <v>0</v>
      </c>
      <c r="AQ281">
        <v>0</v>
      </c>
      <c r="AR281">
        <v>1448.1132097490799</v>
      </c>
      <c r="AS281">
        <v>1274.6134277379099</v>
      </c>
      <c r="AT281">
        <v>1234.8484655719101</v>
      </c>
      <c r="AU281">
        <v>1181.9978887361699</v>
      </c>
      <c r="AV281">
        <v>1185.6180966649199</v>
      </c>
      <c r="AW281">
        <v>1189.2493925199401</v>
      </c>
      <c r="AX281">
        <v>1192.8918102611999</v>
      </c>
      <c r="AY281">
        <v>1188.0426648918601</v>
      </c>
      <c r="AZ281">
        <v>1177.58908205834</v>
      </c>
      <c r="BA281">
        <v>1159.46859215788</v>
      </c>
      <c r="BB281">
        <v>1129.5177336588299</v>
      </c>
      <c r="BC281">
        <v>1084.56296878436</v>
      </c>
      <c r="BD281">
        <v>1020.76013490806</v>
      </c>
      <c r="BE281">
        <v>935.190772073635</v>
      </c>
      <c r="BF281">
        <v>828.01093581914802</v>
      </c>
      <c r="BG281">
        <v>704.01930101251196</v>
      </c>
      <c r="BH281">
        <v>572.59784978545508</v>
      </c>
      <c r="BI281">
        <v>445.27810791996097</v>
      </c>
      <c r="BJ281">
        <v>332.04272021790803</v>
      </c>
      <c r="BK281">
        <v>238.64497159461101</v>
      </c>
      <c r="BL281">
        <v>166.23738349046599</v>
      </c>
      <c r="BM281">
        <v>112.735210641649</v>
      </c>
      <c r="BN281">
        <v>74.604639240644005</v>
      </c>
      <c r="BO281">
        <v>48.1001052685207</v>
      </c>
      <c r="BP281">
        <v>30.004798420016801</v>
      </c>
      <c r="BQ281">
        <v>17.7885493838949</v>
      </c>
      <c r="BR281">
        <v>17.856890812860001</v>
      </c>
      <c r="BS281">
        <v>17.929021262909298</v>
      </c>
      <c r="BT281">
        <v>18.004277405125102</v>
      </c>
      <c r="BU281">
        <v>18.081986319069198</v>
      </c>
      <c r="BV281">
        <v>18.1614643445564</v>
      </c>
      <c r="BW281">
        <v>18.242016187762101</v>
      </c>
      <c r="BX281">
        <v>18.3229342884581</v>
      </c>
      <c r="BY281">
        <v>18.403498456083</v>
      </c>
      <c r="BZ281">
        <v>18.482975782974499</v>
      </c>
      <c r="CA281">
        <v>18.5606208434419</v>
      </c>
      <c r="CB281">
        <v>18.635676187373701</v>
      </c>
      <c r="CC281">
        <v>18.7148993359095</v>
      </c>
      <c r="CD281">
        <v>18.798339998240799</v>
      </c>
      <c r="CE281">
        <v>18.886050708205101</v>
      </c>
      <c r="CF281">
        <v>18.9780868792826</v>
      </c>
      <c r="CG281">
        <v>19.074506862799701</v>
      </c>
      <c r="CH281">
        <v>19.175372009426599</v>
      </c>
      <c r="CI281">
        <v>19.280746734058301</v>
      </c>
      <c r="CJ281">
        <v>19.3906985841761</v>
      </c>
      <c r="CK281">
        <v>19.5052983117893</v>
      </c>
      <c r="CL281">
        <v>19.624619949065</v>
      </c>
      <c r="CM281">
        <v>19.7487408877594</v>
      </c>
      <c r="CN281">
        <v>19.877741962567899</v>
      </c>
      <c r="CO281">
        <v>20.011707538520898</v>
      </c>
      <c r="CP281">
        <v>20.1507256025555</v>
      </c>
    </row>
    <row r="282" spans="4:94" x14ac:dyDescent="0.2">
      <c r="D282" t="s">
        <v>0</v>
      </c>
      <c r="E282" t="s">
        <v>1</v>
      </c>
      <c r="F282" t="s">
        <v>14</v>
      </c>
      <c r="G282" t="s">
        <v>21</v>
      </c>
      <c r="K282" t="s">
        <v>16</v>
      </c>
      <c r="M282" t="s">
        <v>7</v>
      </c>
      <c r="N282">
        <v>1</v>
      </c>
      <c r="O282">
        <v>1</v>
      </c>
      <c r="P282">
        <v>0</v>
      </c>
      <c r="Q282" t="s">
        <v>230</v>
      </c>
      <c r="S282">
        <v>0</v>
      </c>
      <c r="T282">
        <v>0</v>
      </c>
      <c r="U282">
        <v>0</v>
      </c>
      <c r="V282">
        <v>0</v>
      </c>
      <c r="W282">
        <v>0</v>
      </c>
      <c r="X282">
        <v>0</v>
      </c>
      <c r="Y282">
        <v>0</v>
      </c>
      <c r="Z282">
        <v>0</v>
      </c>
      <c r="AA282">
        <v>0</v>
      </c>
      <c r="AB282">
        <v>0</v>
      </c>
      <c r="AC282">
        <v>0</v>
      </c>
      <c r="AD282">
        <v>0</v>
      </c>
      <c r="AE282">
        <v>0</v>
      </c>
      <c r="AF282">
        <v>0</v>
      </c>
      <c r="AG282">
        <v>0</v>
      </c>
      <c r="AH282">
        <v>0</v>
      </c>
      <c r="AI282">
        <v>0</v>
      </c>
      <c r="AJ282">
        <v>0</v>
      </c>
      <c r="AK282">
        <v>0</v>
      </c>
      <c r="AL282">
        <v>0</v>
      </c>
      <c r="AM282">
        <v>0</v>
      </c>
      <c r="AN282">
        <v>0</v>
      </c>
      <c r="AO282">
        <v>0</v>
      </c>
      <c r="AP282">
        <v>0</v>
      </c>
      <c r="AQ282">
        <v>0</v>
      </c>
      <c r="AR282">
        <v>227.55535751152399</v>
      </c>
      <c r="AS282">
        <v>312.04956507587701</v>
      </c>
      <c r="AT282">
        <v>432.88085814700401</v>
      </c>
      <c r="AU282">
        <v>561.48905677248695</v>
      </c>
      <c r="AV282">
        <v>563.20877823273997</v>
      </c>
      <c r="AW282">
        <v>564.93376683375891</v>
      </c>
      <c r="AX282">
        <v>566.66403870767499</v>
      </c>
      <c r="AY282">
        <v>617.27898538647798</v>
      </c>
      <c r="AZ282">
        <v>691.77209021914496</v>
      </c>
      <c r="BA282">
        <v>801.04487606420503</v>
      </c>
      <c r="BB282">
        <v>958.38339182337097</v>
      </c>
      <c r="BC282">
        <v>1180.79268048066</v>
      </c>
      <c r="BD282">
        <v>1485.1789775817399</v>
      </c>
      <c r="BE282">
        <v>1883.01298941298</v>
      </c>
      <c r="BF282">
        <v>2372.83669388507</v>
      </c>
      <c r="BG282">
        <v>2933.6288075766602</v>
      </c>
      <c r="BH282">
        <v>3525.05840209179</v>
      </c>
      <c r="BI282">
        <v>4097.7875634379398</v>
      </c>
      <c r="BJ282">
        <v>4609.1263150778504</v>
      </c>
      <c r="BK282">
        <v>5034.3799463329105</v>
      </c>
      <c r="BL282">
        <v>5368.4246677820802</v>
      </c>
      <c r="BM282">
        <v>5619.9411622260895</v>
      </c>
      <c r="BN282">
        <v>5805.5757827902698</v>
      </c>
      <c r="BO282">
        <v>5940.9441490661202</v>
      </c>
      <c r="BP282">
        <v>6041.6506385173598</v>
      </c>
      <c r="BQ282">
        <v>6117.6772839454306</v>
      </c>
      <c r="BR282">
        <v>6141.1806511121104</v>
      </c>
      <c r="BS282">
        <v>6165.9871041974293</v>
      </c>
      <c r="BT282">
        <v>6191.8685171094594</v>
      </c>
      <c r="BU282">
        <v>6218.5934651272401</v>
      </c>
      <c r="BV282">
        <v>6245.9268300128797</v>
      </c>
      <c r="BW282">
        <v>6273.6294925922602</v>
      </c>
      <c r="BX282">
        <v>6301.4581151407001</v>
      </c>
      <c r="BY282">
        <v>6329.1650162230408</v>
      </c>
      <c r="BZ282">
        <v>6356.4981408539597</v>
      </c>
      <c r="CA282">
        <v>6383.2011289605598</v>
      </c>
      <c r="CB282">
        <v>6409.0134851398498</v>
      </c>
      <c r="CC282">
        <v>6436.2591950457399</v>
      </c>
      <c r="CD282">
        <v>6464.9553542144786</v>
      </c>
      <c r="CE282">
        <v>6495.1200296091702</v>
      </c>
      <c r="CF282">
        <v>6526.77227853355</v>
      </c>
      <c r="CG282">
        <v>6559.9321686488702</v>
      </c>
      <c r="CH282">
        <v>6594.6207991236897</v>
      </c>
      <c r="CI282">
        <v>6630.8603229471</v>
      </c>
      <c r="CJ282">
        <v>6668.6739704389202</v>
      </c>
      <c r="CK282">
        <v>6708.0860739913214</v>
      </c>
      <c r="CL282">
        <v>6749.1220940787998</v>
      </c>
      <c r="CM282">
        <v>6791.8086465753386</v>
      </c>
      <c r="CN282">
        <v>6836.1735314194902</v>
      </c>
      <c r="CO282">
        <v>6882.2457626707001</v>
      </c>
      <c r="CP282">
        <v>6930.0556000019396</v>
      </c>
    </row>
    <row r="283" spans="4:94" x14ac:dyDescent="0.2">
      <c r="D283" t="s">
        <v>0</v>
      </c>
      <c r="E283" t="s">
        <v>1</v>
      </c>
      <c r="F283" t="s">
        <v>14</v>
      </c>
      <c r="G283" t="s">
        <v>21</v>
      </c>
      <c r="K283" t="s">
        <v>16</v>
      </c>
      <c r="M283" t="s">
        <v>8</v>
      </c>
      <c r="N283">
        <v>1</v>
      </c>
      <c r="O283">
        <v>1</v>
      </c>
      <c r="P283">
        <v>0</v>
      </c>
      <c r="Q283" t="s">
        <v>231</v>
      </c>
      <c r="S283">
        <v>0</v>
      </c>
      <c r="T283">
        <v>0</v>
      </c>
      <c r="U283">
        <v>0</v>
      </c>
      <c r="V283">
        <v>0</v>
      </c>
      <c r="W283">
        <v>0</v>
      </c>
      <c r="X283">
        <v>0</v>
      </c>
      <c r="Y283">
        <v>0</v>
      </c>
      <c r="Z283">
        <v>0</v>
      </c>
      <c r="AA283">
        <v>0</v>
      </c>
      <c r="AB283">
        <v>0</v>
      </c>
      <c r="AC283">
        <v>0</v>
      </c>
      <c r="AD283">
        <v>0</v>
      </c>
      <c r="AE283">
        <v>0</v>
      </c>
      <c r="AF283">
        <v>0</v>
      </c>
      <c r="AG283">
        <v>0</v>
      </c>
      <c r="AH283">
        <v>0</v>
      </c>
      <c r="AI283">
        <v>0</v>
      </c>
      <c r="AJ283">
        <v>0</v>
      </c>
      <c r="AK283">
        <v>0</v>
      </c>
      <c r="AL283">
        <v>0</v>
      </c>
      <c r="AM283">
        <v>0</v>
      </c>
      <c r="AN283">
        <v>0</v>
      </c>
      <c r="AO283">
        <v>0</v>
      </c>
      <c r="AP283">
        <v>0</v>
      </c>
      <c r="AQ283">
        <v>0</v>
      </c>
      <c r="AR283">
        <v>236.88117905247699</v>
      </c>
      <c r="AS283">
        <v>209.043230229355</v>
      </c>
      <c r="AT283">
        <v>203.15596065963001</v>
      </c>
      <c r="AU283">
        <v>195.175933884567</v>
      </c>
      <c r="AV283">
        <v>195.773716224183</v>
      </c>
      <c r="AW283">
        <v>196.37332944385699</v>
      </c>
      <c r="AX283">
        <v>196.97477915119001</v>
      </c>
      <c r="AY283">
        <v>196.38782575737699</v>
      </c>
      <c r="AZ283">
        <v>194.98265255193201</v>
      </c>
      <c r="BA283">
        <v>192.46668929314299</v>
      </c>
      <c r="BB283">
        <v>188.21410540469199</v>
      </c>
      <c r="BC283">
        <v>181.775653039004</v>
      </c>
      <c r="BD283">
        <v>172.59223594698301</v>
      </c>
      <c r="BE283">
        <v>160.233881163771</v>
      </c>
      <c r="BF283">
        <v>144.72016827398701</v>
      </c>
      <c r="BG283">
        <v>126.749352550503</v>
      </c>
      <c r="BH283">
        <v>107.689709375696</v>
      </c>
      <c r="BI283">
        <v>89.223947970953304</v>
      </c>
      <c r="BJ283">
        <v>72.808845829083708</v>
      </c>
      <c r="BK283">
        <v>59.283617065659598</v>
      </c>
      <c r="BL283">
        <v>48.815662131110699</v>
      </c>
      <c r="BM283">
        <v>41.099804554385898</v>
      </c>
      <c r="BN283">
        <v>35.626548791133096</v>
      </c>
      <c r="BO283">
        <v>31.847677132851299</v>
      </c>
      <c r="BP283">
        <v>29.3012216753587</v>
      </c>
      <c r="BQ283">
        <v>27.6145671423434</v>
      </c>
      <c r="BR283">
        <v>27.720658928583699</v>
      </c>
      <c r="BS283">
        <v>27.832632710869799</v>
      </c>
      <c r="BT283">
        <v>27.9494587514444</v>
      </c>
      <c r="BU283">
        <v>28.070092422878901</v>
      </c>
      <c r="BV283">
        <v>28.193472425587</v>
      </c>
      <c r="BW283">
        <v>28.318519400167901</v>
      </c>
      <c r="BX283">
        <v>28.444134945116598</v>
      </c>
      <c r="BY283">
        <v>28.569201051864798</v>
      </c>
      <c r="BZ283">
        <v>28.6925799700876</v>
      </c>
      <c r="CA283">
        <v>28.813114516737599</v>
      </c>
      <c r="CB283">
        <v>28.9296288423111</v>
      </c>
      <c r="CC283">
        <v>29.052613179440399</v>
      </c>
      <c r="CD283">
        <v>29.182144695620899</v>
      </c>
      <c r="CE283">
        <v>29.318304943269201</v>
      </c>
      <c r="CF283">
        <v>29.461179945097399</v>
      </c>
      <c r="CG283">
        <v>29.610860284468298</v>
      </c>
      <c r="CH283">
        <v>29.767441200862201</v>
      </c>
      <c r="CI283">
        <v>29.9310226905977</v>
      </c>
      <c r="CJ283">
        <v>30.101709612953002</v>
      </c>
      <c r="CK283">
        <v>30.279611801848201</v>
      </c>
      <c r="CL283">
        <v>30.464844183251198</v>
      </c>
      <c r="CM283">
        <v>30.657526898484299</v>
      </c>
      <c r="CN283">
        <v>30.857785433616002</v>
      </c>
      <c r="CO283">
        <v>31.0657507551315</v>
      </c>
      <c r="CP283">
        <v>31.281559452088</v>
      </c>
    </row>
    <row r="284" spans="4:94" x14ac:dyDescent="0.2">
      <c r="D284" t="s">
        <v>0</v>
      </c>
      <c r="E284" t="s">
        <v>1</v>
      </c>
      <c r="F284" t="s">
        <v>14</v>
      </c>
      <c r="G284" t="s">
        <v>22</v>
      </c>
      <c r="K284" t="s">
        <v>16</v>
      </c>
      <c r="M284" t="s">
        <v>6</v>
      </c>
      <c r="N284">
        <v>1</v>
      </c>
      <c r="O284">
        <v>1</v>
      </c>
      <c r="P284">
        <v>0</v>
      </c>
      <c r="Q284" t="s">
        <v>232</v>
      </c>
      <c r="S284">
        <v>0</v>
      </c>
      <c r="T284">
        <v>0</v>
      </c>
      <c r="U284">
        <v>0</v>
      </c>
      <c r="V284">
        <v>0</v>
      </c>
      <c r="W284">
        <v>0</v>
      </c>
      <c r="X284">
        <v>0</v>
      </c>
      <c r="Y284">
        <v>0</v>
      </c>
      <c r="Z284">
        <v>0</v>
      </c>
      <c r="AA284">
        <v>0</v>
      </c>
      <c r="AB284">
        <v>0</v>
      </c>
      <c r="AC284">
        <v>0</v>
      </c>
      <c r="AD284">
        <v>0</v>
      </c>
      <c r="AE284">
        <v>0</v>
      </c>
      <c r="AF284">
        <v>0</v>
      </c>
      <c r="AG284">
        <v>0</v>
      </c>
      <c r="AH284">
        <v>0</v>
      </c>
      <c r="AI284">
        <v>0</v>
      </c>
      <c r="AJ284">
        <v>0</v>
      </c>
      <c r="AK284">
        <v>0</v>
      </c>
      <c r="AL284">
        <v>0</v>
      </c>
      <c r="AM284">
        <v>0</v>
      </c>
      <c r="AN284">
        <v>0</v>
      </c>
      <c r="AO284">
        <v>0</v>
      </c>
      <c r="AP284">
        <v>0</v>
      </c>
      <c r="AQ284">
        <v>0</v>
      </c>
      <c r="AR284">
        <v>0</v>
      </c>
      <c r="AS284">
        <v>0</v>
      </c>
      <c r="AT284">
        <v>0</v>
      </c>
      <c r="AU284">
        <v>0</v>
      </c>
      <c r="AV284">
        <v>0</v>
      </c>
      <c r="AW284">
        <v>0</v>
      </c>
      <c r="AX284">
        <v>0</v>
      </c>
      <c r="AY284">
        <v>0</v>
      </c>
      <c r="AZ284">
        <v>0</v>
      </c>
      <c r="BA284">
        <v>0</v>
      </c>
      <c r="BB284">
        <v>0</v>
      </c>
      <c r="BC284">
        <v>0</v>
      </c>
      <c r="BD284">
        <v>0</v>
      </c>
      <c r="BE284">
        <v>0</v>
      </c>
      <c r="BF284">
        <v>0</v>
      </c>
      <c r="BG284">
        <v>0</v>
      </c>
      <c r="BH284">
        <v>0</v>
      </c>
      <c r="BI284">
        <v>0</v>
      </c>
      <c r="BJ284">
        <v>0</v>
      </c>
      <c r="BK284">
        <v>0</v>
      </c>
      <c r="BL284">
        <v>0</v>
      </c>
      <c r="BM284">
        <v>0</v>
      </c>
      <c r="BN284">
        <v>0</v>
      </c>
      <c r="BO284">
        <v>0</v>
      </c>
      <c r="BP284">
        <v>0</v>
      </c>
      <c r="BQ284">
        <v>0</v>
      </c>
      <c r="BR284">
        <v>0</v>
      </c>
      <c r="BS284">
        <v>0</v>
      </c>
      <c r="BT284">
        <v>0</v>
      </c>
      <c r="BU284">
        <v>0</v>
      </c>
      <c r="BV284">
        <v>0</v>
      </c>
      <c r="BW284">
        <v>0</v>
      </c>
      <c r="BX284">
        <v>0</v>
      </c>
      <c r="BY284">
        <v>0</v>
      </c>
      <c r="BZ284">
        <v>0</v>
      </c>
      <c r="CA284">
        <v>0</v>
      </c>
      <c r="CB284">
        <v>0</v>
      </c>
      <c r="CC284">
        <v>0</v>
      </c>
      <c r="CD284">
        <v>0</v>
      </c>
      <c r="CE284">
        <v>0</v>
      </c>
      <c r="CF284">
        <v>0</v>
      </c>
      <c r="CG284">
        <v>0</v>
      </c>
      <c r="CH284">
        <v>0</v>
      </c>
      <c r="CI284">
        <v>0</v>
      </c>
      <c r="CJ284">
        <v>0</v>
      </c>
      <c r="CK284">
        <v>0</v>
      </c>
      <c r="CL284">
        <v>0</v>
      </c>
      <c r="CM284">
        <v>0</v>
      </c>
      <c r="CN284">
        <v>0</v>
      </c>
      <c r="CO284">
        <v>0</v>
      </c>
      <c r="CP284">
        <v>0</v>
      </c>
    </row>
    <row r="285" spans="4:94" x14ac:dyDescent="0.2">
      <c r="D285" t="s">
        <v>0</v>
      </c>
      <c r="E285" t="s">
        <v>1</v>
      </c>
      <c r="F285" t="s">
        <v>14</v>
      </c>
      <c r="G285" t="s">
        <v>22</v>
      </c>
      <c r="K285" t="s">
        <v>16</v>
      </c>
      <c r="M285" t="s">
        <v>7</v>
      </c>
      <c r="N285">
        <v>1</v>
      </c>
      <c r="O285">
        <v>1</v>
      </c>
      <c r="P285">
        <v>0</v>
      </c>
      <c r="Q285" t="s">
        <v>233</v>
      </c>
      <c r="S285">
        <v>0</v>
      </c>
      <c r="T285">
        <v>0</v>
      </c>
      <c r="U285">
        <v>0</v>
      </c>
      <c r="V285">
        <v>0</v>
      </c>
      <c r="W285">
        <v>0</v>
      </c>
      <c r="X285">
        <v>0</v>
      </c>
      <c r="Y285">
        <v>0</v>
      </c>
      <c r="Z285">
        <v>0</v>
      </c>
      <c r="AA285">
        <v>0</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0</v>
      </c>
      <c r="AU285">
        <v>0</v>
      </c>
      <c r="AV285">
        <v>0</v>
      </c>
      <c r="AW285">
        <v>0</v>
      </c>
      <c r="AX285">
        <v>0</v>
      </c>
      <c r="AY285">
        <v>0</v>
      </c>
      <c r="AZ285">
        <v>0</v>
      </c>
      <c r="BA285">
        <v>0</v>
      </c>
      <c r="BB285">
        <v>0</v>
      </c>
      <c r="BC285">
        <v>0</v>
      </c>
      <c r="BD285">
        <v>0</v>
      </c>
      <c r="BE285">
        <v>0</v>
      </c>
      <c r="BF285">
        <v>0</v>
      </c>
      <c r="BG285">
        <v>0</v>
      </c>
      <c r="BH285">
        <v>0</v>
      </c>
      <c r="BI285">
        <v>0</v>
      </c>
      <c r="BJ285">
        <v>0</v>
      </c>
      <c r="BK285">
        <v>0</v>
      </c>
      <c r="BL285">
        <v>0</v>
      </c>
      <c r="BM285">
        <v>0</v>
      </c>
      <c r="BN285">
        <v>0</v>
      </c>
      <c r="BO285">
        <v>0</v>
      </c>
      <c r="BP285">
        <v>0</v>
      </c>
      <c r="BQ285">
        <v>0</v>
      </c>
      <c r="BR285">
        <v>0</v>
      </c>
      <c r="BS285">
        <v>0</v>
      </c>
      <c r="BT285">
        <v>0</v>
      </c>
      <c r="BU285">
        <v>0</v>
      </c>
      <c r="BV285">
        <v>0</v>
      </c>
      <c r="BW285">
        <v>0</v>
      </c>
      <c r="BX285">
        <v>0</v>
      </c>
      <c r="BY285">
        <v>0</v>
      </c>
      <c r="BZ285">
        <v>0</v>
      </c>
      <c r="CA285">
        <v>0</v>
      </c>
      <c r="CB285">
        <v>0</v>
      </c>
      <c r="CC285">
        <v>0</v>
      </c>
      <c r="CD285">
        <v>0</v>
      </c>
      <c r="CE285">
        <v>0</v>
      </c>
      <c r="CF285">
        <v>0</v>
      </c>
      <c r="CG285">
        <v>0</v>
      </c>
      <c r="CH285">
        <v>0</v>
      </c>
      <c r="CI285">
        <v>0</v>
      </c>
      <c r="CJ285">
        <v>0</v>
      </c>
      <c r="CK285">
        <v>0</v>
      </c>
      <c r="CL285">
        <v>0</v>
      </c>
      <c r="CM285">
        <v>0</v>
      </c>
      <c r="CN285">
        <v>0</v>
      </c>
      <c r="CO285">
        <v>0</v>
      </c>
      <c r="CP285">
        <v>0</v>
      </c>
    </row>
    <row r="286" spans="4:94" x14ac:dyDescent="0.2">
      <c r="D286" t="s">
        <v>0</v>
      </c>
      <c r="E286" t="s">
        <v>1</v>
      </c>
      <c r="F286" t="s">
        <v>14</v>
      </c>
      <c r="G286" t="s">
        <v>22</v>
      </c>
      <c r="K286" t="s">
        <v>16</v>
      </c>
      <c r="M286" t="s">
        <v>8</v>
      </c>
      <c r="N286">
        <v>1</v>
      </c>
      <c r="O286">
        <v>1</v>
      </c>
      <c r="P286">
        <v>0</v>
      </c>
      <c r="Q286" t="s">
        <v>234</v>
      </c>
      <c r="S286">
        <v>0</v>
      </c>
      <c r="T286">
        <v>0</v>
      </c>
      <c r="U286">
        <v>0</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row>
    <row r="287" spans="4:94" x14ac:dyDescent="0.2">
      <c r="D287" t="s">
        <v>0</v>
      </c>
      <c r="E287" t="s">
        <v>1</v>
      </c>
      <c r="F287" t="s">
        <v>14</v>
      </c>
      <c r="G287" t="s">
        <v>23</v>
      </c>
      <c r="K287" t="s">
        <v>16</v>
      </c>
      <c r="M287" t="s">
        <v>6</v>
      </c>
      <c r="N287">
        <v>1</v>
      </c>
      <c r="O287">
        <v>1</v>
      </c>
      <c r="P287">
        <v>0</v>
      </c>
      <c r="Q287" t="s">
        <v>235</v>
      </c>
      <c r="S287">
        <v>0</v>
      </c>
      <c r="T287">
        <v>0</v>
      </c>
      <c r="U287">
        <v>0</v>
      </c>
      <c r="V287">
        <v>0</v>
      </c>
      <c r="W287">
        <v>0</v>
      </c>
      <c r="X287">
        <v>0</v>
      </c>
      <c r="Y287">
        <v>0</v>
      </c>
      <c r="Z287">
        <v>0</v>
      </c>
      <c r="AA287">
        <v>0</v>
      </c>
      <c r="AB287">
        <v>0</v>
      </c>
      <c r="AC287">
        <v>0</v>
      </c>
      <c r="AD287">
        <v>0</v>
      </c>
      <c r="AE287">
        <v>0</v>
      </c>
      <c r="AF287">
        <v>0</v>
      </c>
      <c r="AG287">
        <v>0</v>
      </c>
      <c r="AH287">
        <v>0</v>
      </c>
      <c r="AI287">
        <v>0</v>
      </c>
      <c r="AJ287">
        <v>0</v>
      </c>
      <c r="AK287">
        <v>0</v>
      </c>
      <c r="AL287">
        <v>0</v>
      </c>
      <c r="AM287">
        <v>0</v>
      </c>
      <c r="AN287">
        <v>0</v>
      </c>
      <c r="AO287">
        <v>0</v>
      </c>
      <c r="AP287">
        <v>0</v>
      </c>
      <c r="AQ287">
        <v>0</v>
      </c>
      <c r="AR287">
        <v>14.433765464736201</v>
      </c>
      <c r="AS287">
        <v>17.781564998691799</v>
      </c>
      <c r="AT287">
        <v>17.9900784644745</v>
      </c>
      <c r="AU287">
        <v>18.300014732047799</v>
      </c>
      <c r="AV287">
        <v>18.6152906366964</v>
      </c>
      <c r="AW287">
        <v>18.935998170636399</v>
      </c>
      <c r="AX287">
        <v>19.262230910942201</v>
      </c>
      <c r="AY287">
        <v>19.695280009267901</v>
      </c>
      <c r="AZ287">
        <v>20.053971979150599</v>
      </c>
      <c r="BA287">
        <v>20.142898138417099</v>
      </c>
      <c r="BB287">
        <v>20.1270175532255</v>
      </c>
      <c r="BC287">
        <v>19.799882261728801</v>
      </c>
      <c r="BD287">
        <v>19.0565520529541</v>
      </c>
      <c r="BE287">
        <v>17.8724643006544</v>
      </c>
      <c r="BF287">
        <v>16.271720049712801</v>
      </c>
      <c r="BG287">
        <v>14.3512203625796</v>
      </c>
      <c r="BH287">
        <v>12.2787910461272</v>
      </c>
      <c r="BI287">
        <v>10.253438358297799</v>
      </c>
      <c r="BJ287">
        <v>8.4457952961753993</v>
      </c>
      <c r="BK287">
        <v>6.9554616447399997</v>
      </c>
      <c r="BL287">
        <v>5.8057224949412998</v>
      </c>
      <c r="BM287">
        <v>4.9661013743262998</v>
      </c>
      <c r="BN287">
        <v>4.3651400406214007</v>
      </c>
      <c r="BO287">
        <v>3.9491189004584002</v>
      </c>
      <c r="BP287">
        <v>3.6728994099896002</v>
      </c>
      <c r="BQ287">
        <v>3.4948793146192001</v>
      </c>
      <c r="BR287">
        <v>3.5343617791156001</v>
      </c>
      <c r="BS287">
        <v>3.5742524647475</v>
      </c>
      <c r="BT287">
        <v>3.6143575560055998</v>
      </c>
      <c r="BU287">
        <v>3.6544743902654</v>
      </c>
      <c r="BV287">
        <v>3.6943913626193998</v>
      </c>
      <c r="BW287">
        <v>3.733887947081</v>
      </c>
      <c r="BX287">
        <v>3.7727348428710998</v>
      </c>
      <c r="BY287">
        <v>3.8106942544161999</v>
      </c>
      <c r="BZ287">
        <v>3.8475203133978</v>
      </c>
      <c r="CA287">
        <v>3.8829596506774999</v>
      </c>
      <c r="CB287">
        <v>3.9167521251567998</v>
      </c>
      <c r="CC287">
        <v>3.9519781919580002</v>
      </c>
      <c r="CD287">
        <v>3.9886708240008999</v>
      </c>
      <c r="CE287">
        <v>4.0268645611686003</v>
      </c>
      <c r="CF287">
        <v>4.0665955641392992</v>
      </c>
      <c r="CG287">
        <v>4.1079016710437006</v>
      </c>
      <c r="CH287">
        <v>4.1508224570734997</v>
      </c>
      <c r="CI287">
        <v>4.1953992971686001</v>
      </c>
      <c r="CJ287">
        <v>4.2416754319240999</v>
      </c>
      <c r="CK287">
        <v>4.2896960368596</v>
      </c>
      <c r="CL287">
        <v>4.3395082952088</v>
      </c>
      <c r="CM287">
        <v>4.3911614743884</v>
      </c>
      <c r="CN287">
        <v>4.4447070063209999</v>
      </c>
      <c r="CO287">
        <v>4.5001985717929998</v>
      </c>
      <c r="CP287">
        <v>4.5576921890366</v>
      </c>
    </row>
    <row r="288" spans="4:94" x14ac:dyDescent="0.2">
      <c r="D288" t="s">
        <v>0</v>
      </c>
      <c r="E288" t="s">
        <v>1</v>
      </c>
      <c r="F288" t="s">
        <v>14</v>
      </c>
      <c r="G288" t="s">
        <v>23</v>
      </c>
      <c r="K288" t="s">
        <v>16</v>
      </c>
      <c r="M288" t="s">
        <v>7</v>
      </c>
      <c r="N288">
        <v>1</v>
      </c>
      <c r="O288">
        <v>1</v>
      </c>
      <c r="P288">
        <v>0</v>
      </c>
      <c r="Q288" t="s">
        <v>236</v>
      </c>
      <c r="S288">
        <v>0</v>
      </c>
      <c r="T288">
        <v>0</v>
      </c>
      <c r="U288">
        <v>0</v>
      </c>
      <c r="V288">
        <v>0</v>
      </c>
      <c r="W288">
        <v>0</v>
      </c>
      <c r="X288">
        <v>0</v>
      </c>
      <c r="Y288">
        <v>0</v>
      </c>
      <c r="Z288">
        <v>0</v>
      </c>
      <c r="AA288">
        <v>0</v>
      </c>
      <c r="AB288">
        <v>0</v>
      </c>
      <c r="AC288">
        <v>0</v>
      </c>
      <c r="AD288">
        <v>0</v>
      </c>
      <c r="AE288">
        <v>0</v>
      </c>
      <c r="AF288">
        <v>0</v>
      </c>
      <c r="AG288">
        <v>0</v>
      </c>
      <c r="AH288">
        <v>0</v>
      </c>
      <c r="AI288">
        <v>0</v>
      </c>
      <c r="AJ288">
        <v>0</v>
      </c>
      <c r="AK288">
        <v>0</v>
      </c>
      <c r="AL288">
        <v>0</v>
      </c>
      <c r="AM288">
        <v>0</v>
      </c>
      <c r="AN288">
        <v>0</v>
      </c>
      <c r="AO288">
        <v>0</v>
      </c>
      <c r="AP288">
        <v>0</v>
      </c>
      <c r="AQ288">
        <v>0</v>
      </c>
      <c r="AR288">
        <v>381.49293218088502</v>
      </c>
      <c r="AS288">
        <v>469.97724791144299</v>
      </c>
      <c r="AT288">
        <v>475.48838176317298</v>
      </c>
      <c r="AU288">
        <v>483.68018007073198</v>
      </c>
      <c r="AV288">
        <v>492.01310813473799</v>
      </c>
      <c r="AW288">
        <v>500.489597363705</v>
      </c>
      <c r="AX288">
        <v>509.11212105488801</v>
      </c>
      <c r="AY288">
        <v>526.27058470027896</v>
      </c>
      <c r="AZ288">
        <v>544.69348567473196</v>
      </c>
      <c r="BA288">
        <v>560.57927482883701</v>
      </c>
      <c r="BB288">
        <v>580.51721391874196</v>
      </c>
      <c r="BC288">
        <v>601.34060308698201</v>
      </c>
      <c r="BD288">
        <v>622.50676357182704</v>
      </c>
      <c r="BE288">
        <v>644.99740932288296</v>
      </c>
      <c r="BF288">
        <v>669.37595299503403</v>
      </c>
      <c r="BG288">
        <v>695.55331664992605</v>
      </c>
      <c r="BH288">
        <v>722.781349716911</v>
      </c>
      <c r="BI288">
        <v>749.97052810348691</v>
      </c>
      <c r="BJ288">
        <v>776.17873613496704</v>
      </c>
      <c r="BK288">
        <v>800.96246512914809</v>
      </c>
      <c r="BL288">
        <v>824.41733583575308</v>
      </c>
      <c r="BM288">
        <v>846.98573737858294</v>
      </c>
      <c r="BN288">
        <v>866.022799180108</v>
      </c>
      <c r="BO288">
        <v>881.98103979066298</v>
      </c>
      <c r="BP288">
        <v>896.32402780945699</v>
      </c>
      <c r="BQ288">
        <v>909.221239827864</v>
      </c>
      <c r="BR288">
        <v>919.49292365127303</v>
      </c>
      <c r="BS288">
        <v>929.87080951877897</v>
      </c>
      <c r="BT288">
        <v>940.30447475140897</v>
      </c>
      <c r="BU288">
        <v>950.74119502130407</v>
      </c>
      <c r="BV288">
        <v>961.12591959305701</v>
      </c>
      <c r="BW288">
        <v>971.401276840126</v>
      </c>
      <c r="BX288">
        <v>981.50761230241903</v>
      </c>
      <c r="BY288">
        <v>991.38306153003691</v>
      </c>
      <c r="BZ288">
        <v>1000.96365988294</v>
      </c>
      <c r="CA288">
        <v>1010.18349132181</v>
      </c>
      <c r="CB288">
        <v>1018.97487802705</v>
      </c>
      <c r="CC288">
        <v>1028.1392254187499</v>
      </c>
      <c r="CD288">
        <v>1037.6851116698499</v>
      </c>
      <c r="CE288">
        <v>1047.62152261145</v>
      </c>
      <c r="CF288">
        <v>1057.9578657376401</v>
      </c>
      <c r="CG288">
        <v>1068.70398494553</v>
      </c>
      <c r="CH288">
        <v>1079.87017604264</v>
      </c>
      <c r="CI288">
        <v>1091.4672030556901</v>
      </c>
      <c r="CJ288">
        <v>1103.50631537662</v>
      </c>
      <c r="CK288">
        <v>1115.99926578384</v>
      </c>
      <c r="CL288">
        <v>1128.95832937879</v>
      </c>
      <c r="CM288">
        <v>1142.3963234801099</v>
      </c>
      <c r="CN288">
        <v>1156.3266285202401</v>
      </c>
      <c r="CO288">
        <v>1170.76320999167</v>
      </c>
      <c r="CP288">
        <v>1185.7206414926</v>
      </c>
    </row>
    <row r="289" spans="4:94" x14ac:dyDescent="0.2">
      <c r="D289" t="s">
        <v>0</v>
      </c>
      <c r="E289" t="s">
        <v>1</v>
      </c>
      <c r="F289" t="s">
        <v>14</v>
      </c>
      <c r="G289" t="s">
        <v>23</v>
      </c>
      <c r="K289" t="s">
        <v>16</v>
      </c>
      <c r="M289" t="s">
        <v>8</v>
      </c>
      <c r="N289">
        <v>1</v>
      </c>
      <c r="O289">
        <v>1</v>
      </c>
      <c r="P289">
        <v>0</v>
      </c>
      <c r="Q289" t="s">
        <v>237</v>
      </c>
      <c r="S289">
        <v>0</v>
      </c>
      <c r="T289">
        <v>0</v>
      </c>
      <c r="U289">
        <v>0</v>
      </c>
      <c r="V289">
        <v>0</v>
      </c>
      <c r="W289">
        <v>0</v>
      </c>
      <c r="X289">
        <v>0</v>
      </c>
      <c r="Y289">
        <v>0</v>
      </c>
      <c r="Z289">
        <v>0</v>
      </c>
      <c r="AA289">
        <v>0</v>
      </c>
      <c r="AB289">
        <v>0</v>
      </c>
      <c r="AC289">
        <v>0</v>
      </c>
      <c r="AD289">
        <v>0</v>
      </c>
      <c r="AE289">
        <v>0</v>
      </c>
      <c r="AF289">
        <v>0</v>
      </c>
      <c r="AG289">
        <v>0</v>
      </c>
      <c r="AH289">
        <v>0</v>
      </c>
      <c r="AI289">
        <v>0</v>
      </c>
      <c r="AJ289">
        <v>0</v>
      </c>
      <c r="AK289">
        <v>0</v>
      </c>
      <c r="AL289">
        <v>0</v>
      </c>
      <c r="AM289">
        <v>0</v>
      </c>
      <c r="AN289">
        <v>0</v>
      </c>
      <c r="AO289">
        <v>0</v>
      </c>
      <c r="AP289">
        <v>0</v>
      </c>
      <c r="AQ289">
        <v>0</v>
      </c>
      <c r="AR289">
        <v>4.7011795740489006</v>
      </c>
      <c r="AS289">
        <v>5.7915815779817006</v>
      </c>
      <c r="AT289">
        <v>5.8594958896453004</v>
      </c>
      <c r="AU289">
        <v>5.9604443257227002</v>
      </c>
      <c r="AV289">
        <v>6.0631319193894999</v>
      </c>
      <c r="AW289">
        <v>6.1675886331614</v>
      </c>
      <c r="AX289">
        <v>6.2738449457540986</v>
      </c>
      <c r="AY289">
        <v>6.4464436012519997</v>
      </c>
      <c r="AZ289">
        <v>6.6126615490348</v>
      </c>
      <c r="BA289">
        <v>6.7163818828438</v>
      </c>
      <c r="BB289">
        <v>6.8236453977659002</v>
      </c>
      <c r="BC289">
        <v>6.8798573833639001</v>
      </c>
      <c r="BD289">
        <v>6.8631596788411997</v>
      </c>
      <c r="BE289">
        <v>6.7745596674832997</v>
      </c>
      <c r="BF289">
        <v>6.6215007787836004</v>
      </c>
      <c r="BG289">
        <v>6.4209070871361007</v>
      </c>
      <c r="BH289">
        <v>6.1988099157208003</v>
      </c>
      <c r="BI289">
        <v>5.9849592440863999</v>
      </c>
      <c r="BJ289">
        <v>5.8048196583412004</v>
      </c>
      <c r="BK289">
        <v>5.6738427451345999</v>
      </c>
      <c r="BL289">
        <v>5.5967416559349994</v>
      </c>
      <c r="BM289">
        <v>5.5704821723394007</v>
      </c>
      <c r="BN289">
        <v>5.5676133987801002</v>
      </c>
      <c r="BO289">
        <v>5.5809795695417996</v>
      </c>
      <c r="BP289">
        <v>5.6105512479869004</v>
      </c>
      <c r="BQ289">
        <v>5.6497872731387</v>
      </c>
      <c r="BR289">
        <v>5.7136142340553997</v>
      </c>
      <c r="BS289">
        <v>5.7781011212155997</v>
      </c>
      <c r="BT289">
        <v>5.8429346143868006</v>
      </c>
      <c r="BU289">
        <v>5.9077870911780996</v>
      </c>
      <c r="BV289">
        <v>5.9723164731926</v>
      </c>
      <c r="BW289">
        <v>6.0361662603052997</v>
      </c>
      <c r="BX289">
        <v>6.0989657671490001</v>
      </c>
      <c r="BY289">
        <v>6.1603305757552</v>
      </c>
      <c r="BZ289">
        <v>6.2198632178365001</v>
      </c>
      <c r="CA289">
        <v>6.2771540993535</v>
      </c>
      <c r="CB289">
        <v>6.3317826787847</v>
      </c>
      <c r="CC289">
        <v>6.3887287893596998</v>
      </c>
      <c r="CD289">
        <v>6.4480457347737996</v>
      </c>
      <c r="CE289">
        <v>6.5097893518598999</v>
      </c>
      <c r="CF289">
        <v>6.5740180976118001</v>
      </c>
      <c r="CG289">
        <v>6.6407931407772001</v>
      </c>
      <c r="CH289">
        <v>6.7101784582186994</v>
      </c>
      <c r="CI289">
        <v>6.7822409362542002</v>
      </c>
      <c r="CJ289">
        <v>6.8570504772011001</v>
      </c>
      <c r="CK289">
        <v>6.9346801113570002</v>
      </c>
      <c r="CL289">
        <v>7.0152061146698994</v>
      </c>
      <c r="CM289">
        <v>7.0987081323575998</v>
      </c>
      <c r="CN289">
        <v>7.1852693087567996</v>
      </c>
      <c r="CO289">
        <v>7.2749764236944996</v>
      </c>
      <c r="CP289">
        <v>7.3679200356901999</v>
      </c>
    </row>
    <row r="290" spans="4:94" x14ac:dyDescent="0.2">
      <c r="D290" t="s">
        <v>0</v>
      </c>
      <c r="E290" t="s">
        <v>1</v>
      </c>
      <c r="F290" t="s">
        <v>14</v>
      </c>
      <c r="G290" t="s">
        <v>24</v>
      </c>
      <c r="K290" t="s">
        <v>16</v>
      </c>
      <c r="M290" t="s">
        <v>6</v>
      </c>
      <c r="N290">
        <v>1</v>
      </c>
      <c r="O290">
        <v>1</v>
      </c>
      <c r="P290">
        <v>0</v>
      </c>
      <c r="Q290" t="s">
        <v>238</v>
      </c>
      <c r="S290">
        <v>0</v>
      </c>
      <c r="T290">
        <v>0</v>
      </c>
      <c r="U290">
        <v>0</v>
      </c>
      <c r="V290">
        <v>0</v>
      </c>
      <c r="W290">
        <v>0</v>
      </c>
      <c r="X290">
        <v>0</v>
      </c>
      <c r="Y290">
        <v>0</v>
      </c>
      <c r="Z290">
        <v>0</v>
      </c>
      <c r="AA290">
        <v>0</v>
      </c>
      <c r="AB290">
        <v>0</v>
      </c>
      <c r="AC290">
        <v>0</v>
      </c>
      <c r="AD290">
        <v>0</v>
      </c>
      <c r="AE290">
        <v>0</v>
      </c>
      <c r="AF290">
        <v>0</v>
      </c>
      <c r="AG290">
        <v>0</v>
      </c>
      <c r="AH290">
        <v>0</v>
      </c>
      <c r="AI290">
        <v>0</v>
      </c>
      <c r="AJ290">
        <v>0</v>
      </c>
      <c r="AK290">
        <v>0</v>
      </c>
      <c r="AL290">
        <v>0</v>
      </c>
      <c r="AM290">
        <v>0</v>
      </c>
      <c r="AN290">
        <v>0</v>
      </c>
      <c r="AO290">
        <v>0</v>
      </c>
      <c r="AP290">
        <v>0</v>
      </c>
      <c r="AQ290">
        <v>0</v>
      </c>
      <c r="AR290">
        <v>0.15333361755450001</v>
      </c>
      <c r="AS290">
        <v>0.1382337079223</v>
      </c>
      <c r="AT290">
        <v>0.14266690279079999</v>
      </c>
      <c r="AU290">
        <v>0.14253569843069999</v>
      </c>
      <c r="AV290">
        <v>0.14233616597910001</v>
      </c>
      <c r="AW290">
        <v>0.14207159543949999</v>
      </c>
      <c r="AX290">
        <v>0.1417567965781</v>
      </c>
      <c r="AY290">
        <v>0.14204924304399999</v>
      </c>
      <c r="AZ290">
        <v>0.14171588228349999</v>
      </c>
      <c r="BA290">
        <v>0.1412920795583</v>
      </c>
      <c r="BB290">
        <v>0.13906616365220001</v>
      </c>
      <c r="BC290">
        <v>0.13574817686910001</v>
      </c>
      <c r="BD290">
        <v>0.1309138811511</v>
      </c>
      <c r="BE290">
        <v>0.1237953581798</v>
      </c>
      <c r="BF290">
        <v>0.1139750804184</v>
      </c>
      <c r="BG290">
        <v>0.1016419054638</v>
      </c>
      <c r="BH290">
        <v>8.7676243644836796E-2</v>
      </c>
      <c r="BI290">
        <v>7.3416699099573199E-2</v>
      </c>
      <c r="BJ290">
        <v>6.0193246973677901E-2</v>
      </c>
      <c r="BK290">
        <v>4.8914745350330302E-2</v>
      </c>
      <c r="BL290">
        <v>3.9932884590537898E-2</v>
      </c>
      <c r="BM290">
        <v>3.3141609266051003E-2</v>
      </c>
      <c r="BN290">
        <v>2.83771877578603E-2</v>
      </c>
      <c r="BO290">
        <v>2.51038964929131E-2</v>
      </c>
      <c r="BP290">
        <v>2.2866704864693301E-2</v>
      </c>
      <c r="BQ290">
        <v>2.1355117735895799E-2</v>
      </c>
      <c r="BR290">
        <v>2.1452145192723201E-2</v>
      </c>
      <c r="BS290">
        <v>2.1536180830463599E-2</v>
      </c>
      <c r="BT290">
        <v>2.1606681970381299E-2</v>
      </c>
      <c r="BU290">
        <v>2.1664303800581201E-2</v>
      </c>
      <c r="BV290">
        <v>2.1708034918508201E-2</v>
      </c>
      <c r="BW290">
        <v>2.17359629269155E-2</v>
      </c>
      <c r="BX290">
        <v>2.1746429243958199E-2</v>
      </c>
      <c r="BY290">
        <v>2.1738011629914299E-2</v>
      </c>
      <c r="BZ290">
        <v>2.1710893648270699E-2</v>
      </c>
      <c r="CA290">
        <v>2.1664884896335401E-2</v>
      </c>
      <c r="CB290">
        <v>2.1598593433070402E-2</v>
      </c>
      <c r="CC290">
        <v>2.1537430938463799E-2</v>
      </c>
      <c r="CD290">
        <v>2.1481541733986899E-2</v>
      </c>
      <c r="CE290">
        <v>2.14320600163787E-2</v>
      </c>
      <c r="CF290">
        <v>2.1390333348379299E-2</v>
      </c>
      <c r="CG290">
        <v>2.1354481384511001E-2</v>
      </c>
      <c r="CH290">
        <v>2.13241668049911E-2</v>
      </c>
      <c r="CI290">
        <v>2.13019687749934E-2</v>
      </c>
      <c r="CJ290">
        <v>2.12873232311536E-2</v>
      </c>
      <c r="CK290">
        <v>2.1280938033820401E-2</v>
      </c>
      <c r="CL290">
        <v>2.1282891031578498E-2</v>
      </c>
      <c r="CM290">
        <v>2.1292779246687699E-2</v>
      </c>
      <c r="CN290">
        <v>2.1311432431516002E-2</v>
      </c>
      <c r="CO290">
        <v>2.13392469522223E-2</v>
      </c>
      <c r="CP290">
        <v>2.1374956389413301E-2</v>
      </c>
    </row>
    <row r="291" spans="4:94" x14ac:dyDescent="0.2">
      <c r="D291" t="s">
        <v>0</v>
      </c>
      <c r="E291" t="s">
        <v>1</v>
      </c>
      <c r="F291" t="s">
        <v>14</v>
      </c>
      <c r="G291" t="s">
        <v>24</v>
      </c>
      <c r="K291" t="s">
        <v>16</v>
      </c>
      <c r="M291" t="s">
        <v>7</v>
      </c>
      <c r="N291">
        <v>1</v>
      </c>
      <c r="O291">
        <v>1</v>
      </c>
      <c r="P291">
        <v>0</v>
      </c>
      <c r="Q291" t="s">
        <v>239</v>
      </c>
      <c r="S291">
        <v>0</v>
      </c>
      <c r="T291">
        <v>0</v>
      </c>
      <c r="U291">
        <v>0</v>
      </c>
      <c r="V291">
        <v>0</v>
      </c>
      <c r="W291">
        <v>0</v>
      </c>
      <c r="X291">
        <v>0</v>
      </c>
      <c r="Y291">
        <v>0</v>
      </c>
      <c r="Z291">
        <v>0</v>
      </c>
      <c r="AA291">
        <v>0</v>
      </c>
      <c r="AB291">
        <v>0</v>
      </c>
      <c r="AC291">
        <v>0</v>
      </c>
      <c r="AD291">
        <v>0</v>
      </c>
      <c r="AE291">
        <v>0</v>
      </c>
      <c r="AF291">
        <v>0</v>
      </c>
      <c r="AG291">
        <v>0</v>
      </c>
      <c r="AH291">
        <v>0</v>
      </c>
      <c r="AI291">
        <v>0</v>
      </c>
      <c r="AJ291">
        <v>0</v>
      </c>
      <c r="AK291">
        <v>0</v>
      </c>
      <c r="AL291">
        <v>0</v>
      </c>
      <c r="AM291">
        <v>0</v>
      </c>
      <c r="AN291">
        <v>0</v>
      </c>
      <c r="AO291">
        <v>0</v>
      </c>
      <c r="AP291">
        <v>0</v>
      </c>
      <c r="AQ291">
        <v>0</v>
      </c>
      <c r="AR291">
        <v>18.806291849882001</v>
      </c>
      <c r="AS291">
        <v>16.954295451574801</v>
      </c>
      <c r="AT291">
        <v>17.498024594957801</v>
      </c>
      <c r="AU291">
        <v>17.4819324455135</v>
      </c>
      <c r="AV291">
        <v>17.4574598896656</v>
      </c>
      <c r="AW291">
        <v>17.4250104447135</v>
      </c>
      <c r="AX291">
        <v>17.386400521097901</v>
      </c>
      <c r="AY291">
        <v>17.584242627682698</v>
      </c>
      <c r="AZ291">
        <v>17.788639389103999</v>
      </c>
      <c r="BA291">
        <v>18.107374461433501</v>
      </c>
      <c r="BB291">
        <v>18.377048024569898</v>
      </c>
      <c r="BC291">
        <v>18.7576196472627</v>
      </c>
      <c r="BD291">
        <v>19.2791726502324</v>
      </c>
      <c r="BE291">
        <v>19.914925320180899</v>
      </c>
      <c r="BF291">
        <v>20.6359115270755</v>
      </c>
      <c r="BG291">
        <v>21.407911334542099</v>
      </c>
      <c r="BH291">
        <v>22.1907008411983</v>
      </c>
      <c r="BI291">
        <v>22.941056081146399</v>
      </c>
      <c r="BJ291">
        <v>23.618543210699801</v>
      </c>
      <c r="BK291">
        <v>24.1908811244198</v>
      </c>
      <c r="BL291">
        <v>24.639252093804998</v>
      </c>
      <c r="BM291">
        <v>24.9526799981954</v>
      </c>
      <c r="BN291">
        <v>25.295191573321699</v>
      </c>
      <c r="BO291">
        <v>25.625602377579298</v>
      </c>
      <c r="BP291">
        <v>25.890594160403801</v>
      </c>
      <c r="BQ291">
        <v>26.090051621468699</v>
      </c>
      <c r="BR291">
        <v>26.208592356698201</v>
      </c>
      <c r="BS291">
        <v>26.311260679758</v>
      </c>
      <c r="BT291">
        <v>26.397393587222101</v>
      </c>
      <c r="BU291">
        <v>26.4677915378692</v>
      </c>
      <c r="BV291">
        <v>26.5212188773151</v>
      </c>
      <c r="BW291">
        <v>26.555339184683199</v>
      </c>
      <c r="BX291">
        <v>26.568126131367698</v>
      </c>
      <c r="BY291">
        <v>26.557842133515202</v>
      </c>
      <c r="BZ291">
        <v>26.5247114549725</v>
      </c>
      <c r="CA291">
        <v>26.468501476274199</v>
      </c>
      <c r="CB291">
        <v>26.387511630184999</v>
      </c>
      <c r="CC291">
        <v>26.3127879662221</v>
      </c>
      <c r="CD291">
        <v>26.244506805335298</v>
      </c>
      <c r="CE291">
        <v>26.184053822463301</v>
      </c>
      <c r="CF291">
        <v>26.133075366827601</v>
      </c>
      <c r="CG291">
        <v>26.089274175955001</v>
      </c>
      <c r="CH291">
        <v>26.052238138301799</v>
      </c>
      <c r="CI291">
        <v>26.0251182808652</v>
      </c>
      <c r="CJ291">
        <v>26.007225474113799</v>
      </c>
      <c r="CK291">
        <v>25.999424527750701</v>
      </c>
      <c r="CL291">
        <v>26.0018105512302</v>
      </c>
      <c r="CM291">
        <v>26.013891217131</v>
      </c>
      <c r="CN291">
        <v>26.036680253515399</v>
      </c>
      <c r="CO291">
        <v>26.070661910279298</v>
      </c>
      <c r="CP291">
        <v>26.1142889729445</v>
      </c>
    </row>
    <row r="292" spans="4:94" x14ac:dyDescent="0.2">
      <c r="D292" t="s">
        <v>0</v>
      </c>
      <c r="E292" t="s">
        <v>1</v>
      </c>
      <c r="F292" t="s">
        <v>14</v>
      </c>
      <c r="G292" t="s">
        <v>24</v>
      </c>
      <c r="K292" t="s">
        <v>16</v>
      </c>
      <c r="M292" t="s">
        <v>8</v>
      </c>
      <c r="N292">
        <v>1</v>
      </c>
      <c r="O292">
        <v>1</v>
      </c>
      <c r="P292">
        <v>0</v>
      </c>
      <c r="Q292" t="s">
        <v>240</v>
      </c>
      <c r="S292">
        <v>0</v>
      </c>
      <c r="T292">
        <v>0</v>
      </c>
      <c r="U292">
        <v>0</v>
      </c>
      <c r="V292">
        <v>0</v>
      </c>
      <c r="W292">
        <v>0</v>
      </c>
      <c r="X292">
        <v>0</v>
      </c>
      <c r="Y292">
        <v>0</v>
      </c>
      <c r="Z292">
        <v>0</v>
      </c>
      <c r="AA292">
        <v>0</v>
      </c>
      <c r="AB292">
        <v>0</v>
      </c>
      <c r="AC292">
        <v>0</v>
      </c>
      <c r="AD292">
        <v>0</v>
      </c>
      <c r="AE292">
        <v>0</v>
      </c>
      <c r="AF292">
        <v>0</v>
      </c>
      <c r="AG292">
        <v>0</v>
      </c>
      <c r="AH292">
        <v>0</v>
      </c>
      <c r="AI292">
        <v>0</v>
      </c>
      <c r="AJ292">
        <v>0</v>
      </c>
      <c r="AK292">
        <v>0</v>
      </c>
      <c r="AL292">
        <v>0</v>
      </c>
      <c r="AM292">
        <v>0</v>
      </c>
      <c r="AN292">
        <v>0</v>
      </c>
      <c r="AO292">
        <v>0</v>
      </c>
      <c r="AP292">
        <v>0</v>
      </c>
      <c r="AQ292">
        <v>0</v>
      </c>
      <c r="AR292">
        <v>8.5258908294922497E-2</v>
      </c>
      <c r="AS292">
        <v>7.68628250932894E-2</v>
      </c>
      <c r="AT292">
        <v>7.9327838055069308E-2</v>
      </c>
      <c r="AU292">
        <v>7.9254883795681005E-2</v>
      </c>
      <c r="AV292">
        <v>7.91439367035362E-2</v>
      </c>
      <c r="AW292">
        <v>7.8996826136845111E-2</v>
      </c>
      <c r="AX292">
        <v>7.882178684876559E-2</v>
      </c>
      <c r="AY292">
        <v>7.9401613748695407E-2</v>
      </c>
      <c r="AZ292">
        <v>7.9848060900680903E-2</v>
      </c>
      <c r="BA292">
        <v>8.0567307705630503E-2</v>
      </c>
      <c r="BB292">
        <v>8.0727472708767303E-2</v>
      </c>
      <c r="BC292">
        <v>8.09110734128239E-2</v>
      </c>
      <c r="BD292">
        <v>8.1093734902828396E-2</v>
      </c>
      <c r="BE292">
        <v>8.1022086204492597E-2</v>
      </c>
      <c r="BF292">
        <v>8.0521262461288906E-2</v>
      </c>
      <c r="BG292">
        <v>7.9548465861577794E-2</v>
      </c>
      <c r="BH292">
        <v>7.8211483065064411E-2</v>
      </c>
      <c r="BI292">
        <v>7.6720390610066191E-2</v>
      </c>
      <c r="BJ292">
        <v>7.5290379990215095E-2</v>
      </c>
      <c r="BK292">
        <v>7.4056527767712904E-2</v>
      </c>
      <c r="BL292">
        <v>7.3054807558051701E-2</v>
      </c>
      <c r="BM292">
        <v>7.2231481654404295E-2</v>
      </c>
      <c r="BN292">
        <v>7.1969740856298897E-2</v>
      </c>
      <c r="BO292">
        <v>7.2034867832923996E-2</v>
      </c>
      <c r="BP292">
        <v>7.2180265947716801E-2</v>
      </c>
      <c r="BQ292">
        <v>7.2331084804395096E-2</v>
      </c>
      <c r="BR292">
        <v>7.2659722711941502E-2</v>
      </c>
      <c r="BS292">
        <v>7.2944356536730509E-2</v>
      </c>
      <c r="BT292">
        <v>7.3183148192823108E-2</v>
      </c>
      <c r="BU292">
        <v>7.33783168422453E-2</v>
      </c>
      <c r="BV292">
        <v>7.352643680292599E-2</v>
      </c>
      <c r="BW292">
        <v>7.3621030668879192E-2</v>
      </c>
      <c r="BX292">
        <v>7.3656480722349593E-2</v>
      </c>
      <c r="BY292">
        <v>7.3627969750750602E-2</v>
      </c>
      <c r="BZ292">
        <v>7.3536119494795993E-2</v>
      </c>
      <c r="CA292">
        <v>7.3380285048967195E-2</v>
      </c>
      <c r="CB292">
        <v>7.3155751824167101E-2</v>
      </c>
      <c r="CC292">
        <v>7.29485907286887E-2</v>
      </c>
      <c r="CD292">
        <v>7.275929058814809E-2</v>
      </c>
      <c r="CE292">
        <v>7.2591692995999713E-2</v>
      </c>
      <c r="CF292">
        <v>7.2450362229342299E-2</v>
      </c>
      <c r="CG292">
        <v>7.2328929443485707E-2</v>
      </c>
      <c r="CH292">
        <v>7.2226252115775602E-2</v>
      </c>
      <c r="CI292">
        <v>7.2151066035786693E-2</v>
      </c>
      <c r="CJ292">
        <v>7.2101460686540705E-2</v>
      </c>
      <c r="CK292">
        <v>7.2079833634163301E-2</v>
      </c>
      <c r="CL292">
        <v>7.2086448556554009E-2</v>
      </c>
      <c r="CM292">
        <v>7.2119940543555097E-2</v>
      </c>
      <c r="CN292">
        <v>7.2183120016989802E-2</v>
      </c>
      <c r="CO292">
        <v>7.2277329493185702E-2</v>
      </c>
      <c r="CP292">
        <v>7.2398279532502899E-2</v>
      </c>
    </row>
    <row r="293" spans="4:94" x14ac:dyDescent="0.2">
      <c r="D293" t="s">
        <v>0</v>
      </c>
      <c r="E293" t="s">
        <v>1</v>
      </c>
      <c r="F293" t="s">
        <v>25</v>
      </c>
      <c r="G293" t="s">
        <v>26</v>
      </c>
      <c r="K293" t="s">
        <v>27</v>
      </c>
      <c r="M293" t="s">
        <v>6</v>
      </c>
      <c r="N293">
        <v>1</v>
      </c>
      <c r="O293">
        <v>1</v>
      </c>
      <c r="P293">
        <v>0</v>
      </c>
      <c r="Q293" t="s">
        <v>241</v>
      </c>
      <c r="S293">
        <v>0</v>
      </c>
      <c r="T293">
        <v>0</v>
      </c>
      <c r="U293">
        <v>2.7900000000000001E-2</v>
      </c>
      <c r="V293">
        <v>2.7900000000000001E-2</v>
      </c>
      <c r="W293">
        <v>2.7900000000000001E-2</v>
      </c>
      <c r="X293">
        <v>2.7900000000000001E-2</v>
      </c>
      <c r="Y293">
        <v>2.7900000000000001E-2</v>
      </c>
      <c r="Z293">
        <v>2.7900000000000001E-2</v>
      </c>
      <c r="AA293">
        <v>2.7900000000000001E-2</v>
      </c>
      <c r="AB293">
        <v>2.7900000000000001E-2</v>
      </c>
      <c r="AC293">
        <v>2.7900000000000001E-2</v>
      </c>
      <c r="AD293">
        <v>2.7900000000000001E-2</v>
      </c>
      <c r="AE293">
        <v>5.5800000000000002E-2</v>
      </c>
      <c r="AF293">
        <v>2.7900000000000001E-2</v>
      </c>
      <c r="AG293">
        <v>5.5800000000000002E-2</v>
      </c>
      <c r="AH293">
        <v>5.5800000000000002E-2</v>
      </c>
      <c r="AI293">
        <v>5.5800000000000002E-2</v>
      </c>
      <c r="AJ293">
        <v>5.5800000000000002E-2</v>
      </c>
      <c r="AK293">
        <v>5.5800000000000002E-2</v>
      </c>
      <c r="AL293">
        <v>5.5800000000000002E-2</v>
      </c>
      <c r="AM293">
        <v>5.5800000000000002E-2</v>
      </c>
      <c r="AN293">
        <v>5.5800000000000002E-2</v>
      </c>
      <c r="AO293">
        <v>5.5800000000000002E-2</v>
      </c>
      <c r="AP293">
        <v>5.5800000000000002E-2</v>
      </c>
      <c r="AQ293">
        <v>5.5800000000000002E-2</v>
      </c>
      <c r="AR293">
        <v>1.31956728869252E-2</v>
      </c>
      <c r="AS293">
        <v>1.3658144394715899E-2</v>
      </c>
      <c r="AT293">
        <v>1.43048571341959E-2</v>
      </c>
      <c r="AU293">
        <v>1.5110487150107399E-2</v>
      </c>
      <c r="AV293">
        <v>1.60981050386667E-2</v>
      </c>
      <c r="AW293">
        <v>1.7247979840702501E-2</v>
      </c>
      <c r="AX293">
        <v>1.8639065799498099E-2</v>
      </c>
      <c r="AY293">
        <v>2.05319359384654E-2</v>
      </c>
      <c r="AZ293">
        <v>2.2826053931211399E-2</v>
      </c>
      <c r="BA293">
        <v>2.55503535519273E-2</v>
      </c>
      <c r="BB293">
        <v>2.8562493104166801E-2</v>
      </c>
      <c r="BC293">
        <v>3.13058027292729E-2</v>
      </c>
      <c r="BD293">
        <v>3.4315754791656702E-2</v>
      </c>
      <c r="BE293">
        <v>3.7618949079747187E-2</v>
      </c>
      <c r="BF293">
        <v>4.1244683617004903E-2</v>
      </c>
      <c r="BG293">
        <v>4.5226340529064088E-2</v>
      </c>
      <c r="BH293">
        <v>4.9599803955642001E-2</v>
      </c>
      <c r="BI293">
        <v>5.4404602329296101E-2</v>
      </c>
      <c r="BJ293">
        <v>5.9684261534118703E-2</v>
      </c>
      <c r="BK293">
        <v>6.5486680871983796E-2</v>
      </c>
      <c r="BL293">
        <v>7.1370425607358901E-2</v>
      </c>
      <c r="BM293">
        <v>7.7236552968930311E-2</v>
      </c>
      <c r="BN293">
        <v>8.3044906089119602E-2</v>
      </c>
      <c r="BO293">
        <v>8.86169623671932E-2</v>
      </c>
      <c r="BP293">
        <v>9.3829028057026406E-2</v>
      </c>
      <c r="BQ293">
        <v>9.8558940349780189E-2</v>
      </c>
      <c r="BR293">
        <v>0.1026845265599</v>
      </c>
      <c r="BS293">
        <v>0.106688618067</v>
      </c>
      <c r="BT293">
        <v>0.1105427681668</v>
      </c>
      <c r="BU293">
        <v>0.1142230525552</v>
      </c>
      <c r="BV293">
        <v>0.11770119976649999</v>
      </c>
      <c r="BW293">
        <v>0.1218258171187</v>
      </c>
      <c r="BX293">
        <v>0.12576486720899999</v>
      </c>
      <c r="BY293">
        <v>0.12948581529539999</v>
      </c>
      <c r="BZ293">
        <v>0.13296283058880001</v>
      </c>
      <c r="CA293">
        <v>0.1361703518172</v>
      </c>
      <c r="CB293">
        <v>0.13908019455250001</v>
      </c>
      <c r="CC293">
        <v>0.1420737672878</v>
      </c>
      <c r="CD293">
        <v>0.14515347657239999</v>
      </c>
      <c r="CE293">
        <v>0.14832561748020001</v>
      </c>
      <c r="CF293">
        <v>0.15159754120089999</v>
      </c>
      <c r="CG293">
        <v>0.15496430577029999</v>
      </c>
      <c r="CH293">
        <v>0.1584268682502</v>
      </c>
      <c r="CI293">
        <v>0.1619978323297</v>
      </c>
      <c r="CJ293">
        <v>0.16567769522029999</v>
      </c>
      <c r="CK293">
        <v>0.16947215827080001</v>
      </c>
      <c r="CL293">
        <v>0.17338458854460001</v>
      </c>
      <c r="CM293">
        <v>0.17741648685540001</v>
      </c>
      <c r="CN293">
        <v>0.1815746285009</v>
      </c>
      <c r="CO293">
        <v>0.18586425905830001</v>
      </c>
      <c r="CP293">
        <v>0.1902835820664</v>
      </c>
    </row>
    <row r="294" spans="4:94" x14ac:dyDescent="0.2">
      <c r="D294" t="s">
        <v>0</v>
      </c>
      <c r="E294" t="s">
        <v>1</v>
      </c>
      <c r="F294" t="s">
        <v>25</v>
      </c>
      <c r="G294" t="s">
        <v>26</v>
      </c>
      <c r="K294" t="s">
        <v>27</v>
      </c>
      <c r="M294" t="s">
        <v>7</v>
      </c>
      <c r="N294">
        <v>1</v>
      </c>
      <c r="O294">
        <v>1</v>
      </c>
      <c r="P294">
        <v>0</v>
      </c>
      <c r="Q294" t="s">
        <v>242</v>
      </c>
      <c r="S294">
        <v>70.207999999999998</v>
      </c>
      <c r="T294">
        <v>70.207999999999998</v>
      </c>
      <c r="U294">
        <v>118.247</v>
      </c>
      <c r="V294">
        <v>160.79400000000001</v>
      </c>
      <c r="W294">
        <v>124.982</v>
      </c>
      <c r="X294">
        <v>94.525999999999996</v>
      </c>
      <c r="Y294">
        <v>129.94800000000001</v>
      </c>
      <c r="Z294">
        <v>129.94800000000001</v>
      </c>
      <c r="AA294">
        <v>162.34100000000001</v>
      </c>
      <c r="AB294">
        <v>185.48099999999999</v>
      </c>
      <c r="AC294">
        <v>208.45400000000001</v>
      </c>
      <c r="AD294">
        <v>210.94499999999999</v>
      </c>
      <c r="AE294">
        <v>217.08699999999999</v>
      </c>
      <c r="AF294">
        <v>104.47499999999999</v>
      </c>
      <c r="AG294">
        <v>261.38299999999998</v>
      </c>
      <c r="AH294">
        <v>276.36900000000003</v>
      </c>
      <c r="AI294">
        <v>263.97800000000001</v>
      </c>
      <c r="AJ294">
        <v>318.375</v>
      </c>
      <c r="AK294">
        <v>290.61900000000003</v>
      </c>
      <c r="AL294">
        <v>353.96800000000002</v>
      </c>
      <c r="AM294">
        <v>326.71899999999999</v>
      </c>
      <c r="AN294">
        <v>315.05</v>
      </c>
      <c r="AO294">
        <v>321.20699999999999</v>
      </c>
      <c r="AP294">
        <v>326.68400000000003</v>
      </c>
      <c r="AQ294">
        <v>344.25799999999998</v>
      </c>
      <c r="AR294">
        <v>124.928860001777</v>
      </c>
      <c r="AS294">
        <v>129.30726788947399</v>
      </c>
      <c r="AT294">
        <v>135.429963259705</v>
      </c>
      <c r="AU294">
        <v>143.057193817289</v>
      </c>
      <c r="AV294">
        <v>152.40737838099801</v>
      </c>
      <c r="AW294">
        <v>163.29371584889901</v>
      </c>
      <c r="AX294">
        <v>176.46369850048501</v>
      </c>
      <c r="AY294">
        <v>194.38427827075901</v>
      </c>
      <c r="AZ294">
        <v>216.10363642697001</v>
      </c>
      <c r="BA294">
        <v>241.895700904146</v>
      </c>
      <c r="BB294">
        <v>270.41286434492798</v>
      </c>
      <c r="BC294">
        <v>296.38490434873802</v>
      </c>
      <c r="BD294">
        <v>324.88135792377199</v>
      </c>
      <c r="BE294">
        <v>356.15405620234299</v>
      </c>
      <c r="BF294">
        <v>390.48037561705598</v>
      </c>
      <c r="BG294">
        <v>428.17635847478698</v>
      </c>
      <c r="BH294">
        <v>469.581734678315</v>
      </c>
      <c r="BI294">
        <v>515.07073614892295</v>
      </c>
      <c r="BJ294">
        <v>565.05544032494402</v>
      </c>
      <c r="BK294">
        <v>619.98932958914202</v>
      </c>
      <c r="BL294">
        <v>675.69315982414503</v>
      </c>
      <c r="BM294">
        <v>731.23019913895109</v>
      </c>
      <c r="BN294">
        <v>786.22026595963803</v>
      </c>
      <c r="BO294">
        <v>838.973213433448</v>
      </c>
      <c r="BP294">
        <v>888.31798201490892</v>
      </c>
      <c r="BQ294">
        <v>933.098006171615</v>
      </c>
      <c r="BR294">
        <v>972.15662686445899</v>
      </c>
      <c r="BS294">
        <v>1010.0650072567799</v>
      </c>
      <c r="BT294">
        <v>1046.5538307038</v>
      </c>
      <c r="BU294">
        <v>1081.39659598515</v>
      </c>
      <c r="BV294">
        <v>1114.32564551173</v>
      </c>
      <c r="BW294">
        <v>1153.3750936277299</v>
      </c>
      <c r="BX294">
        <v>1190.6677001882299</v>
      </c>
      <c r="BY294">
        <v>1225.8954454148</v>
      </c>
      <c r="BZ294">
        <v>1258.8137786090799</v>
      </c>
      <c r="CA294">
        <v>1289.1807006997001</v>
      </c>
      <c r="CB294">
        <v>1316.7293781201699</v>
      </c>
      <c r="CC294">
        <v>1345.07076187183</v>
      </c>
      <c r="CD294">
        <v>1374.22763574702</v>
      </c>
      <c r="CE294">
        <v>1404.25959779802</v>
      </c>
      <c r="CF294">
        <v>1435.23624475987</v>
      </c>
      <c r="CG294">
        <v>1467.11078902543</v>
      </c>
      <c r="CH294">
        <v>1499.89229149277</v>
      </c>
      <c r="CI294">
        <v>1533.7000764674499</v>
      </c>
      <c r="CJ294">
        <v>1568.5388512555701</v>
      </c>
      <c r="CK294">
        <v>1604.46259287046</v>
      </c>
      <c r="CL294">
        <v>1641.50317868451</v>
      </c>
      <c r="CM294">
        <v>1679.6748175181001</v>
      </c>
      <c r="CN294">
        <v>1719.0416539006801</v>
      </c>
      <c r="CO294">
        <v>1759.6533498680701</v>
      </c>
      <c r="CP294">
        <v>1801.49289758276</v>
      </c>
    </row>
    <row r="295" spans="4:94" x14ac:dyDescent="0.2">
      <c r="D295" t="s">
        <v>0</v>
      </c>
      <c r="E295" t="s">
        <v>1</v>
      </c>
      <c r="F295" t="s">
        <v>25</v>
      </c>
      <c r="G295" t="s">
        <v>26</v>
      </c>
      <c r="K295" t="s">
        <v>27</v>
      </c>
      <c r="M295" t="s">
        <v>8</v>
      </c>
      <c r="N295">
        <v>1</v>
      </c>
      <c r="O295">
        <v>1</v>
      </c>
      <c r="P295">
        <v>0</v>
      </c>
      <c r="Q295" t="s">
        <v>243</v>
      </c>
      <c r="S295">
        <v>0.54600000000000004</v>
      </c>
      <c r="T295">
        <v>0.54600000000000004</v>
      </c>
      <c r="U295">
        <v>0.81900000000000006</v>
      </c>
      <c r="V295">
        <v>1.0920000000000001</v>
      </c>
      <c r="W295">
        <v>0.81900000000000006</v>
      </c>
      <c r="X295">
        <v>0.81900000000000006</v>
      </c>
      <c r="Y295">
        <v>1.0920000000000001</v>
      </c>
      <c r="Z295">
        <v>1.0920000000000001</v>
      </c>
      <c r="AA295">
        <v>1.365</v>
      </c>
      <c r="AB295">
        <v>1.365</v>
      </c>
      <c r="AC295">
        <v>1.6379999999999999</v>
      </c>
      <c r="AD295">
        <v>1.6379999999999999</v>
      </c>
      <c r="AE295">
        <v>1.6379999999999999</v>
      </c>
      <c r="AF295">
        <v>0.81900000000000006</v>
      </c>
      <c r="AG295">
        <v>1.911</v>
      </c>
      <c r="AH295">
        <v>2.1840000000000002</v>
      </c>
      <c r="AI295">
        <v>1.911</v>
      </c>
      <c r="AJ295">
        <v>2.4569999999999999</v>
      </c>
      <c r="AK295">
        <v>2.1840000000000002</v>
      </c>
      <c r="AL295">
        <v>2.73</v>
      </c>
      <c r="AM295">
        <v>2.4569999999999999</v>
      </c>
      <c r="AN295">
        <v>2.4569999999999999</v>
      </c>
      <c r="AO295">
        <v>2.4569999999999999</v>
      </c>
      <c r="AP295">
        <v>2.4569999999999999</v>
      </c>
      <c r="AQ295">
        <v>2.73</v>
      </c>
      <c r="AR295">
        <v>0.37792693503789998</v>
      </c>
      <c r="AS295">
        <v>0.39117221938070001</v>
      </c>
      <c r="AT295">
        <v>0.40969421258080002</v>
      </c>
      <c r="AU295">
        <v>0.43276763106400001</v>
      </c>
      <c r="AV295">
        <v>0.46105322171259999</v>
      </c>
      <c r="AW295">
        <v>0.4939858855741</v>
      </c>
      <c r="AX295">
        <v>0.53382688930970001</v>
      </c>
      <c r="AY295">
        <v>0.58803910085619993</v>
      </c>
      <c r="AZ295">
        <v>0.65374313800869999</v>
      </c>
      <c r="BA295">
        <v>0.73176767033870005</v>
      </c>
      <c r="BB295">
        <v>0.8180360007709</v>
      </c>
      <c r="BC295">
        <v>0.89660498375199993</v>
      </c>
      <c r="BD295">
        <v>0.98281066399999994</v>
      </c>
      <c r="BE295">
        <v>1.077414865228</v>
      </c>
      <c r="BF295">
        <v>1.1812566891856999</v>
      </c>
      <c r="BG295">
        <v>1.2952922071954001</v>
      </c>
      <c r="BH295">
        <v>1.4205491488058</v>
      </c>
      <c r="BI295">
        <v>1.5581596169031999</v>
      </c>
      <c r="BJ295">
        <v>1.7093702022537001</v>
      </c>
      <c r="BK295">
        <v>1.8755527512582999</v>
      </c>
      <c r="BL295">
        <v>2.0440644772940999</v>
      </c>
      <c r="BM295">
        <v>2.2120716379215999</v>
      </c>
      <c r="BN295">
        <v>2.3784241317391999</v>
      </c>
      <c r="BO295">
        <v>2.5380090327197999</v>
      </c>
      <c r="BP295">
        <v>2.6872837251317998</v>
      </c>
      <c r="BQ295">
        <v>2.8227494396210999</v>
      </c>
      <c r="BR295">
        <v>2.9409071239628002</v>
      </c>
      <c r="BS295">
        <v>3.0555851736442001</v>
      </c>
      <c r="BT295">
        <v>3.1659688688791001</v>
      </c>
      <c r="BU295">
        <v>3.271373012412</v>
      </c>
      <c r="BV295">
        <v>3.3709879033275998</v>
      </c>
      <c r="BW295">
        <v>3.4891178393664002</v>
      </c>
      <c r="BX295">
        <v>3.6019330887554002</v>
      </c>
      <c r="BY295">
        <v>3.7085018494211002</v>
      </c>
      <c r="BZ295">
        <v>3.8080843219618998</v>
      </c>
      <c r="CA295">
        <v>3.8999484259975001</v>
      </c>
      <c r="CB295">
        <v>3.9832869533939999</v>
      </c>
      <c r="CC295">
        <v>4.0690235261591008</v>
      </c>
      <c r="CD295">
        <v>4.1572270683892993</v>
      </c>
      <c r="CE295">
        <v>4.2480778723664994</v>
      </c>
      <c r="CF295">
        <v>4.3417864777590003</v>
      </c>
      <c r="CG295">
        <v>4.4382113456384999</v>
      </c>
      <c r="CH295">
        <v>4.5373798864645014</v>
      </c>
      <c r="CI295">
        <v>4.6396530726260004</v>
      </c>
      <c r="CJ295">
        <v>4.7450451443696</v>
      </c>
      <c r="CK295">
        <v>4.8537193895634001</v>
      </c>
      <c r="CL295">
        <v>4.9657722416306997</v>
      </c>
      <c r="CM295">
        <v>5.0812466842017994</v>
      </c>
      <c r="CN295">
        <v>5.2003367632756001</v>
      </c>
      <c r="CO295">
        <v>5.3231927133213999</v>
      </c>
      <c r="CP295">
        <v>5.4497630832980999</v>
      </c>
    </row>
    <row r="296" spans="4:94" x14ac:dyDescent="0.2">
      <c r="D296" t="s">
        <v>0</v>
      </c>
      <c r="E296" t="s">
        <v>1</v>
      </c>
      <c r="F296" t="s">
        <v>25</v>
      </c>
      <c r="G296" t="s">
        <v>28</v>
      </c>
      <c r="H296" t="s">
        <v>29</v>
      </c>
      <c r="K296" t="s">
        <v>27</v>
      </c>
      <c r="M296" t="s">
        <v>6</v>
      </c>
      <c r="N296">
        <v>1</v>
      </c>
      <c r="O296">
        <v>1</v>
      </c>
      <c r="P296">
        <v>0</v>
      </c>
      <c r="Q296" t="s">
        <v>244</v>
      </c>
      <c r="S296">
        <v>4.7987999999999991</v>
      </c>
      <c r="T296">
        <v>4.7987999999999991</v>
      </c>
      <c r="U296">
        <v>5.1056999999999997</v>
      </c>
      <c r="V296">
        <v>5.5521000000000003</v>
      </c>
      <c r="W296">
        <v>5.9984999999999999</v>
      </c>
      <c r="X296">
        <v>5.6916000000000002</v>
      </c>
      <c r="Y296">
        <v>5.8868999999999998</v>
      </c>
      <c r="Z296">
        <v>6.0821999999999994</v>
      </c>
      <c r="AA296">
        <v>5.8868999999999998</v>
      </c>
      <c r="AB296">
        <v>5.6916000000000002</v>
      </c>
      <c r="AC296">
        <v>5.3289</v>
      </c>
      <c r="AD296">
        <v>6.1658999999999997</v>
      </c>
      <c r="AE296">
        <v>6.0542999999999996</v>
      </c>
      <c r="AF296">
        <v>7.8957000000000006</v>
      </c>
      <c r="AG296">
        <v>9.1233000000000004</v>
      </c>
      <c r="AH296">
        <v>9.6255000000000006</v>
      </c>
      <c r="AI296">
        <v>11.0205</v>
      </c>
      <c r="AJ296">
        <v>14.3127</v>
      </c>
      <c r="AK296">
        <v>14.7033</v>
      </c>
      <c r="AL296">
        <v>16.014600000000002</v>
      </c>
      <c r="AM296">
        <v>16.4331</v>
      </c>
      <c r="AN296">
        <v>18.888300000000001</v>
      </c>
      <c r="AO296">
        <v>20.0322</v>
      </c>
      <c r="AP296">
        <v>16.126200000000001</v>
      </c>
      <c r="AQ296">
        <v>17.493300000000001</v>
      </c>
      <c r="AR296">
        <v>8.6170496714142004</v>
      </c>
      <c r="AS296">
        <v>8.8567123880129994</v>
      </c>
      <c r="AT296">
        <v>9.2009572216148001</v>
      </c>
      <c r="AU296">
        <v>9.6305927669577009</v>
      </c>
      <c r="AV296">
        <v>10.155467926831101</v>
      </c>
      <c r="AW296">
        <v>10.758603851838201</v>
      </c>
      <c r="AX296">
        <v>11.4800767077434</v>
      </c>
      <c r="AY296">
        <v>12.4588315955012</v>
      </c>
      <c r="AZ296">
        <v>13.6173491128098</v>
      </c>
      <c r="BA296">
        <v>14.9511313247231</v>
      </c>
      <c r="BB296">
        <v>16.3636225449374</v>
      </c>
      <c r="BC296">
        <v>17.562125125016099</v>
      </c>
      <c r="BD296">
        <v>18.822472671170001</v>
      </c>
      <c r="BE296">
        <v>20.149094333503498</v>
      </c>
      <c r="BF296">
        <v>21.547816852651401</v>
      </c>
      <c r="BG296">
        <v>23.026056979684199</v>
      </c>
      <c r="BH296">
        <v>24.5916796659547</v>
      </c>
      <c r="BI296">
        <v>26.253161588517699</v>
      </c>
      <c r="BJ296">
        <v>28.0193977182205</v>
      </c>
      <c r="BK296">
        <v>29.899544327654599</v>
      </c>
      <c r="BL296">
        <v>31.726024732677899</v>
      </c>
      <c r="BM296">
        <v>33.473816703530801</v>
      </c>
      <c r="BN296">
        <v>35.126276144697897</v>
      </c>
      <c r="BO296">
        <v>36.648080708783198</v>
      </c>
      <c r="BP296">
        <v>38.012737114619902</v>
      </c>
      <c r="BQ296">
        <v>39.194657408958598</v>
      </c>
      <c r="BR296">
        <v>40.169098469103098</v>
      </c>
      <c r="BS296">
        <v>41.088852386710499</v>
      </c>
      <c r="BT296">
        <v>41.945681140133402</v>
      </c>
      <c r="BU296">
        <v>42.7315954605942</v>
      </c>
      <c r="BV296">
        <v>43.438141388987702</v>
      </c>
      <c r="BW296">
        <v>44.359851258048899</v>
      </c>
      <c r="BX296">
        <v>45.198847719859401</v>
      </c>
      <c r="BY296">
        <v>45.947777764544199</v>
      </c>
      <c r="BZ296">
        <v>46.600903773802401</v>
      </c>
      <c r="CA296">
        <v>47.153335025190501</v>
      </c>
      <c r="CB296">
        <v>47.600689328520303</v>
      </c>
      <c r="CC296">
        <v>48.042891333962999</v>
      </c>
      <c r="CD296">
        <v>48.479972116780601</v>
      </c>
      <c r="CE296">
        <v>48.912546441223498</v>
      </c>
      <c r="CF296">
        <v>49.341571259237099</v>
      </c>
      <c r="CG296">
        <v>49.767202477317099</v>
      </c>
      <c r="CH296">
        <v>50.190636256230803</v>
      </c>
      <c r="CI296">
        <v>50.614707714694603</v>
      </c>
      <c r="CJ296">
        <v>51.041873850190797</v>
      </c>
      <c r="CK296">
        <v>51.475894310421701</v>
      </c>
      <c r="CL296">
        <v>51.921212647969199</v>
      </c>
      <c r="CM296">
        <v>52.382959727200202</v>
      </c>
      <c r="CN296">
        <v>52.867326703992099</v>
      </c>
      <c r="CO296">
        <v>53.380525435140498</v>
      </c>
      <c r="CP296">
        <v>53.927580656756902</v>
      </c>
    </row>
    <row r="297" spans="4:94" x14ac:dyDescent="0.2">
      <c r="D297" t="s">
        <v>0</v>
      </c>
      <c r="E297" t="s">
        <v>1</v>
      </c>
      <c r="F297" t="s">
        <v>25</v>
      </c>
      <c r="G297" t="s">
        <v>28</v>
      </c>
      <c r="H297" t="s">
        <v>29</v>
      </c>
      <c r="K297" t="s">
        <v>27</v>
      </c>
      <c r="M297" t="s">
        <v>7</v>
      </c>
      <c r="N297">
        <v>1</v>
      </c>
      <c r="O297">
        <v>1</v>
      </c>
      <c r="P297">
        <v>0</v>
      </c>
      <c r="Q297" t="s">
        <v>245</v>
      </c>
      <c r="S297">
        <v>459.54300000000001</v>
      </c>
      <c r="T297">
        <v>459.54300000000001</v>
      </c>
      <c r="U297">
        <v>487.02199999999999</v>
      </c>
      <c r="V297">
        <v>540.84500000000003</v>
      </c>
      <c r="W297">
        <v>620.29700000000003</v>
      </c>
      <c r="X297">
        <v>600.58899999999994</v>
      </c>
      <c r="Y297">
        <v>619.57899999999995</v>
      </c>
      <c r="Z297">
        <v>636.173</v>
      </c>
      <c r="AA297">
        <v>654.54200000000003</v>
      </c>
      <c r="AB297">
        <v>670.41800000000001</v>
      </c>
      <c r="AC297">
        <v>655.48199999999997</v>
      </c>
      <c r="AD297">
        <v>793.86699999999996</v>
      </c>
      <c r="AE297">
        <v>821.70500000000004</v>
      </c>
      <c r="AF297">
        <v>1008.047</v>
      </c>
      <c r="AG297">
        <v>1135.5450000000001</v>
      </c>
      <c r="AH297">
        <v>1220.0630000000001</v>
      </c>
      <c r="AI297">
        <v>1348.027</v>
      </c>
      <c r="AJ297">
        <v>1576.7809999999999</v>
      </c>
      <c r="AK297">
        <v>1571.5940000000001</v>
      </c>
      <c r="AL297">
        <v>1713.5409999999999</v>
      </c>
      <c r="AM297">
        <v>1800.018</v>
      </c>
      <c r="AN297">
        <v>2068.3560000000002</v>
      </c>
      <c r="AO297">
        <v>2183.6990000000001</v>
      </c>
      <c r="AP297">
        <v>1444.4639999999999</v>
      </c>
      <c r="AQ297">
        <v>1545.671</v>
      </c>
      <c r="AR297">
        <v>1500.52508438575</v>
      </c>
      <c r="AS297">
        <v>1542.25861636729</v>
      </c>
      <c r="AT297">
        <v>1602.2034963072599</v>
      </c>
      <c r="AU297">
        <v>1677.0178396746101</v>
      </c>
      <c r="AV297">
        <v>1768.41667960165</v>
      </c>
      <c r="AW297">
        <v>1873.44341372501</v>
      </c>
      <c r="AX297">
        <v>1999.0766825665</v>
      </c>
      <c r="AY297">
        <v>2169.51161291369</v>
      </c>
      <c r="AZ297">
        <v>2371.2494073688699</v>
      </c>
      <c r="BA297">
        <v>2603.50682056709</v>
      </c>
      <c r="BB297">
        <v>2849.4701825327602</v>
      </c>
      <c r="BC297">
        <v>3058.17075334122</v>
      </c>
      <c r="BD297">
        <v>3277.6406624357101</v>
      </c>
      <c r="BE297">
        <v>3508.6511773715301</v>
      </c>
      <c r="BF297">
        <v>3752.2169343427499</v>
      </c>
      <c r="BG297">
        <v>4009.6294451138701</v>
      </c>
      <c r="BH297">
        <v>4282.2582685527996</v>
      </c>
      <c r="BI297">
        <v>4571.5794860374199</v>
      </c>
      <c r="BJ297">
        <v>4879.1420182994098</v>
      </c>
      <c r="BK297">
        <v>5206.5402877021697</v>
      </c>
      <c r="BL297">
        <v>5524.59342286841</v>
      </c>
      <c r="BM297">
        <v>5828.9441919318497</v>
      </c>
      <c r="BN297">
        <v>6116.6942847074297</v>
      </c>
      <c r="BO297">
        <v>6381.6928641536897</v>
      </c>
      <c r="BP297">
        <v>6619.3265376972686</v>
      </c>
      <c r="BQ297">
        <v>6825.1395615310803</v>
      </c>
      <c r="BR297">
        <v>6994.8233059398899</v>
      </c>
      <c r="BS297">
        <v>7154.98413562736</v>
      </c>
      <c r="BT297">
        <v>7304.1875273403193</v>
      </c>
      <c r="BU297">
        <v>7441.0422742662504</v>
      </c>
      <c r="BV297">
        <v>7564.0762510044806</v>
      </c>
      <c r="BW297">
        <v>7724.5776791951803</v>
      </c>
      <c r="BX297">
        <v>7870.67585486589</v>
      </c>
      <c r="BY297">
        <v>8001.0903657892404</v>
      </c>
      <c r="BZ297">
        <v>8114.8220950385003</v>
      </c>
      <c r="CA297">
        <v>8211.0193994194105</v>
      </c>
      <c r="CB297">
        <v>8288.9191887151701</v>
      </c>
      <c r="CC297">
        <v>8365.9217855243405</v>
      </c>
      <c r="CD297">
        <v>8442.0326011201196</v>
      </c>
      <c r="CE297">
        <v>8517.3586871285406</v>
      </c>
      <c r="CF297">
        <v>8592.06668183687</v>
      </c>
      <c r="CG297">
        <v>8666.1837339348203</v>
      </c>
      <c r="CH297">
        <v>8739.9181362029012</v>
      </c>
      <c r="CI297">
        <v>8813.7635804398105</v>
      </c>
      <c r="CJ297">
        <v>8888.1479145162903</v>
      </c>
      <c r="CK297">
        <v>8963.725822564531</v>
      </c>
      <c r="CL297">
        <v>9041.2710801070989</v>
      </c>
      <c r="CM297">
        <v>9121.67714731667</v>
      </c>
      <c r="CN297">
        <v>9206.0221176300292</v>
      </c>
      <c r="CO297">
        <v>9295.3876892267508</v>
      </c>
      <c r="CP297">
        <v>9390.6488416955108</v>
      </c>
    </row>
    <row r="298" spans="4:94" x14ac:dyDescent="0.2">
      <c r="D298" t="s">
        <v>0</v>
      </c>
      <c r="E298" t="s">
        <v>1</v>
      </c>
      <c r="F298" t="s">
        <v>25</v>
      </c>
      <c r="G298" t="s">
        <v>28</v>
      </c>
      <c r="H298" t="s">
        <v>29</v>
      </c>
      <c r="K298" t="s">
        <v>27</v>
      </c>
      <c r="M298" t="s">
        <v>8</v>
      </c>
      <c r="N298">
        <v>1</v>
      </c>
      <c r="O298">
        <v>1</v>
      </c>
      <c r="P298">
        <v>0</v>
      </c>
      <c r="Q298" t="s">
        <v>246</v>
      </c>
      <c r="S298">
        <v>5.7330000000000014</v>
      </c>
      <c r="T298">
        <v>5.7330000000000014</v>
      </c>
      <c r="U298">
        <v>6.2789999999999999</v>
      </c>
      <c r="V298">
        <v>7.0979999999999999</v>
      </c>
      <c r="W298">
        <v>8.19</v>
      </c>
      <c r="X298">
        <v>7.9170000000000007</v>
      </c>
      <c r="Y298">
        <v>8.19</v>
      </c>
      <c r="Z298">
        <v>8.19</v>
      </c>
      <c r="AA298">
        <v>8.4629999999999992</v>
      </c>
      <c r="AB298">
        <v>9.0090000000000003</v>
      </c>
      <c r="AC298">
        <v>8.7360000000000007</v>
      </c>
      <c r="AD298">
        <v>10.647</v>
      </c>
      <c r="AE298">
        <v>11.193</v>
      </c>
      <c r="AF298">
        <v>13.377000000000001</v>
      </c>
      <c r="AG298">
        <v>15.288</v>
      </c>
      <c r="AH298">
        <v>16.38</v>
      </c>
      <c r="AI298">
        <v>18.018000000000001</v>
      </c>
      <c r="AJ298">
        <v>20.748000000000001</v>
      </c>
      <c r="AK298">
        <v>20.748000000000001</v>
      </c>
      <c r="AL298">
        <v>22.658999999999999</v>
      </c>
      <c r="AM298">
        <v>24.024000000000001</v>
      </c>
      <c r="AN298">
        <v>27.3</v>
      </c>
      <c r="AO298">
        <v>28.937999999999999</v>
      </c>
      <c r="AP298">
        <v>15.561</v>
      </c>
      <c r="AQ298">
        <v>16.925999999999998</v>
      </c>
      <c r="AR298">
        <v>8.1827298924775</v>
      </c>
      <c r="AS298">
        <v>8.4103130386825011</v>
      </c>
      <c r="AT298">
        <v>8.7372071146895998</v>
      </c>
      <c r="AU298">
        <v>9.1451880076640002</v>
      </c>
      <c r="AV298">
        <v>9.6436082122918005</v>
      </c>
      <c r="AW298">
        <v>10.2163446535305</v>
      </c>
      <c r="AX298">
        <v>10.9014535631625</v>
      </c>
      <c r="AY298">
        <v>11.830876878898099</v>
      </c>
      <c r="AZ298">
        <v>12.931002360510201</v>
      </c>
      <c r="BA298">
        <v>14.1975587796617</v>
      </c>
      <c r="BB298">
        <v>15.5388570860706</v>
      </c>
      <c r="BC298">
        <v>16.676952288278201</v>
      </c>
      <c r="BD298">
        <v>17.8737753233173</v>
      </c>
      <c r="BE298">
        <v>19.133532101602501</v>
      </c>
      <c r="BF298">
        <v>20.461755682195399</v>
      </c>
      <c r="BG298">
        <v>21.865488994289201</v>
      </c>
      <c r="BH298">
        <v>23.3522005770002</v>
      </c>
      <c r="BI298">
        <v>24.929939862717301</v>
      </c>
      <c r="BJ298">
        <v>26.607153494621699</v>
      </c>
      <c r="BK298">
        <v>28.3925362474092</v>
      </c>
      <c r="BL298">
        <v>30.1269577000078</v>
      </c>
      <c r="BM298">
        <v>31.786656802494601</v>
      </c>
      <c r="BN298">
        <v>33.355828361317101</v>
      </c>
      <c r="BO298">
        <v>34.8009303593198</v>
      </c>
      <c r="BP298">
        <v>36.0968048396591</v>
      </c>
      <c r="BQ298">
        <v>37.219153542730197</v>
      </c>
      <c r="BR298">
        <v>38.144480458014598</v>
      </c>
      <c r="BS298">
        <v>39.017876592691202</v>
      </c>
      <c r="BT298">
        <v>39.831519140978401</v>
      </c>
      <c r="BU298">
        <v>40.577821512229001</v>
      </c>
      <c r="BV298">
        <v>41.248755846964499</v>
      </c>
      <c r="BW298">
        <v>42.124009348493999</v>
      </c>
      <c r="BX298">
        <v>42.920718395038612</v>
      </c>
      <c r="BY298">
        <v>43.631900585893099</v>
      </c>
      <c r="BZ298">
        <v>44.252107492352003</v>
      </c>
      <c r="CA298">
        <v>44.776694896004599</v>
      </c>
      <c r="CB298">
        <v>45.201501479460902</v>
      </c>
      <c r="CC298">
        <v>45.621415453085703</v>
      </c>
      <c r="CD298">
        <v>46.036466325875203</v>
      </c>
      <c r="CE298">
        <v>46.447237876499997</v>
      </c>
      <c r="CF298">
        <v>46.854638824253399</v>
      </c>
      <c r="CG298">
        <v>47.258817217573899</v>
      </c>
      <c r="CH298">
        <v>47.660908927883597</v>
      </c>
      <c r="CI298">
        <v>48.063606177178798</v>
      </c>
      <c r="CJ298">
        <v>48.4692421244307</v>
      </c>
      <c r="CK298">
        <v>48.881386922163301</v>
      </c>
      <c r="CL298">
        <v>49.304260157350399</v>
      </c>
      <c r="CM298">
        <v>49.742734086602702</v>
      </c>
      <c r="CN298">
        <v>50.202687816830199</v>
      </c>
      <c r="CO298">
        <v>50.690020112486103</v>
      </c>
      <c r="CP298">
        <v>51.209502451041587</v>
      </c>
    </row>
    <row r="299" spans="4:94" x14ac:dyDescent="0.2">
      <c r="D299" t="s">
        <v>0</v>
      </c>
      <c r="E299" t="s">
        <v>1</v>
      </c>
      <c r="F299" t="s">
        <v>25</v>
      </c>
      <c r="G299" t="s">
        <v>28</v>
      </c>
      <c r="H299" t="s">
        <v>30</v>
      </c>
      <c r="K299" t="s">
        <v>27</v>
      </c>
      <c r="M299" t="s">
        <v>6</v>
      </c>
      <c r="N299">
        <v>1</v>
      </c>
      <c r="O299">
        <v>1</v>
      </c>
      <c r="P299">
        <v>0</v>
      </c>
      <c r="Q299" t="s">
        <v>247</v>
      </c>
      <c r="S299">
        <v>0.16739999999999999</v>
      </c>
      <c r="T299">
        <v>0.16739999999999999</v>
      </c>
      <c r="U299">
        <v>0.16739999999999999</v>
      </c>
      <c r="V299">
        <v>0.1953</v>
      </c>
      <c r="W299">
        <v>0.27900000000000003</v>
      </c>
      <c r="X299">
        <v>0.27900000000000003</v>
      </c>
      <c r="Y299">
        <v>0.27900000000000003</v>
      </c>
      <c r="Z299">
        <v>0.27900000000000003</v>
      </c>
      <c r="AA299">
        <v>0.36270000000000002</v>
      </c>
      <c r="AB299">
        <v>0.3906</v>
      </c>
      <c r="AC299">
        <v>0.41849999999999998</v>
      </c>
      <c r="AD299">
        <v>0.55799999999999994</v>
      </c>
      <c r="AE299">
        <v>0.6137999999999999</v>
      </c>
      <c r="AF299">
        <v>0.66959999999999997</v>
      </c>
      <c r="AG299">
        <v>0.75329999999999997</v>
      </c>
      <c r="AH299">
        <v>0.80910000000000004</v>
      </c>
      <c r="AI299">
        <v>0.8649</v>
      </c>
      <c r="AJ299">
        <v>0.83699999999999997</v>
      </c>
      <c r="AK299">
        <v>0.75329999999999997</v>
      </c>
      <c r="AL299">
        <v>0.83699999999999997</v>
      </c>
      <c r="AM299">
        <v>0.92069999999999996</v>
      </c>
      <c r="AN299">
        <v>1.0602</v>
      </c>
      <c r="AO299">
        <v>1.1160000000000001</v>
      </c>
      <c r="AP299">
        <v>1.1438999999999999</v>
      </c>
      <c r="AQ299">
        <v>1.1160000000000001</v>
      </c>
      <c r="AR299">
        <v>6.4617955207094244</v>
      </c>
      <c r="AS299">
        <v>6.7149624684936002</v>
      </c>
      <c r="AT299">
        <v>7.0512773848899997</v>
      </c>
      <c r="AU299">
        <v>7.4590018349912004</v>
      </c>
      <c r="AV299">
        <v>7.9480346901050991</v>
      </c>
      <c r="AW299">
        <v>8.5079040186870998</v>
      </c>
      <c r="AX299">
        <v>9.1722722077747001</v>
      </c>
      <c r="AY299">
        <v>10.0547983728161</v>
      </c>
      <c r="AZ299">
        <v>11.100840841324001</v>
      </c>
      <c r="BA299">
        <v>12.3124407586443</v>
      </c>
      <c r="BB299">
        <v>13.6160693134736</v>
      </c>
      <c r="BC299">
        <v>14.7710738994974</v>
      </c>
      <c r="BD299">
        <v>16.0040768809796</v>
      </c>
      <c r="BE299">
        <v>17.3214969046814</v>
      </c>
      <c r="BF299">
        <v>18.7312548093958</v>
      </c>
      <c r="BG299">
        <v>20.243026894089901</v>
      </c>
      <c r="BH299">
        <v>21.8673343956488</v>
      </c>
      <c r="BI299">
        <v>23.615736789926199</v>
      </c>
      <c r="BJ299">
        <v>25.500716496998798</v>
      </c>
      <c r="BK299">
        <v>27.535588763582101</v>
      </c>
      <c r="BL299">
        <v>29.5681096037153</v>
      </c>
      <c r="BM299">
        <v>31.573135693995901</v>
      </c>
      <c r="BN299">
        <v>33.533076871607292</v>
      </c>
      <c r="BO299">
        <v>35.409700106140903</v>
      </c>
      <c r="BP299">
        <v>37.172178359936296</v>
      </c>
      <c r="BQ299">
        <v>38.789205901758997</v>
      </c>
      <c r="BR299">
        <v>40.22893265311</v>
      </c>
      <c r="BS299">
        <v>41.6418355484914</v>
      </c>
      <c r="BT299">
        <v>43.0178105814311</v>
      </c>
      <c r="BU299">
        <v>44.346657226483899</v>
      </c>
      <c r="BV299">
        <v>45.617163888016798</v>
      </c>
      <c r="BW299">
        <v>46.597956824548</v>
      </c>
      <c r="BX299">
        <v>47.490680392903897</v>
      </c>
      <c r="BY299">
        <v>48.287256413222593</v>
      </c>
      <c r="BZ299">
        <v>48.981446556422704</v>
      </c>
      <c r="CA299">
        <v>49.567917758453703</v>
      </c>
      <c r="CB299">
        <v>50.041828394712113</v>
      </c>
      <c r="CC299">
        <v>50.510823392392012</v>
      </c>
      <c r="CD299">
        <v>50.974945306203701</v>
      </c>
      <c r="CE299">
        <v>51.434923502043297</v>
      </c>
      <c r="CF299">
        <v>51.891863965935713</v>
      </c>
      <c r="CG299">
        <v>52.345795423879487</v>
      </c>
      <c r="CH299">
        <v>52.797954140436197</v>
      </c>
      <c r="CI299">
        <v>53.2515168081515</v>
      </c>
      <c r="CJ299">
        <v>53.709034735388201</v>
      </c>
      <c r="CK299">
        <v>54.174527043044598</v>
      </c>
      <c r="CL299">
        <v>54.652690745051601</v>
      </c>
      <c r="CM299">
        <v>55.148915319078107</v>
      </c>
      <c r="CN299">
        <v>55.669805678286998</v>
      </c>
      <c r="CO299">
        <v>56.2219649908983</v>
      </c>
      <c r="CP299">
        <v>56.810626037308893</v>
      </c>
    </row>
    <row r="300" spans="4:94" x14ac:dyDescent="0.2">
      <c r="D300" t="s">
        <v>0</v>
      </c>
      <c r="E300" t="s">
        <v>1</v>
      </c>
      <c r="F300" t="s">
        <v>25</v>
      </c>
      <c r="G300" t="s">
        <v>28</v>
      </c>
      <c r="H300" t="s">
        <v>30</v>
      </c>
      <c r="K300" t="s">
        <v>27</v>
      </c>
      <c r="M300" t="s">
        <v>7</v>
      </c>
      <c r="N300">
        <v>1</v>
      </c>
      <c r="O300">
        <v>1</v>
      </c>
      <c r="P300">
        <v>0</v>
      </c>
      <c r="Q300" t="s">
        <v>248</v>
      </c>
      <c r="S300">
        <v>110.86499999999999</v>
      </c>
      <c r="T300">
        <v>110.86499999999999</v>
      </c>
      <c r="U300">
        <v>115.224</v>
      </c>
      <c r="V300">
        <v>137.69300000000001</v>
      </c>
      <c r="W300">
        <v>188.00800000000001</v>
      </c>
      <c r="X300">
        <v>194.547</v>
      </c>
      <c r="Y300">
        <v>199.46299999999999</v>
      </c>
      <c r="Z300">
        <v>199.46299999999999</v>
      </c>
      <c r="AA300">
        <v>238.71299999999999</v>
      </c>
      <c r="AB300">
        <v>273.01799999999997</v>
      </c>
      <c r="AC300">
        <v>284.16899999999998</v>
      </c>
      <c r="AD300">
        <v>371.202</v>
      </c>
      <c r="AE300">
        <v>412.70400000000001</v>
      </c>
      <c r="AF300">
        <v>464.52699999999999</v>
      </c>
      <c r="AG300">
        <v>505.59</v>
      </c>
      <c r="AH300">
        <v>557.94600000000003</v>
      </c>
      <c r="AI300">
        <v>585.25099999999998</v>
      </c>
      <c r="AJ300">
        <v>562.04600000000005</v>
      </c>
      <c r="AK300">
        <v>521.17700000000002</v>
      </c>
      <c r="AL300">
        <v>571.88199999999995</v>
      </c>
      <c r="AM300">
        <v>632.08699999999999</v>
      </c>
      <c r="AN300">
        <v>725.35400000000004</v>
      </c>
      <c r="AO300">
        <v>761.83399999999995</v>
      </c>
      <c r="AP300">
        <v>1008.9059999999999</v>
      </c>
      <c r="AQ300">
        <v>999.59900000000005</v>
      </c>
      <c r="AR300">
        <v>957.65913857621968</v>
      </c>
      <c r="AS300">
        <v>995.95089785573145</v>
      </c>
      <c r="AT300">
        <v>1046.6849206518141</v>
      </c>
      <c r="AU300">
        <v>1108.136850092211</v>
      </c>
      <c r="AV300">
        <v>1181.8086425501731</v>
      </c>
      <c r="AW300">
        <v>1266.162963202986</v>
      </c>
      <c r="AX300">
        <v>1366.260585833109</v>
      </c>
      <c r="AY300">
        <v>1499.154968078788</v>
      </c>
      <c r="AZ300">
        <v>1656.7434717908629</v>
      </c>
      <c r="BA300">
        <v>1839.3959638680551</v>
      </c>
      <c r="BB300">
        <v>2036.136161073556</v>
      </c>
      <c r="BC300">
        <v>2210.824112671507</v>
      </c>
      <c r="BD300">
        <v>2397.4797599991739</v>
      </c>
      <c r="BE300">
        <v>2597.0907507811389</v>
      </c>
      <c r="BF300">
        <v>2810.8727962465969</v>
      </c>
      <c r="BG300">
        <v>3040.308843745162</v>
      </c>
      <c r="BH300">
        <v>3287.0127344347839</v>
      </c>
      <c r="BI300">
        <v>3552.7588806573758</v>
      </c>
      <c r="BJ300">
        <v>3839.4653997632131</v>
      </c>
      <c r="BK300">
        <v>4149.1809319431322</v>
      </c>
      <c r="BL300">
        <v>4458.8873298284216</v>
      </c>
      <c r="BM300">
        <v>4764.756594066771</v>
      </c>
      <c r="BN300">
        <v>5064.1381545912936</v>
      </c>
      <c r="BO300">
        <v>5351.1659204648486</v>
      </c>
      <c r="BP300">
        <v>5621.1245694985091</v>
      </c>
      <c r="BQ300">
        <v>5869.2193843931027</v>
      </c>
      <c r="BR300">
        <v>6090.563673834069</v>
      </c>
      <c r="BS300">
        <v>6307.998871245396</v>
      </c>
      <c r="BT300">
        <v>6519.979950190801</v>
      </c>
      <c r="BU300">
        <v>6724.9469816961046</v>
      </c>
      <c r="BV300">
        <v>6921.1813195355062</v>
      </c>
      <c r="BW300">
        <v>7070.3386640481594</v>
      </c>
      <c r="BX300">
        <v>7206.0941750086267</v>
      </c>
      <c r="BY300">
        <v>7327.2156339999483</v>
      </c>
      <c r="BZ300">
        <v>7432.7534931675718</v>
      </c>
      <c r="CA300">
        <v>7521.8955421850997</v>
      </c>
      <c r="CB300">
        <v>7593.9026445558247</v>
      </c>
      <c r="CC300">
        <v>7665.175824334121</v>
      </c>
      <c r="CD300">
        <v>7735.7216022423854</v>
      </c>
      <c r="CE300">
        <v>7805.6525094084618</v>
      </c>
      <c r="CF300">
        <v>7875.1385760545963</v>
      </c>
      <c r="CG300">
        <v>7944.1805544156068</v>
      </c>
      <c r="CH300">
        <v>8012.9652782095209</v>
      </c>
      <c r="CI300">
        <v>8081.9792552669223</v>
      </c>
      <c r="CJ300">
        <v>8151.6085218742501</v>
      </c>
      <c r="CK300">
        <v>8222.4641885328783</v>
      </c>
      <c r="CL300">
        <v>8295.2592210680014</v>
      </c>
      <c r="CM300">
        <v>8370.8109554313123</v>
      </c>
      <c r="CN300">
        <v>8450.1234826916971</v>
      </c>
      <c r="CO300">
        <v>8534.2000219059119</v>
      </c>
      <c r="CP300">
        <v>8623.8330563190502</v>
      </c>
    </row>
    <row r="301" spans="4:94" x14ac:dyDescent="0.2">
      <c r="D301" t="s">
        <v>0</v>
      </c>
      <c r="E301" t="s">
        <v>1</v>
      </c>
      <c r="F301" t="s">
        <v>25</v>
      </c>
      <c r="G301" t="s">
        <v>28</v>
      </c>
      <c r="H301" t="s">
        <v>30</v>
      </c>
      <c r="K301" t="s">
        <v>27</v>
      </c>
      <c r="M301" t="s">
        <v>8</v>
      </c>
      <c r="N301">
        <v>1</v>
      </c>
      <c r="O301">
        <v>1</v>
      </c>
      <c r="P301">
        <v>0</v>
      </c>
      <c r="Q301" t="s">
        <v>249</v>
      </c>
      <c r="S301">
        <v>1.6379999999999999</v>
      </c>
      <c r="T301">
        <v>1.6379999999999999</v>
      </c>
      <c r="U301">
        <v>1.6379999999999999</v>
      </c>
      <c r="V301">
        <v>1.911</v>
      </c>
      <c r="W301">
        <v>2.73</v>
      </c>
      <c r="X301">
        <v>2.73</v>
      </c>
      <c r="Y301">
        <v>2.73</v>
      </c>
      <c r="Z301">
        <v>2.73</v>
      </c>
      <c r="AA301">
        <v>3.5489999999999999</v>
      </c>
      <c r="AB301">
        <v>3.8220000000000001</v>
      </c>
      <c r="AC301">
        <v>4.0949999999999998</v>
      </c>
      <c r="AD301">
        <v>5.46</v>
      </c>
      <c r="AE301">
        <v>6.0059999999999993</v>
      </c>
      <c r="AF301">
        <v>6.5519999999999996</v>
      </c>
      <c r="AG301">
        <v>7.3710000000000004</v>
      </c>
      <c r="AH301">
        <v>7.9170000000000007</v>
      </c>
      <c r="AI301">
        <v>8.4629999999999992</v>
      </c>
      <c r="AJ301">
        <v>8.19</v>
      </c>
      <c r="AK301">
        <v>7.3710000000000004</v>
      </c>
      <c r="AL301">
        <v>8.19</v>
      </c>
      <c r="AM301">
        <v>9.0090000000000003</v>
      </c>
      <c r="AN301">
        <v>10.374000000000001</v>
      </c>
      <c r="AO301">
        <v>10.92</v>
      </c>
      <c r="AP301">
        <v>2.1840000000000002</v>
      </c>
      <c r="AQ301">
        <v>2.1840000000000002</v>
      </c>
      <c r="AR301">
        <v>4.280230089854089</v>
      </c>
      <c r="AS301">
        <v>4.4540143832767267</v>
      </c>
      <c r="AT301">
        <v>4.6838178191701791</v>
      </c>
      <c r="AU301">
        <v>4.9619858496553366</v>
      </c>
      <c r="AV301">
        <v>5.2953508916724932</v>
      </c>
      <c r="AW301">
        <v>5.6770919673722</v>
      </c>
      <c r="AX301">
        <v>6.1300740947131001</v>
      </c>
      <c r="AY301">
        <v>6.7312317449936003</v>
      </c>
      <c r="AZ301">
        <v>7.4443347900005996</v>
      </c>
      <c r="BA301">
        <v>8.2712668520288997</v>
      </c>
      <c r="BB301">
        <v>9.1626991584824005</v>
      </c>
      <c r="BC301">
        <v>9.9554816762043998</v>
      </c>
      <c r="BD301">
        <v>10.8031499048617</v>
      </c>
      <c r="BE301">
        <v>11.710242610637801</v>
      </c>
      <c r="BF301">
        <v>12.682336477182799</v>
      </c>
      <c r="BG301">
        <v>13.726226789818501</v>
      </c>
      <c r="BH301">
        <v>14.8493132668908</v>
      </c>
      <c r="BI301">
        <v>16.0597362249773</v>
      </c>
      <c r="BJ301">
        <v>17.3663019518482</v>
      </c>
      <c r="BK301">
        <v>18.778424383033499</v>
      </c>
      <c r="BL301">
        <v>20.191667252033799</v>
      </c>
      <c r="BM301">
        <v>21.588573489488301</v>
      </c>
      <c r="BN301">
        <v>22.957147076978</v>
      </c>
      <c r="BO301">
        <v>24.270485871409999</v>
      </c>
      <c r="BP301">
        <v>25.507013026287702</v>
      </c>
      <c r="BQ301">
        <v>26.644767921278099</v>
      </c>
      <c r="BR301">
        <v>27.661340192585602</v>
      </c>
      <c r="BS301">
        <v>28.660667734364001</v>
      </c>
      <c r="BT301">
        <v>29.635682278445302</v>
      </c>
      <c r="BU301">
        <v>30.579246903471802</v>
      </c>
      <c r="BV301">
        <v>31.483484941474799</v>
      </c>
      <c r="BW301">
        <v>32.163145104189802</v>
      </c>
      <c r="BX301">
        <v>32.7817096062792</v>
      </c>
      <c r="BY301">
        <v>33.333551293684003</v>
      </c>
      <c r="BZ301">
        <v>33.814340615572704</v>
      </c>
      <c r="CA301">
        <v>34.220372709643698</v>
      </c>
      <c r="CB301">
        <v>34.548270139349697</v>
      </c>
      <c r="CC301">
        <v>34.872868813770197</v>
      </c>
      <c r="CD301">
        <v>35.1941986093073</v>
      </c>
      <c r="CE301">
        <v>35.512777662978699</v>
      </c>
      <c r="CF301">
        <v>35.829386860736612</v>
      </c>
      <c r="CG301">
        <v>36.144017570476002</v>
      </c>
      <c r="CH301">
        <v>36.457517211557906</v>
      </c>
      <c r="CI301">
        <v>36.7721139816611</v>
      </c>
      <c r="CJ301">
        <v>37.089560374905297</v>
      </c>
      <c r="CK301">
        <v>37.4126406485437</v>
      </c>
      <c r="CL301">
        <v>37.744599053666903</v>
      </c>
      <c r="CM301">
        <v>38.089152291131207</v>
      </c>
      <c r="CN301">
        <v>38.450874424293197</v>
      </c>
      <c r="CO301">
        <v>38.834333520017893</v>
      </c>
      <c r="CP301">
        <v>39.243129624043902</v>
      </c>
    </row>
    <row r="302" spans="4:94" x14ac:dyDescent="0.2">
      <c r="D302" t="s">
        <v>0</v>
      </c>
      <c r="E302" t="s">
        <v>1</v>
      </c>
      <c r="F302" t="s">
        <v>25</v>
      </c>
      <c r="G302" t="s">
        <v>28</v>
      </c>
      <c r="H302" t="s">
        <v>31</v>
      </c>
      <c r="K302" t="s">
        <v>27</v>
      </c>
      <c r="M302" t="s">
        <v>6</v>
      </c>
      <c r="N302">
        <v>1</v>
      </c>
      <c r="O302">
        <v>1</v>
      </c>
      <c r="P302">
        <v>0</v>
      </c>
      <c r="Q302" t="s">
        <v>250</v>
      </c>
      <c r="S302">
        <v>0.25109999999999999</v>
      </c>
      <c r="T302">
        <v>0.25109999999999999</v>
      </c>
      <c r="U302">
        <v>0.25109999999999999</v>
      </c>
      <c r="V302">
        <v>0.27900000000000003</v>
      </c>
      <c r="W302">
        <v>0.30690000000000001</v>
      </c>
      <c r="X302">
        <v>0.27900000000000003</v>
      </c>
      <c r="Y302">
        <v>0.30690000000000001</v>
      </c>
      <c r="Z302">
        <v>0.30690000000000001</v>
      </c>
      <c r="AA302">
        <v>0.27900000000000003</v>
      </c>
      <c r="AB302">
        <v>0.27900000000000003</v>
      </c>
      <c r="AC302">
        <v>0.25109999999999999</v>
      </c>
      <c r="AD302">
        <v>0.30690000000000001</v>
      </c>
      <c r="AE302">
        <v>0.27900000000000003</v>
      </c>
      <c r="AF302">
        <v>0.3906</v>
      </c>
      <c r="AG302">
        <v>0.44640000000000002</v>
      </c>
      <c r="AH302">
        <v>0.4743</v>
      </c>
      <c r="AI302">
        <v>0.89279999999999993</v>
      </c>
      <c r="AJ302">
        <v>1.1718</v>
      </c>
      <c r="AK302">
        <v>1.1438999999999999</v>
      </c>
      <c r="AL302">
        <v>1.3112999999999999</v>
      </c>
      <c r="AM302">
        <v>1.7298</v>
      </c>
      <c r="AN302">
        <v>1.9809000000000001</v>
      </c>
      <c r="AO302">
        <v>2.0924999999999998</v>
      </c>
      <c r="AP302">
        <v>2.2599</v>
      </c>
      <c r="AQ302">
        <v>2.4552</v>
      </c>
      <c r="AR302">
        <v>0.52193325470319996</v>
      </c>
      <c r="AS302">
        <v>0.52934248588479993</v>
      </c>
      <c r="AT302">
        <v>0.54222072807650001</v>
      </c>
      <c r="AU302">
        <v>0.55917061783540001</v>
      </c>
      <c r="AV302">
        <v>0.58050314279820003</v>
      </c>
      <c r="AW302">
        <v>0.60498045474079998</v>
      </c>
      <c r="AX302">
        <v>0.63453647694610005</v>
      </c>
      <c r="AY302">
        <v>0.67624610447110001</v>
      </c>
      <c r="AZ302">
        <v>0.72513940828229995</v>
      </c>
      <c r="BA302">
        <v>0.78030029294799996</v>
      </c>
      <c r="BB302">
        <v>0.83614782448190006</v>
      </c>
      <c r="BC302">
        <v>0.87785833172549999</v>
      </c>
      <c r="BD302">
        <v>0.91949299347940006</v>
      </c>
      <c r="BE302">
        <v>0.96112221459879998</v>
      </c>
      <c r="BF302">
        <v>1.002903104234</v>
      </c>
      <c r="BG302">
        <v>1.0450651281526</v>
      </c>
      <c r="BH302">
        <v>1.0878384830545</v>
      </c>
      <c r="BI302">
        <v>1.1314482959783001</v>
      </c>
      <c r="BJ302">
        <v>1.1760953726358001</v>
      </c>
      <c r="BK302">
        <v>1.2219420058071999</v>
      </c>
      <c r="BL302">
        <v>1.2622103984063</v>
      </c>
      <c r="BM302">
        <v>1.29623974481</v>
      </c>
      <c r="BN302">
        <v>1.323685938074</v>
      </c>
      <c r="BO302">
        <v>1.3436751776239</v>
      </c>
      <c r="BP302">
        <v>1.3556907825894999</v>
      </c>
      <c r="BQ302">
        <v>1.3593114467587999</v>
      </c>
      <c r="BR302">
        <v>1.3542122297474</v>
      </c>
      <c r="BS302">
        <v>1.3457850958754001</v>
      </c>
      <c r="BT302">
        <v>1.3338483014216</v>
      </c>
      <c r="BU302">
        <v>1.3182526533907</v>
      </c>
      <c r="BV302">
        <v>1.2988722078877999</v>
      </c>
      <c r="BW302">
        <v>1.3196202993541</v>
      </c>
      <c r="BX302">
        <v>1.3377289351891</v>
      </c>
      <c r="BY302">
        <v>1.3530028053381999</v>
      </c>
      <c r="BZ302">
        <v>1.3653032386952999</v>
      </c>
      <c r="CA302">
        <v>1.3745275107653001</v>
      </c>
      <c r="CB302">
        <v>1.3805985320745999</v>
      </c>
      <c r="CC302">
        <v>1.3863599659571</v>
      </c>
      <c r="CD302">
        <v>1.3918235281832001</v>
      </c>
      <c r="CE302">
        <v>1.3970176790346001</v>
      </c>
      <c r="CF302">
        <v>1.4019822061930001</v>
      </c>
      <c r="CG302">
        <v>1.4067443795147001</v>
      </c>
      <c r="CH302">
        <v>1.4113603465894</v>
      </c>
      <c r="CI302">
        <v>1.4159290791124</v>
      </c>
      <c r="CJ302">
        <v>1.4205508870756001</v>
      </c>
      <c r="CK302">
        <v>1.4253646607499</v>
      </c>
      <c r="CL302">
        <v>1.4305350695118</v>
      </c>
      <c r="CM302">
        <v>1.4362514524051999</v>
      </c>
      <c r="CN302">
        <v>1.4427315822439</v>
      </c>
      <c r="CO302">
        <v>1.45019241911</v>
      </c>
      <c r="CP302">
        <v>1.4588128542633001</v>
      </c>
    </row>
    <row r="303" spans="4:94" x14ac:dyDescent="0.2">
      <c r="D303" t="s">
        <v>0</v>
      </c>
      <c r="E303" t="s">
        <v>1</v>
      </c>
      <c r="F303" t="s">
        <v>25</v>
      </c>
      <c r="G303" t="s">
        <v>28</v>
      </c>
      <c r="H303" t="s">
        <v>31</v>
      </c>
      <c r="K303" t="s">
        <v>27</v>
      </c>
      <c r="M303" t="s">
        <v>7</v>
      </c>
      <c r="N303">
        <v>1</v>
      </c>
      <c r="O303">
        <v>1</v>
      </c>
      <c r="P303">
        <v>0</v>
      </c>
      <c r="Q303" t="s">
        <v>251</v>
      </c>
      <c r="S303">
        <v>18.350999999999999</v>
      </c>
      <c r="T303">
        <v>18.350999999999999</v>
      </c>
      <c r="U303">
        <v>19.567</v>
      </c>
      <c r="V303">
        <v>21.216999999999999</v>
      </c>
      <c r="W303">
        <v>22.751999999999999</v>
      </c>
      <c r="X303">
        <v>21.372</v>
      </c>
      <c r="Y303">
        <v>22.113</v>
      </c>
      <c r="Z303">
        <v>22.853999999999999</v>
      </c>
      <c r="AA303">
        <v>21.885999999999999</v>
      </c>
      <c r="AB303">
        <v>20.917999999999999</v>
      </c>
      <c r="AC303">
        <v>19.544</v>
      </c>
      <c r="AD303">
        <v>22.247</v>
      </c>
      <c r="AE303">
        <v>21.527000000000001</v>
      </c>
      <c r="AF303">
        <v>28.606999999999999</v>
      </c>
      <c r="AG303">
        <v>33.155000000000001</v>
      </c>
      <c r="AH303">
        <v>34.847000000000001</v>
      </c>
      <c r="AI303">
        <v>66.328000000000003</v>
      </c>
      <c r="AJ303">
        <v>88.234999999999999</v>
      </c>
      <c r="AK303">
        <v>86.635000000000005</v>
      </c>
      <c r="AL303">
        <v>99.275000000000006</v>
      </c>
      <c r="AM303">
        <v>129.773</v>
      </c>
      <c r="AN303">
        <v>149.22200000000001</v>
      </c>
      <c r="AO303">
        <v>157.988</v>
      </c>
      <c r="AP303">
        <v>170.315</v>
      </c>
      <c r="AQ303">
        <v>185.113</v>
      </c>
      <c r="AR303">
        <v>180.552645416931</v>
      </c>
      <c r="AS303">
        <v>183.11572465796601</v>
      </c>
      <c r="AT303">
        <v>187.570701755295</v>
      </c>
      <c r="AU303">
        <v>193.43418603785199</v>
      </c>
      <c r="AV303">
        <v>200.813757622434</v>
      </c>
      <c r="AW303">
        <v>209.28120702157801</v>
      </c>
      <c r="AX303">
        <v>219.50553733408</v>
      </c>
      <c r="AY303">
        <v>233.93417072950501</v>
      </c>
      <c r="AZ303">
        <v>250.847857042317</v>
      </c>
      <c r="BA303">
        <v>269.92969089786698</v>
      </c>
      <c r="BB303">
        <v>289.24905686582503</v>
      </c>
      <c r="BC303">
        <v>303.67799458273601</v>
      </c>
      <c r="BD303">
        <v>318.08069502953902</v>
      </c>
      <c r="BE303">
        <v>332.48151339474998</v>
      </c>
      <c r="BF303">
        <v>346.934798529462</v>
      </c>
      <c r="BG303">
        <v>361.51992964736598</v>
      </c>
      <c r="BH303">
        <v>376.31653881393999</v>
      </c>
      <c r="BI303">
        <v>391.40250434414799</v>
      </c>
      <c r="BJ303">
        <v>406.84729106354899</v>
      </c>
      <c r="BK303">
        <v>422.70704099892902</v>
      </c>
      <c r="BL303">
        <v>436.63710723810999</v>
      </c>
      <c r="BM303">
        <v>448.40889694425499</v>
      </c>
      <c r="BN303">
        <v>457.90337302100397</v>
      </c>
      <c r="BO303">
        <v>464.81826117591299</v>
      </c>
      <c r="BP303">
        <v>468.97482572374702</v>
      </c>
      <c r="BQ303">
        <v>470.22732398484601</v>
      </c>
      <c r="BR303">
        <v>468.463349161103</v>
      </c>
      <c r="BS303">
        <v>465.548146306815</v>
      </c>
      <c r="BT303">
        <v>461.41884472079801</v>
      </c>
      <c r="BU303">
        <v>456.02383399174602</v>
      </c>
      <c r="BV303">
        <v>449.31954628184297</v>
      </c>
      <c r="BW303">
        <v>456.49694447946302</v>
      </c>
      <c r="BX303">
        <v>462.76127440179999</v>
      </c>
      <c r="BY303">
        <v>468.04497233889299</v>
      </c>
      <c r="BZ303">
        <v>472.300067722047</v>
      </c>
      <c r="CA303">
        <v>475.49102501260501</v>
      </c>
      <c r="CB303">
        <v>477.59117660843299</v>
      </c>
      <c r="CC303">
        <v>479.58423246278198</v>
      </c>
      <c r="CD303">
        <v>481.474245418338</v>
      </c>
      <c r="CE303">
        <v>483.27106075531702</v>
      </c>
      <c r="CF303">
        <v>484.98844224730101</v>
      </c>
      <c r="CG303">
        <v>486.63582337013099</v>
      </c>
      <c r="CH303">
        <v>488.23262728899601</v>
      </c>
      <c r="CI303">
        <v>489.81309133454101</v>
      </c>
      <c r="CJ303">
        <v>491.411915795026</v>
      </c>
      <c r="CK303">
        <v>493.07714705496511</v>
      </c>
      <c r="CL303">
        <v>494.865749278392</v>
      </c>
      <c r="CM303">
        <v>496.84322062040701</v>
      </c>
      <c r="CN303">
        <v>499.08489534506799</v>
      </c>
      <c r="CO303">
        <v>501.66582656769901</v>
      </c>
      <c r="CP303">
        <v>504.64789823596402</v>
      </c>
    </row>
    <row r="304" spans="4:94" x14ac:dyDescent="0.2">
      <c r="D304" t="s">
        <v>0</v>
      </c>
      <c r="E304" t="s">
        <v>1</v>
      </c>
      <c r="F304" t="s">
        <v>25</v>
      </c>
      <c r="G304" t="s">
        <v>28</v>
      </c>
      <c r="H304" t="s">
        <v>31</v>
      </c>
      <c r="K304" t="s">
        <v>27</v>
      </c>
      <c r="M304" t="s">
        <v>8</v>
      </c>
      <c r="N304">
        <v>1</v>
      </c>
      <c r="O304">
        <v>1</v>
      </c>
      <c r="P304">
        <v>0</v>
      </c>
      <c r="Q304" t="s">
        <v>252</v>
      </c>
      <c r="S304">
        <v>0.27300000000000002</v>
      </c>
      <c r="T304">
        <v>0.27300000000000002</v>
      </c>
      <c r="U304">
        <v>0.27300000000000002</v>
      </c>
      <c r="V304">
        <v>0.27300000000000002</v>
      </c>
      <c r="W304">
        <v>0.27300000000000002</v>
      </c>
      <c r="X304">
        <v>0.27300000000000002</v>
      </c>
      <c r="Y304">
        <v>0.27300000000000002</v>
      </c>
      <c r="Z304">
        <v>0.27300000000000002</v>
      </c>
      <c r="AA304">
        <v>0.27300000000000002</v>
      </c>
      <c r="AB304">
        <v>0.27300000000000002</v>
      </c>
      <c r="AC304">
        <v>0.27300000000000002</v>
      </c>
      <c r="AD304">
        <v>0.27300000000000002</v>
      </c>
      <c r="AE304">
        <v>0.27300000000000002</v>
      </c>
      <c r="AF304">
        <v>0.27300000000000002</v>
      </c>
      <c r="AG304">
        <v>0.54600000000000004</v>
      </c>
      <c r="AH304">
        <v>0.54600000000000004</v>
      </c>
      <c r="AI304">
        <v>0.81900000000000006</v>
      </c>
      <c r="AJ304">
        <v>1.0920000000000001</v>
      </c>
      <c r="AK304">
        <v>1.0920000000000001</v>
      </c>
      <c r="AL304">
        <v>1.365</v>
      </c>
      <c r="AM304">
        <v>1.6379999999999999</v>
      </c>
      <c r="AN304">
        <v>1.911</v>
      </c>
      <c r="AO304">
        <v>1.911</v>
      </c>
      <c r="AP304">
        <v>2.1840000000000002</v>
      </c>
      <c r="AQ304">
        <v>2.4569999999999999</v>
      </c>
      <c r="AR304">
        <v>1.0412715926653</v>
      </c>
      <c r="AS304">
        <v>1.0560532182530999</v>
      </c>
      <c r="AT304">
        <v>1.0817456753573</v>
      </c>
      <c r="AU304">
        <v>1.1155611844205</v>
      </c>
      <c r="AV304">
        <v>1.1581201745661001</v>
      </c>
      <c r="AW304">
        <v>1.2069531036062</v>
      </c>
      <c r="AX304">
        <v>1.2659182031419001</v>
      </c>
      <c r="AY304">
        <v>1.3491300887443001</v>
      </c>
      <c r="AZ304">
        <v>1.4466736115440999</v>
      </c>
      <c r="BA304">
        <v>1.5567211352668999</v>
      </c>
      <c r="BB304">
        <v>1.6681385388961001</v>
      </c>
      <c r="BC304">
        <v>1.7513521795617999</v>
      </c>
      <c r="BD304">
        <v>1.8344145063324</v>
      </c>
      <c r="BE304">
        <v>1.9174659788832999</v>
      </c>
      <c r="BF304">
        <v>2.0008200344093998</v>
      </c>
      <c r="BG304">
        <v>2.0849344636014999</v>
      </c>
      <c r="BH304">
        <v>2.1702685153810002</v>
      </c>
      <c r="BI304">
        <v>2.2572713245520002</v>
      </c>
      <c r="BJ304">
        <v>2.3463435041845</v>
      </c>
      <c r="BK304">
        <v>2.4378088329606999</v>
      </c>
      <c r="BL304">
        <v>2.5181454141574</v>
      </c>
      <c r="BM304">
        <v>2.5860349218826002</v>
      </c>
      <c r="BN304">
        <v>2.6407908530578998</v>
      </c>
      <c r="BO304">
        <v>2.6806699508441998</v>
      </c>
      <c r="BP304">
        <v>2.7046414223048001</v>
      </c>
      <c r="BQ304">
        <v>2.7118647496402999</v>
      </c>
      <c r="BR304">
        <v>2.7016916676015001</v>
      </c>
      <c r="BS304">
        <v>2.6848792973811002</v>
      </c>
      <c r="BT304">
        <v>2.6610650551187001</v>
      </c>
      <c r="BU304">
        <v>2.6299512965731</v>
      </c>
      <c r="BV304">
        <v>2.5912867601146998</v>
      </c>
      <c r="BW304">
        <v>2.6326797889189999</v>
      </c>
      <c r="BX304">
        <v>2.6688070291493999</v>
      </c>
      <c r="BY304">
        <v>2.6992788317276002</v>
      </c>
      <c r="BZ304">
        <v>2.7238185438781999</v>
      </c>
      <c r="CA304">
        <v>2.7422212273304001</v>
      </c>
      <c r="CB304">
        <v>2.7543330864061</v>
      </c>
      <c r="CC304">
        <v>2.7658273098163</v>
      </c>
      <c r="CD304">
        <v>2.7767272708544999</v>
      </c>
      <c r="CE304">
        <v>2.7870897485869</v>
      </c>
      <c r="CF304">
        <v>2.7969941205623998</v>
      </c>
      <c r="CG304">
        <v>2.8064947909155999</v>
      </c>
      <c r="CH304">
        <v>2.8157037756742</v>
      </c>
      <c r="CI304">
        <v>2.8248185261673999</v>
      </c>
      <c r="CJ304">
        <v>2.8340391636634998</v>
      </c>
      <c r="CK304">
        <v>2.8436427781782001</v>
      </c>
      <c r="CL304">
        <v>2.8539578897708999</v>
      </c>
      <c r="CM304">
        <v>2.8653622351849002</v>
      </c>
      <c r="CN304">
        <v>2.8782902773379</v>
      </c>
      <c r="CO304">
        <v>2.8931748577246998</v>
      </c>
      <c r="CP304">
        <v>2.9103728694640001</v>
      </c>
    </row>
    <row r="305" spans="4:94" x14ac:dyDescent="0.2">
      <c r="D305" t="s">
        <v>0</v>
      </c>
      <c r="E305" t="s">
        <v>1</v>
      </c>
      <c r="F305" t="s">
        <v>25</v>
      </c>
      <c r="G305" t="s">
        <v>32</v>
      </c>
      <c r="K305" t="s">
        <v>27</v>
      </c>
      <c r="M305" t="s">
        <v>6</v>
      </c>
      <c r="N305">
        <v>1</v>
      </c>
      <c r="O305">
        <v>1</v>
      </c>
      <c r="P305">
        <v>0</v>
      </c>
      <c r="Q305" t="s">
        <v>253</v>
      </c>
      <c r="S305">
        <v>0</v>
      </c>
      <c r="T305">
        <v>0</v>
      </c>
      <c r="U305">
        <v>0</v>
      </c>
      <c r="V305">
        <v>0</v>
      </c>
      <c r="W305">
        <v>0</v>
      </c>
      <c r="X305">
        <v>0</v>
      </c>
      <c r="Y305">
        <v>0</v>
      </c>
      <c r="Z305">
        <v>0</v>
      </c>
      <c r="AA305">
        <v>0</v>
      </c>
      <c r="AB305">
        <v>0</v>
      </c>
      <c r="AC305">
        <v>0</v>
      </c>
      <c r="AD305">
        <v>0</v>
      </c>
      <c r="AE305">
        <v>0</v>
      </c>
      <c r="AF305">
        <v>0</v>
      </c>
      <c r="AG305">
        <v>0</v>
      </c>
      <c r="AH305">
        <v>0</v>
      </c>
      <c r="AI305">
        <v>0</v>
      </c>
      <c r="AJ305">
        <v>0</v>
      </c>
      <c r="AK305">
        <v>0</v>
      </c>
      <c r="AL305">
        <v>0</v>
      </c>
      <c r="AM305">
        <v>0</v>
      </c>
      <c r="AN305">
        <v>0</v>
      </c>
      <c r="AO305">
        <v>0</v>
      </c>
      <c r="AP305">
        <v>0</v>
      </c>
      <c r="AQ305">
        <v>0</v>
      </c>
      <c r="AR305">
        <v>0.12727046940792519</v>
      </c>
      <c r="AS305">
        <v>0.1145290930278966</v>
      </c>
      <c r="AT305">
        <v>0.1231284845215271</v>
      </c>
      <c r="AU305">
        <v>0.13410052906104539</v>
      </c>
      <c r="AV305">
        <v>0.1479679940095884</v>
      </c>
      <c r="AW305">
        <v>0.16467525131388391</v>
      </c>
      <c r="AX305">
        <v>0.18574813588421529</v>
      </c>
      <c r="AY305">
        <v>0.21598919672754641</v>
      </c>
      <c r="AZ305">
        <v>0.25482050958083591</v>
      </c>
      <c r="BA305">
        <v>0.30382823776880291</v>
      </c>
      <c r="BB305">
        <v>0.3613167356609</v>
      </c>
      <c r="BC305">
        <v>0.41595653972629998</v>
      </c>
      <c r="BD305">
        <v>0.47858228550830001</v>
      </c>
      <c r="BE305">
        <v>0.55040230832339998</v>
      </c>
      <c r="BF305">
        <v>0.63284792733529993</v>
      </c>
      <c r="BG305">
        <v>0.72763355814250008</v>
      </c>
      <c r="BH305">
        <v>0.8367473918956001</v>
      </c>
      <c r="BI305">
        <v>0.9625097420865999</v>
      </c>
      <c r="BJ305">
        <v>1.1076183621975999</v>
      </c>
      <c r="BK305">
        <v>1.2751994318787001</v>
      </c>
      <c r="BL305">
        <v>1.4529770721262001</v>
      </c>
      <c r="BM305">
        <v>1.6378890659180001</v>
      </c>
      <c r="BN305">
        <v>1.8304983894918001</v>
      </c>
      <c r="BO305">
        <v>2.0226156405708999</v>
      </c>
      <c r="BP305">
        <v>2.2090090786254999</v>
      </c>
      <c r="BQ305">
        <v>2.3840542387428001</v>
      </c>
      <c r="BR305">
        <v>2.5415100657712002</v>
      </c>
      <c r="BS305">
        <v>2.6989482536743998</v>
      </c>
      <c r="BT305">
        <v>2.8548620691208999</v>
      </c>
      <c r="BU305">
        <v>3.0079060813559999</v>
      </c>
      <c r="BV305">
        <v>3.1562778615849001</v>
      </c>
      <c r="BW305">
        <v>3.2616584837236999</v>
      </c>
      <c r="BX305">
        <v>3.3561901453051002</v>
      </c>
      <c r="BY305">
        <v>3.4384114246106998</v>
      </c>
      <c r="BZ305">
        <v>3.5074415934716998</v>
      </c>
      <c r="CA305">
        <v>3.5624921009918</v>
      </c>
      <c r="CB305">
        <v>3.6026552466826001</v>
      </c>
      <c r="CC305">
        <v>3.6437935826116998</v>
      </c>
      <c r="CD305">
        <v>3.6859263552727999</v>
      </c>
      <c r="CE305">
        <v>3.7293454781727</v>
      </c>
      <c r="CF305">
        <v>3.7744165032349999</v>
      </c>
      <c r="CG305">
        <v>3.8207144114829998</v>
      </c>
      <c r="CH305">
        <v>3.8682538542506002</v>
      </c>
      <c r="CI305">
        <v>3.9178396034399001</v>
      </c>
      <c r="CJ305">
        <v>3.9695482916762002</v>
      </c>
      <c r="CK305">
        <v>4.0238578166338002</v>
      </c>
      <c r="CL305">
        <v>4.0811757486226004</v>
      </c>
      <c r="CM305">
        <v>4.141876502553</v>
      </c>
      <c r="CN305">
        <v>4.2067157734356986</v>
      </c>
      <c r="CO305">
        <v>4.2763761762201007</v>
      </c>
      <c r="CP305">
        <v>4.3510876403978003</v>
      </c>
    </row>
    <row r="306" spans="4:94" x14ac:dyDescent="0.2">
      <c r="D306" t="s">
        <v>0</v>
      </c>
      <c r="E306" t="s">
        <v>1</v>
      </c>
      <c r="F306" t="s">
        <v>25</v>
      </c>
      <c r="G306" t="s">
        <v>32</v>
      </c>
      <c r="K306" t="s">
        <v>27</v>
      </c>
      <c r="M306" t="s">
        <v>7</v>
      </c>
      <c r="N306">
        <v>1</v>
      </c>
      <c r="O306">
        <v>1</v>
      </c>
      <c r="P306">
        <v>0</v>
      </c>
      <c r="Q306" t="s">
        <v>254</v>
      </c>
      <c r="S306">
        <v>0</v>
      </c>
      <c r="T306">
        <v>0</v>
      </c>
      <c r="U306">
        <v>0</v>
      </c>
      <c r="V306">
        <v>0</v>
      </c>
      <c r="W306">
        <v>0</v>
      </c>
      <c r="X306">
        <v>0</v>
      </c>
      <c r="Y306">
        <v>0</v>
      </c>
      <c r="Z306">
        <v>0</v>
      </c>
      <c r="AA306">
        <v>0</v>
      </c>
      <c r="AB306">
        <v>0</v>
      </c>
      <c r="AC306">
        <v>0</v>
      </c>
      <c r="AD306">
        <v>0</v>
      </c>
      <c r="AE306">
        <v>0</v>
      </c>
      <c r="AF306">
        <v>0</v>
      </c>
      <c r="AG306">
        <v>0</v>
      </c>
      <c r="AH306">
        <v>0</v>
      </c>
      <c r="AI306">
        <v>0</v>
      </c>
      <c r="AJ306">
        <v>0</v>
      </c>
      <c r="AK306">
        <v>0</v>
      </c>
      <c r="AL306">
        <v>0</v>
      </c>
      <c r="AM306">
        <v>7.0000000000000001E-3</v>
      </c>
      <c r="AN306">
        <v>7.0000000000000001E-3</v>
      </c>
      <c r="AO306">
        <v>7.0000000000000001E-3</v>
      </c>
      <c r="AP306">
        <v>7.0000000000000001E-3</v>
      </c>
      <c r="AQ306">
        <v>7.0000000000000001E-3</v>
      </c>
      <c r="AR306">
        <v>150.0305984902088</v>
      </c>
      <c r="AS306">
        <v>135.0106466288446</v>
      </c>
      <c r="AT306">
        <v>145.14789102213399</v>
      </c>
      <c r="AU306">
        <v>158.08209654983921</v>
      </c>
      <c r="AV306">
        <v>174.42951850444391</v>
      </c>
      <c r="AW306">
        <v>194.1245807144918</v>
      </c>
      <c r="AX306">
        <v>218.96598735599619</v>
      </c>
      <c r="AY306">
        <v>254.61514052089521</v>
      </c>
      <c r="AZ306">
        <v>300.39076415651999</v>
      </c>
      <c r="BA306">
        <v>358.16267954962098</v>
      </c>
      <c r="BB306">
        <v>425.93200408497398</v>
      </c>
      <c r="BC306">
        <v>490.34319501904099</v>
      </c>
      <c r="BD306">
        <v>564.16847565397495</v>
      </c>
      <c r="BE306">
        <v>648.83227124345001</v>
      </c>
      <c r="BF306">
        <v>746.02186770515902</v>
      </c>
      <c r="BG306">
        <v>857.75827430777599</v>
      </c>
      <c r="BH306">
        <v>986.38523590929992</v>
      </c>
      <c r="BI306">
        <v>1134.638014063335</v>
      </c>
      <c r="BJ306">
        <v>1305.696808948132</v>
      </c>
      <c r="BK306">
        <v>1503.246863543169</v>
      </c>
      <c r="BL306">
        <v>1712.816969543321</v>
      </c>
      <c r="BM306">
        <v>1930.7972852100499</v>
      </c>
      <c r="BN306">
        <v>2157.8514653745292</v>
      </c>
      <c r="BO306">
        <v>2384.3255743629311</v>
      </c>
      <c r="BP306">
        <v>2604.0522650559992</v>
      </c>
      <c r="BQ306">
        <v>2810.401233967601</v>
      </c>
      <c r="BR306">
        <v>2996.0153208388551</v>
      </c>
      <c r="BS306">
        <v>3181.6086141317078</v>
      </c>
      <c r="BT306">
        <v>3365.4049272367779</v>
      </c>
      <c r="BU306">
        <v>3545.818222306551</v>
      </c>
      <c r="BV306">
        <v>3720.7237372336122</v>
      </c>
      <c r="BW306">
        <v>3844.9498666907821</v>
      </c>
      <c r="BX306">
        <v>3956.3868860505631</v>
      </c>
      <c r="BY306">
        <v>4053.3120235174702</v>
      </c>
      <c r="BZ306">
        <v>4134.6870478751989</v>
      </c>
      <c r="CA306">
        <v>4199.5823894957703</v>
      </c>
      <c r="CB306">
        <v>4246.9280213087022</v>
      </c>
      <c r="CC306">
        <v>4295.4232393199209</v>
      </c>
      <c r="CD306">
        <v>4345.0907319267972</v>
      </c>
      <c r="CE306">
        <v>4396.2746163337833</v>
      </c>
      <c r="CF306">
        <v>4449.4058171230272</v>
      </c>
      <c r="CG306">
        <v>4503.9833080021599</v>
      </c>
      <c r="CH306">
        <v>4560.0243604433917</v>
      </c>
      <c r="CI306">
        <v>4618.4776659278568</v>
      </c>
      <c r="CJ306">
        <v>4679.4335615045084</v>
      </c>
      <c r="CK306">
        <v>4743.4554086072467</v>
      </c>
      <c r="CL306">
        <v>4811.0236644681818</v>
      </c>
      <c r="CM306">
        <v>4882.5797016490551</v>
      </c>
      <c r="CN306">
        <v>4959.0143581837683</v>
      </c>
      <c r="CO306">
        <v>5041.1323229356494</v>
      </c>
      <c r="CP306">
        <v>5129.2046443218251</v>
      </c>
    </row>
    <row r="307" spans="4:94" x14ac:dyDescent="0.2">
      <c r="D307" t="s">
        <v>0</v>
      </c>
      <c r="E307" t="s">
        <v>1</v>
      </c>
      <c r="F307" t="s">
        <v>25</v>
      </c>
      <c r="G307" t="s">
        <v>32</v>
      </c>
      <c r="K307" t="s">
        <v>27</v>
      </c>
      <c r="M307" t="s">
        <v>8</v>
      </c>
      <c r="N307">
        <v>1</v>
      </c>
      <c r="O307">
        <v>1</v>
      </c>
      <c r="P307">
        <v>0</v>
      </c>
      <c r="Q307" t="s">
        <v>255</v>
      </c>
      <c r="S307">
        <v>0</v>
      </c>
      <c r="T307">
        <v>0</v>
      </c>
      <c r="U307">
        <v>0</v>
      </c>
      <c r="V307">
        <v>0</v>
      </c>
      <c r="W307">
        <v>0</v>
      </c>
      <c r="X307">
        <v>0</v>
      </c>
      <c r="Y307">
        <v>0</v>
      </c>
      <c r="Z307">
        <v>0</v>
      </c>
      <c r="AA307">
        <v>0</v>
      </c>
      <c r="AB307">
        <v>0</v>
      </c>
      <c r="AC307">
        <v>0</v>
      </c>
      <c r="AD307">
        <v>0</v>
      </c>
      <c r="AE307">
        <v>0</v>
      </c>
      <c r="AF307">
        <v>0</v>
      </c>
      <c r="AG307">
        <v>0</v>
      </c>
      <c r="AH307">
        <v>0</v>
      </c>
      <c r="AI307">
        <v>0</v>
      </c>
      <c r="AJ307">
        <v>0</v>
      </c>
      <c r="AK307">
        <v>0</v>
      </c>
      <c r="AL307">
        <v>0</v>
      </c>
      <c r="AM307">
        <v>0</v>
      </c>
      <c r="AN307">
        <v>0</v>
      </c>
      <c r="AO307">
        <v>0</v>
      </c>
      <c r="AP307">
        <v>0</v>
      </c>
      <c r="AQ307">
        <v>0</v>
      </c>
      <c r="AR307">
        <v>6.2800325582073997</v>
      </c>
      <c r="AS307">
        <v>5.6513222307055004</v>
      </c>
      <c r="AT307">
        <v>6.0756505042778004</v>
      </c>
      <c r="AU307">
        <v>6.6170549420788003</v>
      </c>
      <c r="AV307">
        <v>7.3013309707742007</v>
      </c>
      <c r="AW307">
        <v>8.1257336803527007</v>
      </c>
      <c r="AX307">
        <v>9.1655538508394994</v>
      </c>
      <c r="AY307">
        <v>10.6577684044107</v>
      </c>
      <c r="AZ307">
        <v>12.573860252986099</v>
      </c>
      <c r="BA307">
        <v>14.992097021150199</v>
      </c>
      <c r="BB307">
        <v>17.828808790699899</v>
      </c>
      <c r="BC307">
        <v>20.5249546452754</v>
      </c>
      <c r="BD307">
        <v>23.615158714790201</v>
      </c>
      <c r="BE307">
        <v>27.159045082996801</v>
      </c>
      <c r="BF307">
        <v>31.2272407460196</v>
      </c>
      <c r="BG307">
        <v>35.904341807156399</v>
      </c>
      <c r="BH307">
        <v>41.288453547359801</v>
      </c>
      <c r="BI307">
        <v>47.494069488515997</v>
      </c>
      <c r="BJ307">
        <v>54.654307546983603</v>
      </c>
      <c r="BK307">
        <v>62.923425894954903</v>
      </c>
      <c r="BL307">
        <v>71.695683702043596</v>
      </c>
      <c r="BM307">
        <v>80.819978967217708</v>
      </c>
      <c r="BN307">
        <v>90.32409118338721</v>
      </c>
      <c r="BO307">
        <v>99.803922580120911</v>
      </c>
      <c r="BP307">
        <v>109.0013182137167</v>
      </c>
      <c r="BQ307">
        <v>117.6387445531315</v>
      </c>
      <c r="BR307">
        <v>125.4082430457303</v>
      </c>
      <c r="BS307">
        <v>133.17687115355011</v>
      </c>
      <c r="BT307">
        <v>140.87028064463951</v>
      </c>
      <c r="BU307">
        <v>148.42208259952901</v>
      </c>
      <c r="BV307">
        <v>155.74333799279901</v>
      </c>
      <c r="BW307">
        <v>160.94323818263979</v>
      </c>
      <c r="BX307">
        <v>165.60780738926539</v>
      </c>
      <c r="BY307">
        <v>169.66493323643479</v>
      </c>
      <c r="BZ307">
        <v>173.07115708366399</v>
      </c>
      <c r="CA307">
        <v>175.78756868472681</v>
      </c>
      <c r="CB307">
        <v>177.76937847730349</v>
      </c>
      <c r="CC307">
        <v>179.7993080456225</v>
      </c>
      <c r="CD307">
        <v>181.87830708844791</v>
      </c>
      <c r="CE307">
        <v>184.0207797824595</v>
      </c>
      <c r="CF307">
        <v>186.24476391750201</v>
      </c>
      <c r="CG307">
        <v>188.52928736215489</v>
      </c>
      <c r="CH307">
        <v>190.87507307166251</v>
      </c>
      <c r="CI307">
        <v>193.32183170137739</v>
      </c>
      <c r="CJ307">
        <v>195.87334461066629</v>
      </c>
      <c r="CK307">
        <v>198.55319317681079</v>
      </c>
      <c r="CL307">
        <v>201.38148854440971</v>
      </c>
      <c r="CM307">
        <v>204.37670583844439</v>
      </c>
      <c r="CN307">
        <v>207.57613406471151</v>
      </c>
      <c r="CO307">
        <v>211.01345616730421</v>
      </c>
      <c r="CP307">
        <v>214.700017784388</v>
      </c>
    </row>
    <row r="308" spans="4:94" x14ac:dyDescent="0.2">
      <c r="D308" t="s">
        <v>0</v>
      </c>
      <c r="E308" t="s">
        <v>1</v>
      </c>
      <c r="F308" t="s">
        <v>25</v>
      </c>
      <c r="G308" t="s">
        <v>33</v>
      </c>
      <c r="K308" t="s">
        <v>27</v>
      </c>
      <c r="M308" t="s">
        <v>6</v>
      </c>
      <c r="N308">
        <v>1</v>
      </c>
      <c r="O308">
        <v>1</v>
      </c>
      <c r="P308">
        <v>0</v>
      </c>
      <c r="Q308" t="s">
        <v>256</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0.33687242928099997</v>
      </c>
      <c r="AS308">
        <v>0.34905494106430002</v>
      </c>
      <c r="AT308">
        <v>0.36582797282419999</v>
      </c>
      <c r="AU308">
        <v>0.38657013109799998</v>
      </c>
      <c r="AV308">
        <v>0.41183421670780002</v>
      </c>
      <c r="AW308">
        <v>0.44110344847630001</v>
      </c>
      <c r="AX308">
        <v>0.47625525497280002</v>
      </c>
      <c r="AY308">
        <v>0.52349296986320004</v>
      </c>
      <c r="AZ308">
        <v>0.58009273094250002</v>
      </c>
      <c r="BA308">
        <v>0.64642836187159991</v>
      </c>
      <c r="BB308">
        <v>0.71884292531599991</v>
      </c>
      <c r="BC308">
        <v>0.78452631097689995</v>
      </c>
      <c r="BD308">
        <v>0.85586011509220006</v>
      </c>
      <c r="BE308">
        <v>0.9332999009645</v>
      </c>
      <c r="BF308">
        <v>1.0173355810947</v>
      </c>
      <c r="BG308">
        <v>1.1085177146591001</v>
      </c>
      <c r="BH308">
        <v>1.2074189359895</v>
      </c>
      <c r="BI308">
        <v>1.3146551461722</v>
      </c>
      <c r="BJ308">
        <v>1.4308886399611001</v>
      </c>
      <c r="BK308">
        <v>1.5568313903641999</v>
      </c>
      <c r="BL308">
        <v>1.6836436988962</v>
      </c>
      <c r="BM308">
        <v>1.8096703967836001</v>
      </c>
      <c r="BN308">
        <v>1.9337427747378</v>
      </c>
      <c r="BO308">
        <v>2.0534151482363998</v>
      </c>
      <c r="BP308">
        <v>2.1667402511498999</v>
      </c>
      <c r="BQ308">
        <v>2.2717753401465002</v>
      </c>
      <c r="BR308">
        <v>2.3665796368802998</v>
      </c>
      <c r="BS308">
        <v>2.4601003386828002</v>
      </c>
      <c r="BT308">
        <v>2.5518735876630001</v>
      </c>
      <c r="BU308">
        <v>2.6414626358994999</v>
      </c>
      <c r="BV308">
        <v>2.7283847334639</v>
      </c>
      <c r="BW308">
        <v>2.8142873613647001</v>
      </c>
      <c r="BX308">
        <v>2.8967036613756001</v>
      </c>
      <c r="BY308">
        <v>2.9751369618044001</v>
      </c>
      <c r="BZ308">
        <v>3.0491495864006999</v>
      </c>
      <c r="CA308">
        <v>3.1183108510095998</v>
      </c>
      <c r="CB308">
        <v>3.1821756491689999</v>
      </c>
      <c r="CC308">
        <v>3.2475192257608998</v>
      </c>
      <c r="CD308">
        <v>3.3143756638502002</v>
      </c>
      <c r="CE308">
        <v>3.3828102000439002</v>
      </c>
      <c r="CF308">
        <v>3.4528962374147998</v>
      </c>
      <c r="CG308">
        <v>3.5246092790999</v>
      </c>
      <c r="CH308">
        <v>3.5979723376658002</v>
      </c>
      <c r="CI308">
        <v>3.6731004667909999</v>
      </c>
      <c r="CJ308">
        <v>3.7500127004414998</v>
      </c>
      <c r="CK308">
        <v>3.8287690981911</v>
      </c>
      <c r="CL308">
        <v>3.9094112881424001</v>
      </c>
      <c r="CM308">
        <v>3.9919664954065999</v>
      </c>
      <c r="CN308">
        <v>4.0765029221297002</v>
      </c>
      <c r="CO308">
        <v>4.16307661967</v>
      </c>
      <c r="CP308">
        <v>4.2516897623482004</v>
      </c>
    </row>
    <row r="309" spans="4:94" x14ac:dyDescent="0.2">
      <c r="D309" t="s">
        <v>0</v>
      </c>
      <c r="E309" t="s">
        <v>1</v>
      </c>
      <c r="F309" t="s">
        <v>25</v>
      </c>
      <c r="G309" t="s">
        <v>33</v>
      </c>
      <c r="K309" t="s">
        <v>27</v>
      </c>
      <c r="M309" t="s">
        <v>7</v>
      </c>
      <c r="N309">
        <v>1</v>
      </c>
      <c r="O309">
        <v>1</v>
      </c>
      <c r="P309">
        <v>0</v>
      </c>
      <c r="Q309" t="s">
        <v>257</v>
      </c>
      <c r="S309">
        <v>0</v>
      </c>
      <c r="T309">
        <v>0</v>
      </c>
      <c r="U309">
        <v>0</v>
      </c>
      <c r="V309">
        <v>0</v>
      </c>
      <c r="W309">
        <v>0</v>
      </c>
      <c r="X309">
        <v>0</v>
      </c>
      <c r="Y309">
        <v>0</v>
      </c>
      <c r="Z309">
        <v>0</v>
      </c>
      <c r="AA309">
        <v>0</v>
      </c>
      <c r="AB309">
        <v>0</v>
      </c>
      <c r="AC309">
        <v>0</v>
      </c>
      <c r="AD309">
        <v>0</v>
      </c>
      <c r="AE309">
        <v>0</v>
      </c>
      <c r="AF309">
        <v>0</v>
      </c>
      <c r="AG309">
        <v>0</v>
      </c>
      <c r="AH309">
        <v>0</v>
      </c>
      <c r="AI309">
        <v>0</v>
      </c>
      <c r="AJ309">
        <v>0</v>
      </c>
      <c r="AK309">
        <v>0</v>
      </c>
      <c r="AL309">
        <v>0</v>
      </c>
      <c r="AM309">
        <v>0</v>
      </c>
      <c r="AN309">
        <v>0</v>
      </c>
      <c r="AO309">
        <v>0</v>
      </c>
      <c r="AP309">
        <v>0</v>
      </c>
      <c r="AQ309">
        <v>0</v>
      </c>
      <c r="AR309">
        <v>235.43320830518201</v>
      </c>
      <c r="AS309">
        <v>243.94731508582001</v>
      </c>
      <c r="AT309">
        <v>255.66964180956199</v>
      </c>
      <c r="AU309">
        <v>270.16590937289499</v>
      </c>
      <c r="AV309">
        <v>287.82245889435001</v>
      </c>
      <c r="AW309">
        <v>308.278122643968</v>
      </c>
      <c r="AX309">
        <v>332.84499681305903</v>
      </c>
      <c r="AY309">
        <v>365.85846364205503</v>
      </c>
      <c r="AZ309">
        <v>405.41487189024201</v>
      </c>
      <c r="BA309">
        <v>451.77547922135602</v>
      </c>
      <c r="BB309">
        <v>502.38452738867602</v>
      </c>
      <c r="BC309">
        <v>548.28929392448106</v>
      </c>
      <c r="BD309">
        <v>598.14302163775506</v>
      </c>
      <c r="BE309">
        <v>652.26409434555796</v>
      </c>
      <c r="BF309">
        <v>710.99490181288502</v>
      </c>
      <c r="BG309">
        <v>774.72021851802901</v>
      </c>
      <c r="BH309">
        <v>843.84024681130893</v>
      </c>
      <c r="BI309">
        <v>918.78542728712193</v>
      </c>
      <c r="BJ309">
        <v>1000.01862411971</v>
      </c>
      <c r="BK309">
        <v>1088.03742059247</v>
      </c>
      <c r="BL309">
        <v>1176.6639333468199</v>
      </c>
      <c r="BM309">
        <v>1264.7413989888601</v>
      </c>
      <c r="BN309">
        <v>1351.4530306476399</v>
      </c>
      <c r="BO309">
        <v>1435.08958974031</v>
      </c>
      <c r="BP309">
        <v>1514.29017204195</v>
      </c>
      <c r="BQ309">
        <v>1587.6970342179</v>
      </c>
      <c r="BR309">
        <v>1653.9538062214201</v>
      </c>
      <c r="BS309">
        <v>1719.3135001426999</v>
      </c>
      <c r="BT309">
        <v>1783.4519352473401</v>
      </c>
      <c r="BU309">
        <v>1846.0638774010499</v>
      </c>
      <c r="BV309">
        <v>1906.8119426133601</v>
      </c>
      <c r="BW309">
        <v>1966.8475214575601</v>
      </c>
      <c r="BX309">
        <v>2024.44657748485</v>
      </c>
      <c r="BY309">
        <v>2079.26199707056</v>
      </c>
      <c r="BZ309">
        <v>2130.9878972903898</v>
      </c>
      <c r="CA309">
        <v>2179.3232818514298</v>
      </c>
      <c r="CB309">
        <v>2223.9570750073199</v>
      </c>
      <c r="CC309">
        <v>2269.6243559777499</v>
      </c>
      <c r="CD309">
        <v>2316.3489447153902</v>
      </c>
      <c r="CE309">
        <v>2364.1764337424602</v>
      </c>
      <c r="CF309">
        <v>2413.1581229559602</v>
      </c>
      <c r="CG309">
        <v>2463.27689200232</v>
      </c>
      <c r="CH309">
        <v>2514.5488238909602</v>
      </c>
      <c r="CI309">
        <v>2567.0543272699701</v>
      </c>
      <c r="CJ309">
        <v>2620.8067045865</v>
      </c>
      <c r="CK309">
        <v>2675.84793024073</v>
      </c>
      <c r="CL309">
        <v>2732.2070972568799</v>
      </c>
      <c r="CM309">
        <v>2789.9032327049299</v>
      </c>
      <c r="CN309">
        <v>2848.9840016611702</v>
      </c>
      <c r="CO309">
        <v>2909.4885772663902</v>
      </c>
      <c r="CP309">
        <v>2971.41847910863</v>
      </c>
    </row>
    <row r="310" spans="4:94" x14ac:dyDescent="0.2">
      <c r="D310" t="s">
        <v>0</v>
      </c>
      <c r="E310" t="s">
        <v>1</v>
      </c>
      <c r="F310" t="s">
        <v>25</v>
      </c>
      <c r="G310" t="s">
        <v>33</v>
      </c>
      <c r="K310" t="s">
        <v>27</v>
      </c>
      <c r="M310" t="s">
        <v>8</v>
      </c>
      <c r="N310">
        <v>1</v>
      </c>
      <c r="O310">
        <v>1</v>
      </c>
      <c r="P310">
        <v>0</v>
      </c>
      <c r="Q310" t="s">
        <v>258</v>
      </c>
      <c r="S310">
        <v>0</v>
      </c>
      <c r="T310">
        <v>0</v>
      </c>
      <c r="U310">
        <v>0</v>
      </c>
      <c r="V310">
        <v>0</v>
      </c>
      <c r="W310">
        <v>0</v>
      </c>
      <c r="X310">
        <v>0</v>
      </c>
      <c r="Y310">
        <v>0</v>
      </c>
      <c r="Z310">
        <v>0</v>
      </c>
      <c r="AA310">
        <v>0</v>
      </c>
      <c r="AB310">
        <v>0</v>
      </c>
      <c r="AC310">
        <v>0</v>
      </c>
      <c r="AD310">
        <v>0</v>
      </c>
      <c r="AE310">
        <v>0</v>
      </c>
      <c r="AF310">
        <v>0</v>
      </c>
      <c r="AG310">
        <v>0</v>
      </c>
      <c r="AH310">
        <v>0</v>
      </c>
      <c r="AI310">
        <v>0</v>
      </c>
      <c r="AJ310">
        <v>0</v>
      </c>
      <c r="AK310">
        <v>0</v>
      </c>
      <c r="AL310">
        <v>0</v>
      </c>
      <c r="AM310">
        <v>0</v>
      </c>
      <c r="AN310">
        <v>0</v>
      </c>
      <c r="AO310">
        <v>0</v>
      </c>
      <c r="AP310">
        <v>0</v>
      </c>
      <c r="AQ310">
        <v>0</v>
      </c>
      <c r="AR310">
        <v>0.68914996274020002</v>
      </c>
      <c r="AS310">
        <v>0.71407208996630001</v>
      </c>
      <c r="AT310">
        <v>0.7483851806431</v>
      </c>
      <c r="AU310">
        <v>0.79081803165449993</v>
      </c>
      <c r="AV310">
        <v>0.84250152410839996</v>
      </c>
      <c r="AW310">
        <v>0.90237846335729999</v>
      </c>
      <c r="AX310">
        <v>0.9742895609469</v>
      </c>
      <c r="AY310">
        <v>1.0709251613319</v>
      </c>
      <c r="AZ310">
        <v>1.1867129784654</v>
      </c>
      <c r="BA310">
        <v>1.3224177545453</v>
      </c>
      <c r="BB310">
        <v>1.4705583839403999</v>
      </c>
      <c r="BC310">
        <v>1.6049288424474</v>
      </c>
      <c r="BD310">
        <v>1.7508585302913</v>
      </c>
      <c r="BE310">
        <v>1.9092794068896</v>
      </c>
      <c r="BF310">
        <v>2.0811937008380998</v>
      </c>
      <c r="BG310">
        <v>2.2677277074428002</v>
      </c>
      <c r="BH310">
        <v>2.4700528818130998</v>
      </c>
      <c r="BI310">
        <v>2.6894291911464001</v>
      </c>
      <c r="BJ310">
        <v>2.9272115115481001</v>
      </c>
      <c r="BK310">
        <v>3.1848563474075999</v>
      </c>
      <c r="BL310">
        <v>3.4442800642321001</v>
      </c>
      <c r="BM310">
        <v>3.7020966339608998</v>
      </c>
      <c r="BN310">
        <v>3.9559151931902998</v>
      </c>
      <c r="BO310">
        <v>4.2007325322451994</v>
      </c>
      <c r="BP310">
        <v>4.4325650708030002</v>
      </c>
      <c r="BQ310">
        <v>4.6474384809628999</v>
      </c>
      <c r="BR310">
        <v>4.8413824546538997</v>
      </c>
      <c r="BS310">
        <v>5.0327005399606</v>
      </c>
      <c r="BT310">
        <v>5.2204438089784997</v>
      </c>
      <c r="BU310">
        <v>5.403718793476</v>
      </c>
      <c r="BV310">
        <v>5.5815379175451003</v>
      </c>
      <c r="BW310">
        <v>5.7572714821573001</v>
      </c>
      <c r="BX310">
        <v>5.9258729619606001</v>
      </c>
      <c r="BY310">
        <v>6.0863263008801001</v>
      </c>
      <c r="BZ310">
        <v>6.2377361315739002</v>
      </c>
      <c r="CA310">
        <v>6.3792213906377002</v>
      </c>
      <c r="CB310">
        <v>6.5098715105241993</v>
      </c>
      <c r="CC310">
        <v>6.6435468114970986</v>
      </c>
      <c r="CD310">
        <v>6.7803170182976</v>
      </c>
      <c r="CE310">
        <v>6.9203155873959998</v>
      </c>
      <c r="CF310">
        <v>7.0636926816446</v>
      </c>
      <c r="CG310">
        <v>7.2103981870808997</v>
      </c>
      <c r="CH310">
        <v>7.3604791811982002</v>
      </c>
      <c r="CI310">
        <v>7.5141710327334996</v>
      </c>
      <c r="CJ310">
        <v>7.6715126800377993</v>
      </c>
      <c r="CK310">
        <v>7.8326269887703992</v>
      </c>
      <c r="CL310">
        <v>7.9975991187807001</v>
      </c>
      <c r="CM310">
        <v>8.1664847652894998</v>
      </c>
      <c r="CN310">
        <v>8.3394234514586003</v>
      </c>
      <c r="CO310">
        <v>8.5165298432208996</v>
      </c>
      <c r="CP310">
        <v>8.6978083886491984</v>
      </c>
    </row>
    <row r="311" spans="4:94" x14ac:dyDescent="0.2">
      <c r="D311" t="s">
        <v>0</v>
      </c>
      <c r="E311" t="s">
        <v>1</v>
      </c>
      <c r="F311" t="s">
        <v>25</v>
      </c>
      <c r="G311" t="s">
        <v>34</v>
      </c>
      <c r="K311" t="s">
        <v>27</v>
      </c>
      <c r="M311" t="s">
        <v>6</v>
      </c>
      <c r="N311">
        <v>1</v>
      </c>
      <c r="O311">
        <v>1</v>
      </c>
      <c r="P311">
        <v>0</v>
      </c>
      <c r="Q311" t="s">
        <v>259</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0</v>
      </c>
      <c r="BL311">
        <v>0</v>
      </c>
      <c r="BM311">
        <v>0</v>
      </c>
      <c r="BN311">
        <v>0</v>
      </c>
      <c r="BO311">
        <v>0</v>
      </c>
      <c r="BP311">
        <v>0</v>
      </c>
      <c r="BQ311">
        <v>0</v>
      </c>
      <c r="BR311">
        <v>0</v>
      </c>
      <c r="BS311">
        <v>0</v>
      </c>
      <c r="BT311">
        <v>0</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0</v>
      </c>
      <c r="CP311">
        <v>0</v>
      </c>
    </row>
    <row r="312" spans="4:94" x14ac:dyDescent="0.2">
      <c r="D312" t="s">
        <v>0</v>
      </c>
      <c r="E312" t="s">
        <v>1</v>
      </c>
      <c r="F312" t="s">
        <v>25</v>
      </c>
      <c r="G312" t="s">
        <v>34</v>
      </c>
      <c r="K312" t="s">
        <v>27</v>
      </c>
      <c r="M312" t="s">
        <v>7</v>
      </c>
      <c r="N312">
        <v>1</v>
      </c>
      <c r="O312">
        <v>1</v>
      </c>
      <c r="P312">
        <v>0</v>
      </c>
      <c r="Q312" t="s">
        <v>260</v>
      </c>
      <c r="S312">
        <v>0</v>
      </c>
      <c r="T312">
        <v>0</v>
      </c>
      <c r="U312">
        <v>0</v>
      </c>
      <c r="V312">
        <v>0</v>
      </c>
      <c r="W312">
        <v>0</v>
      </c>
      <c r="X312">
        <v>0</v>
      </c>
      <c r="Y312">
        <v>0</v>
      </c>
      <c r="Z312">
        <v>0</v>
      </c>
      <c r="AA312">
        <v>0</v>
      </c>
      <c r="AB312">
        <v>0</v>
      </c>
      <c r="AC312">
        <v>0</v>
      </c>
      <c r="AD312">
        <v>0</v>
      </c>
      <c r="AE312">
        <v>0</v>
      </c>
      <c r="AF312">
        <v>0</v>
      </c>
      <c r="AG312">
        <v>0</v>
      </c>
      <c r="AH312">
        <v>0</v>
      </c>
      <c r="AI312">
        <v>0</v>
      </c>
      <c r="AJ312">
        <v>0</v>
      </c>
      <c r="AK312">
        <v>0</v>
      </c>
      <c r="AL312">
        <v>0</v>
      </c>
      <c r="AM312">
        <v>0</v>
      </c>
      <c r="AN312">
        <v>0</v>
      </c>
      <c r="AO312">
        <v>0</v>
      </c>
      <c r="AP312">
        <v>0</v>
      </c>
      <c r="AQ312">
        <v>0</v>
      </c>
      <c r="AR312">
        <v>0</v>
      </c>
      <c r="AS312">
        <v>0</v>
      </c>
      <c r="AT312">
        <v>0</v>
      </c>
      <c r="AU312">
        <v>0</v>
      </c>
      <c r="AV312">
        <v>0</v>
      </c>
      <c r="AW312">
        <v>0</v>
      </c>
      <c r="AX312">
        <v>0</v>
      </c>
      <c r="AY312">
        <v>0</v>
      </c>
      <c r="AZ312">
        <v>0</v>
      </c>
      <c r="BA312">
        <v>0</v>
      </c>
      <c r="BB312">
        <v>0</v>
      </c>
      <c r="BC312">
        <v>0</v>
      </c>
      <c r="BD312">
        <v>0</v>
      </c>
      <c r="BE312">
        <v>0</v>
      </c>
      <c r="BF312">
        <v>0</v>
      </c>
      <c r="BG312">
        <v>0</v>
      </c>
      <c r="BH312">
        <v>0</v>
      </c>
      <c r="BI312">
        <v>0</v>
      </c>
      <c r="BJ312">
        <v>0</v>
      </c>
      <c r="BK312">
        <v>0</v>
      </c>
      <c r="BL312">
        <v>0</v>
      </c>
      <c r="BM312">
        <v>0</v>
      </c>
      <c r="BN312">
        <v>0</v>
      </c>
      <c r="BO312">
        <v>0</v>
      </c>
      <c r="BP312">
        <v>0</v>
      </c>
      <c r="BQ312">
        <v>0</v>
      </c>
      <c r="BR312">
        <v>0</v>
      </c>
      <c r="BS312">
        <v>0</v>
      </c>
      <c r="BT312">
        <v>0</v>
      </c>
      <c r="BU312">
        <v>0</v>
      </c>
      <c r="BV312">
        <v>0</v>
      </c>
      <c r="BW312">
        <v>0</v>
      </c>
      <c r="BX312">
        <v>0</v>
      </c>
      <c r="BY312">
        <v>0</v>
      </c>
      <c r="BZ312">
        <v>0</v>
      </c>
      <c r="CA312">
        <v>0</v>
      </c>
      <c r="CB312">
        <v>0</v>
      </c>
      <c r="CC312">
        <v>0</v>
      </c>
      <c r="CD312">
        <v>0</v>
      </c>
      <c r="CE312">
        <v>0</v>
      </c>
      <c r="CF312">
        <v>0</v>
      </c>
      <c r="CG312">
        <v>0</v>
      </c>
      <c r="CH312">
        <v>0</v>
      </c>
      <c r="CI312">
        <v>0</v>
      </c>
      <c r="CJ312">
        <v>0</v>
      </c>
      <c r="CK312">
        <v>0</v>
      </c>
      <c r="CL312">
        <v>0</v>
      </c>
      <c r="CM312">
        <v>0</v>
      </c>
      <c r="CN312">
        <v>0</v>
      </c>
      <c r="CO312">
        <v>0</v>
      </c>
      <c r="CP312">
        <v>0</v>
      </c>
    </row>
    <row r="313" spans="4:94" x14ac:dyDescent="0.2">
      <c r="D313" t="s">
        <v>0</v>
      </c>
      <c r="E313" t="s">
        <v>1</v>
      </c>
      <c r="F313" t="s">
        <v>25</v>
      </c>
      <c r="G313" t="s">
        <v>34</v>
      </c>
      <c r="K313" t="s">
        <v>27</v>
      </c>
      <c r="M313" t="s">
        <v>8</v>
      </c>
      <c r="N313">
        <v>1</v>
      </c>
      <c r="O313">
        <v>1</v>
      </c>
      <c r="P313">
        <v>0</v>
      </c>
      <c r="Q313" t="s">
        <v>261</v>
      </c>
      <c r="S313">
        <v>0</v>
      </c>
      <c r="T313">
        <v>0</v>
      </c>
      <c r="U313">
        <v>0</v>
      </c>
      <c r="V313">
        <v>0</v>
      </c>
      <c r="W313">
        <v>0</v>
      </c>
      <c r="X313">
        <v>0</v>
      </c>
      <c r="Y313">
        <v>0</v>
      </c>
      <c r="Z313">
        <v>0</v>
      </c>
      <c r="AA313">
        <v>0</v>
      </c>
      <c r="AB313">
        <v>0</v>
      </c>
      <c r="AC313">
        <v>0</v>
      </c>
      <c r="AD313">
        <v>0</v>
      </c>
      <c r="AE313">
        <v>0</v>
      </c>
      <c r="AF313">
        <v>0</v>
      </c>
      <c r="AG313">
        <v>0</v>
      </c>
      <c r="AH313">
        <v>0</v>
      </c>
      <c r="AI313">
        <v>0</v>
      </c>
      <c r="AJ313">
        <v>0</v>
      </c>
      <c r="AK313">
        <v>0</v>
      </c>
      <c r="AL313">
        <v>0</v>
      </c>
      <c r="AM313">
        <v>0</v>
      </c>
      <c r="AN313">
        <v>0</v>
      </c>
      <c r="AO313">
        <v>0</v>
      </c>
      <c r="AP313">
        <v>0</v>
      </c>
      <c r="AQ313">
        <v>0</v>
      </c>
      <c r="AR313">
        <v>0</v>
      </c>
      <c r="AS313">
        <v>0</v>
      </c>
      <c r="AT313">
        <v>0</v>
      </c>
      <c r="AU313">
        <v>0</v>
      </c>
      <c r="AV313">
        <v>0</v>
      </c>
      <c r="AW313">
        <v>0</v>
      </c>
      <c r="AX313">
        <v>0</v>
      </c>
      <c r="AY313">
        <v>0</v>
      </c>
      <c r="AZ313">
        <v>0</v>
      </c>
      <c r="BA313">
        <v>0</v>
      </c>
      <c r="BB313">
        <v>0</v>
      </c>
      <c r="BC313">
        <v>0</v>
      </c>
      <c r="BD313">
        <v>0</v>
      </c>
      <c r="BE313">
        <v>0</v>
      </c>
      <c r="BF313">
        <v>0</v>
      </c>
      <c r="BG313">
        <v>0</v>
      </c>
      <c r="BH313">
        <v>0</v>
      </c>
      <c r="BI313">
        <v>0</v>
      </c>
      <c r="BJ313">
        <v>0</v>
      </c>
      <c r="BK313">
        <v>0</v>
      </c>
      <c r="BL313">
        <v>0</v>
      </c>
      <c r="BM313">
        <v>0</v>
      </c>
      <c r="BN313">
        <v>0</v>
      </c>
      <c r="BO313">
        <v>0</v>
      </c>
      <c r="BP313">
        <v>0</v>
      </c>
      <c r="BQ313">
        <v>0</v>
      </c>
      <c r="BR313">
        <v>0</v>
      </c>
      <c r="BS313">
        <v>0</v>
      </c>
      <c r="BT313">
        <v>0</v>
      </c>
      <c r="BU313">
        <v>0</v>
      </c>
      <c r="BV313">
        <v>0</v>
      </c>
      <c r="BW313">
        <v>0</v>
      </c>
      <c r="BX313">
        <v>0</v>
      </c>
      <c r="BY313">
        <v>0</v>
      </c>
      <c r="BZ313">
        <v>0</v>
      </c>
      <c r="CA313">
        <v>0</v>
      </c>
      <c r="CB313">
        <v>0</v>
      </c>
      <c r="CC313">
        <v>0</v>
      </c>
      <c r="CD313">
        <v>0</v>
      </c>
      <c r="CE313">
        <v>0</v>
      </c>
      <c r="CF313">
        <v>0</v>
      </c>
      <c r="CG313">
        <v>0</v>
      </c>
      <c r="CH313">
        <v>0</v>
      </c>
      <c r="CI313">
        <v>0</v>
      </c>
      <c r="CJ313">
        <v>0</v>
      </c>
      <c r="CK313">
        <v>0</v>
      </c>
      <c r="CL313">
        <v>0</v>
      </c>
      <c r="CM313">
        <v>0</v>
      </c>
      <c r="CN313">
        <v>0</v>
      </c>
      <c r="CO313">
        <v>0</v>
      </c>
      <c r="CP313">
        <v>0</v>
      </c>
    </row>
    <row r="314" spans="4:94" x14ac:dyDescent="0.2">
      <c r="D314" t="s">
        <v>0</v>
      </c>
      <c r="E314" t="s">
        <v>1</v>
      </c>
      <c r="F314" t="s">
        <v>35</v>
      </c>
      <c r="G314" t="s">
        <v>36</v>
      </c>
      <c r="K314" t="s">
        <v>37</v>
      </c>
      <c r="M314" t="s">
        <v>6</v>
      </c>
      <c r="N314">
        <v>1</v>
      </c>
      <c r="O314">
        <v>1</v>
      </c>
      <c r="P314">
        <v>0</v>
      </c>
      <c r="Q314" t="s">
        <v>262</v>
      </c>
      <c r="S314">
        <v>252.94139999999999</v>
      </c>
      <c r="T314">
        <v>252.94139999999999</v>
      </c>
      <c r="U314">
        <v>273.42</v>
      </c>
      <c r="V314">
        <v>283.91039999999998</v>
      </c>
      <c r="W314">
        <v>198.4248</v>
      </c>
      <c r="X314">
        <v>329.63850000000002</v>
      </c>
      <c r="Y314">
        <v>379.9701</v>
      </c>
      <c r="Z314">
        <v>415.87740000000002</v>
      </c>
      <c r="AA314">
        <v>415.87740000000002</v>
      </c>
      <c r="AB314">
        <v>401.39729999999997</v>
      </c>
      <c r="AC314">
        <v>421.37369999999999</v>
      </c>
      <c r="AD314">
        <v>420.73200000000003</v>
      </c>
      <c r="AE314">
        <v>461.07539999999989</v>
      </c>
      <c r="AF314">
        <v>481.13549999999998</v>
      </c>
      <c r="AG314">
        <v>501.02819999999991</v>
      </c>
      <c r="AH314">
        <v>520.72559999999999</v>
      </c>
      <c r="AI314">
        <v>518.1309</v>
      </c>
      <c r="AJ314">
        <v>515.45249999999999</v>
      </c>
      <c r="AK314">
        <v>279.30689999999998</v>
      </c>
      <c r="AL314">
        <v>129.40020000000001</v>
      </c>
      <c r="AM314">
        <v>120.69540000000001</v>
      </c>
      <c r="AN314">
        <v>0.4743</v>
      </c>
      <c r="AO314">
        <v>115.3107</v>
      </c>
      <c r="AP314">
        <v>327.18329999999997</v>
      </c>
      <c r="AQ314">
        <v>362.9511</v>
      </c>
      <c r="AR314">
        <v>455.82030340765698</v>
      </c>
      <c r="AS314">
        <v>456.01559664647499</v>
      </c>
      <c r="AT314">
        <v>477.22852919676899</v>
      </c>
      <c r="AU314">
        <v>503.20099752243789</v>
      </c>
      <c r="AV314">
        <v>534.56731228803903</v>
      </c>
      <c r="AW314">
        <v>570.67579030270701</v>
      </c>
      <c r="AX314">
        <v>613.69518283364994</v>
      </c>
      <c r="AY314">
        <v>664.56497581109693</v>
      </c>
      <c r="AZ314">
        <v>721.50917840837405</v>
      </c>
      <c r="BA314">
        <v>781.74870935097192</v>
      </c>
      <c r="BB314">
        <v>836.61206499648699</v>
      </c>
      <c r="BC314">
        <v>867.14384781288595</v>
      </c>
      <c r="BD314">
        <v>880.23384910208506</v>
      </c>
      <c r="BE314">
        <v>869.17785987359298</v>
      </c>
      <c r="BF314">
        <v>828.94934876817501</v>
      </c>
      <c r="BG314">
        <v>758.85666225901207</v>
      </c>
      <c r="BH314">
        <v>664.25737500825596</v>
      </c>
      <c r="BI314">
        <v>555.73707221046197</v>
      </c>
      <c r="BJ314">
        <v>445.669269587889</v>
      </c>
      <c r="BK314">
        <v>344.30191760780298</v>
      </c>
      <c r="BL314">
        <v>256.31329344053398</v>
      </c>
      <c r="BM314">
        <v>184.61573398644299</v>
      </c>
      <c r="BN314">
        <v>128.84243740721701</v>
      </c>
      <c r="BO314">
        <v>86.870262028260996</v>
      </c>
      <c r="BP314">
        <v>56.0353627792556</v>
      </c>
      <c r="BQ314">
        <v>33.774692614656097</v>
      </c>
      <c r="BR314">
        <v>35.1173890151832</v>
      </c>
      <c r="BS314">
        <v>36.444322175927013</v>
      </c>
      <c r="BT314">
        <v>37.749688870083602</v>
      </c>
      <c r="BU314">
        <v>39.027692145338499</v>
      </c>
      <c r="BV314">
        <v>40.272331222980313</v>
      </c>
      <c r="BW314">
        <v>41.477506615455702</v>
      </c>
      <c r="BX314">
        <v>42.637169021615897</v>
      </c>
      <c r="BY314">
        <v>43.745367418499299</v>
      </c>
      <c r="BZ314">
        <v>44.796425477267803</v>
      </c>
      <c r="CA314">
        <v>45.784809821098101</v>
      </c>
      <c r="CB314">
        <v>46.705099978123997</v>
      </c>
      <c r="CC314">
        <v>47.6444060923668</v>
      </c>
      <c r="CD314">
        <v>48.603119341331293</v>
      </c>
      <c r="CE314">
        <v>49.581731575893897</v>
      </c>
      <c r="CF314">
        <v>50.580764322253501</v>
      </c>
      <c r="CG314">
        <v>51.600444968851697</v>
      </c>
      <c r="CH314">
        <v>52.641152647393099</v>
      </c>
      <c r="CI314">
        <v>53.703552054067003</v>
      </c>
      <c r="CJ314">
        <v>54.788020492412087</v>
      </c>
      <c r="CK314">
        <v>55.895065603449197</v>
      </c>
      <c r="CL314">
        <v>57.0251447146725</v>
      </c>
      <c r="CM314">
        <v>58.178677911826497</v>
      </c>
      <c r="CN314">
        <v>59.356214594726303</v>
      </c>
      <c r="CO314">
        <v>60.558273128923801</v>
      </c>
      <c r="CP314">
        <v>61.785217796230903</v>
      </c>
    </row>
    <row r="315" spans="4:94" x14ac:dyDescent="0.2">
      <c r="D315" t="s">
        <v>0</v>
      </c>
      <c r="E315" t="s">
        <v>1</v>
      </c>
      <c r="F315" t="s">
        <v>35</v>
      </c>
      <c r="G315" t="s">
        <v>36</v>
      </c>
      <c r="K315" t="s">
        <v>37</v>
      </c>
      <c r="M315" t="s">
        <v>7</v>
      </c>
      <c r="N315">
        <v>1</v>
      </c>
      <c r="O315">
        <v>1</v>
      </c>
      <c r="P315">
        <v>0</v>
      </c>
      <c r="Q315" t="s">
        <v>263</v>
      </c>
      <c r="S315">
        <v>10.254</v>
      </c>
      <c r="T315">
        <v>10.254</v>
      </c>
      <c r="U315">
        <v>11.4</v>
      </c>
      <c r="V315">
        <v>13.965</v>
      </c>
      <c r="W315">
        <v>12.101000000000001</v>
      </c>
      <c r="X315">
        <v>27.969000000000001</v>
      </c>
      <c r="Y315">
        <v>15.304</v>
      </c>
      <c r="Z315">
        <v>15.164</v>
      </c>
      <c r="AA315">
        <v>15.387</v>
      </c>
      <c r="AB315">
        <v>11.069000000000001</v>
      </c>
      <c r="AC315">
        <v>13.372999999999999</v>
      </c>
      <c r="AD315">
        <v>9.6229999999999993</v>
      </c>
      <c r="AE315">
        <v>7.6980000000000004</v>
      </c>
      <c r="AF315">
        <v>14.151</v>
      </c>
      <c r="AG315">
        <v>16.689</v>
      </c>
      <c r="AH315">
        <v>13.688000000000001</v>
      </c>
      <c r="AI315">
        <v>17.754999999999999</v>
      </c>
      <c r="AJ315">
        <v>17.754999999999999</v>
      </c>
      <c r="AK315">
        <v>27.61</v>
      </c>
      <c r="AL315">
        <v>12.941000000000001</v>
      </c>
      <c r="AM315">
        <v>118.306</v>
      </c>
      <c r="AN315">
        <v>124.795</v>
      </c>
      <c r="AO315">
        <v>131.46899999999999</v>
      </c>
      <c r="AP315">
        <v>178.38200000000001</v>
      </c>
      <c r="AQ315">
        <v>66.046999999999997</v>
      </c>
      <c r="AR315">
        <v>122.47668018569399</v>
      </c>
      <c r="AS315">
        <v>190.93462915090001</v>
      </c>
      <c r="AT315">
        <v>199.81652582171401</v>
      </c>
      <c r="AU315">
        <v>210.69124950301801</v>
      </c>
      <c r="AV315">
        <v>223.824387320326</v>
      </c>
      <c r="AW315">
        <v>238.94307823711799</v>
      </c>
      <c r="AX315">
        <v>256.95538268371399</v>
      </c>
      <c r="AY315">
        <v>336.50822093530002</v>
      </c>
      <c r="AZ315">
        <v>461.71333856855301</v>
      </c>
      <c r="BA315">
        <v>659.38091116303997</v>
      </c>
      <c r="BB315">
        <v>965.17858394172197</v>
      </c>
      <c r="BC315">
        <v>1410.4258213191999</v>
      </c>
      <c r="BD315">
        <v>2066.3039323752901</v>
      </c>
      <c r="BE315">
        <v>2996.0960192901298</v>
      </c>
      <c r="BF315">
        <v>4248.5117362388501</v>
      </c>
      <c r="BG315">
        <v>5834.4633049019603</v>
      </c>
      <c r="BH315">
        <v>7711.50106846172</v>
      </c>
      <c r="BI315">
        <v>9791.2768101369711</v>
      </c>
      <c r="BJ315">
        <v>11969.9583908276</v>
      </c>
      <c r="BK315">
        <v>14162.8282223324</v>
      </c>
      <c r="BL315">
        <v>16240.2115928433</v>
      </c>
      <c r="BM315">
        <v>18161.072484247299</v>
      </c>
      <c r="BN315">
        <v>19914.002391460901</v>
      </c>
      <c r="BO315">
        <v>21499.229353804101</v>
      </c>
      <c r="BP315">
        <v>22922.952045980601</v>
      </c>
      <c r="BQ315">
        <v>24190.537577138599</v>
      </c>
      <c r="BR315">
        <v>25152.220577550099</v>
      </c>
      <c r="BS315">
        <v>26102.6134309671</v>
      </c>
      <c r="BT315">
        <v>27037.559676880101</v>
      </c>
      <c r="BU315">
        <v>27952.907348774101</v>
      </c>
      <c r="BV315">
        <v>28844.358493013598</v>
      </c>
      <c r="BW315">
        <v>29707.544457467498</v>
      </c>
      <c r="BX315">
        <v>30538.132535146699</v>
      </c>
      <c r="BY315">
        <v>31331.8604091081</v>
      </c>
      <c r="BZ315">
        <v>32084.6625073088</v>
      </c>
      <c r="CA315">
        <v>32792.575644605698</v>
      </c>
      <c r="CB315">
        <v>33451.717502072897</v>
      </c>
      <c r="CC315">
        <v>34124.479208960103</v>
      </c>
      <c r="CD315">
        <v>34811.140939368001</v>
      </c>
      <c r="CE315">
        <v>35512.054972953199</v>
      </c>
      <c r="CF315">
        <v>36227.594843806502</v>
      </c>
      <c r="CG315">
        <v>36957.923414954101</v>
      </c>
      <c r="CH315">
        <v>37703.312232901597</v>
      </c>
      <c r="CI315">
        <v>38464.237374761098</v>
      </c>
      <c r="CJ315">
        <v>39240.969077646303</v>
      </c>
      <c r="CK315">
        <v>40033.870930630503</v>
      </c>
      <c r="CL315">
        <v>40843.270486596397</v>
      </c>
      <c r="CM315">
        <v>41669.468624669913</v>
      </c>
      <c r="CN315">
        <v>42512.858842936002</v>
      </c>
      <c r="CO315">
        <v>43373.812411727398</v>
      </c>
      <c r="CP315">
        <v>44252.590241571699</v>
      </c>
    </row>
    <row r="316" spans="4:94" x14ac:dyDescent="0.2">
      <c r="D316" t="s">
        <v>0</v>
      </c>
      <c r="E316" t="s">
        <v>1</v>
      </c>
      <c r="F316" t="s">
        <v>35</v>
      </c>
      <c r="G316" t="s">
        <v>36</v>
      </c>
      <c r="K316" t="s">
        <v>37</v>
      </c>
      <c r="M316" t="s">
        <v>8</v>
      </c>
      <c r="N316">
        <v>1</v>
      </c>
      <c r="O316">
        <v>1</v>
      </c>
      <c r="P316">
        <v>0</v>
      </c>
      <c r="Q316" t="s">
        <v>264</v>
      </c>
      <c r="S316">
        <v>31.940999999999999</v>
      </c>
      <c r="T316">
        <v>31.940999999999999</v>
      </c>
      <c r="U316">
        <v>34.125</v>
      </c>
      <c r="V316">
        <v>35.49</v>
      </c>
      <c r="W316">
        <v>24.843</v>
      </c>
      <c r="X316">
        <v>42.314999999999998</v>
      </c>
      <c r="Y316">
        <v>48.320999999999998</v>
      </c>
      <c r="Z316">
        <v>52.143000000000001</v>
      </c>
      <c r="AA316">
        <v>52.143000000000001</v>
      </c>
      <c r="AB316">
        <v>49.959000000000003</v>
      </c>
      <c r="AC316">
        <v>52.143000000000001</v>
      </c>
      <c r="AD316">
        <v>52.143000000000001</v>
      </c>
      <c r="AE316">
        <v>56.783999999999999</v>
      </c>
      <c r="AF316">
        <v>58.968000000000004</v>
      </c>
      <c r="AG316">
        <v>61.424999999999997</v>
      </c>
      <c r="AH316">
        <v>63.609000000000002</v>
      </c>
      <c r="AI316">
        <v>63.609000000000002</v>
      </c>
      <c r="AJ316">
        <v>63.336000000000013</v>
      </c>
      <c r="AK316">
        <v>35.762999999999998</v>
      </c>
      <c r="AL316">
        <v>16.106999999999999</v>
      </c>
      <c r="AM316">
        <v>11.739000000000001</v>
      </c>
      <c r="AN316">
        <v>0.27300000000000002</v>
      </c>
      <c r="AO316">
        <v>11.193</v>
      </c>
      <c r="AP316">
        <v>40.131</v>
      </c>
      <c r="AQ316">
        <v>42.042000000000002</v>
      </c>
      <c r="AR316">
        <v>58.565900476132001</v>
      </c>
      <c r="AS316">
        <v>58.608269152413598</v>
      </c>
      <c r="AT316">
        <v>61.334608491599298</v>
      </c>
      <c r="AU316">
        <v>64.672655315825693</v>
      </c>
      <c r="AV316">
        <v>68.703932823920809</v>
      </c>
      <c r="AW316">
        <v>73.344685056367695</v>
      </c>
      <c r="AX316">
        <v>78.873645369936597</v>
      </c>
      <c r="AY316">
        <v>85.426271382171805</v>
      </c>
      <c r="AZ316">
        <v>92.770483360359805</v>
      </c>
      <c r="BA316">
        <v>100.55617186621301</v>
      </c>
      <c r="BB316">
        <v>107.678778700362</v>
      </c>
      <c r="BC316">
        <v>111.712023124713</v>
      </c>
      <c r="BD316">
        <v>113.55864739712401</v>
      </c>
      <c r="BE316">
        <v>112.37370149305799</v>
      </c>
      <c r="BF316">
        <v>107.523996645864</v>
      </c>
      <c r="BG316">
        <v>98.923468941194201</v>
      </c>
      <c r="BH316">
        <v>87.2493996809348</v>
      </c>
      <c r="BI316">
        <v>73.838842207210803</v>
      </c>
      <c r="BJ316">
        <v>60.254539490533602</v>
      </c>
      <c r="BK316">
        <v>47.791103866515201</v>
      </c>
      <c r="BL316">
        <v>37.016553878083897</v>
      </c>
      <c r="BM316">
        <v>28.294518338498602</v>
      </c>
      <c r="BN316">
        <v>21.575012409215901</v>
      </c>
      <c r="BO316">
        <v>16.5854467032357</v>
      </c>
      <c r="BP316">
        <v>12.9853043985349</v>
      </c>
      <c r="BQ316">
        <v>10.446802808788</v>
      </c>
      <c r="BR316">
        <v>10.862110349508299</v>
      </c>
      <c r="BS316">
        <v>11.2725421846367</v>
      </c>
      <c r="BT316">
        <v>11.6763033262287</v>
      </c>
      <c r="BU316">
        <v>12.071600727093299</v>
      </c>
      <c r="BV316">
        <v>12.4565782947824</v>
      </c>
      <c r="BW316">
        <v>12.829349405354399</v>
      </c>
      <c r="BX316">
        <v>13.1880429579543</v>
      </c>
      <c r="BY316">
        <v>13.5308182500152</v>
      </c>
      <c r="BZ316">
        <v>13.855919544224401</v>
      </c>
      <c r="CA316">
        <v>14.1616353195563</v>
      </c>
      <c r="CB316">
        <v>14.446288977459499</v>
      </c>
      <c r="CC316">
        <v>14.7368244344225</v>
      </c>
      <c r="CD316">
        <v>15.033362685010699</v>
      </c>
      <c r="CE316">
        <v>15.336055862928999</v>
      </c>
      <c r="CF316">
        <v>15.645065280714601</v>
      </c>
      <c r="CG316">
        <v>15.960461271567301</v>
      </c>
      <c r="CH316">
        <v>16.282361104183401</v>
      </c>
      <c r="CI316">
        <v>16.610970374808598</v>
      </c>
      <c r="CJ316">
        <v>16.946405786671601</v>
      </c>
      <c r="CK316">
        <v>17.288824357504701</v>
      </c>
      <c r="CL316">
        <v>17.638367542633699</v>
      </c>
      <c r="CM316">
        <v>17.995165278191301</v>
      </c>
      <c r="CN316">
        <v>18.359387498263501</v>
      </c>
      <c r="CO316">
        <v>18.731194537772499</v>
      </c>
      <c r="CP316">
        <v>19.110699072214601</v>
      </c>
    </row>
    <row r="317" spans="4:94" x14ac:dyDescent="0.2">
      <c r="D317" t="s">
        <v>0</v>
      </c>
      <c r="E317" t="s">
        <v>1</v>
      </c>
      <c r="F317" t="s">
        <v>35</v>
      </c>
      <c r="G317" t="s">
        <v>38</v>
      </c>
      <c r="K317" t="s">
        <v>37</v>
      </c>
      <c r="M317" t="s">
        <v>6</v>
      </c>
      <c r="N317">
        <v>1</v>
      </c>
      <c r="O317">
        <v>1</v>
      </c>
      <c r="P317">
        <v>0</v>
      </c>
      <c r="Q317" t="s">
        <v>265</v>
      </c>
      <c r="S317">
        <v>1506.8232</v>
      </c>
      <c r="T317">
        <v>1506.8232</v>
      </c>
      <c r="U317">
        <v>1603.9989</v>
      </c>
      <c r="V317">
        <v>1654.9443000000001</v>
      </c>
      <c r="W317">
        <v>1740.8205</v>
      </c>
      <c r="X317">
        <v>1726.173</v>
      </c>
      <c r="Y317">
        <v>1853.0900999999999</v>
      </c>
      <c r="Z317">
        <v>2031.3153</v>
      </c>
      <c r="AA317">
        <v>2029.8087</v>
      </c>
      <c r="AB317">
        <v>2079.5544</v>
      </c>
      <c r="AC317">
        <v>2144.9798999999998</v>
      </c>
      <c r="AD317">
        <v>2212.6095</v>
      </c>
      <c r="AE317">
        <v>2282.2757999999999</v>
      </c>
      <c r="AF317">
        <v>2407.2678000000001</v>
      </c>
      <c r="AG317">
        <v>2428.6113</v>
      </c>
      <c r="AH317">
        <v>2505.42</v>
      </c>
      <c r="AI317">
        <v>2584.7118</v>
      </c>
      <c r="AJ317">
        <v>2666.3472000000002</v>
      </c>
      <c r="AK317">
        <v>2574.9747000000002</v>
      </c>
      <c r="AL317">
        <v>2837.43</v>
      </c>
      <c r="AM317">
        <v>3161.3490000000002</v>
      </c>
      <c r="AN317">
        <v>2935.1358</v>
      </c>
      <c r="AO317">
        <v>2935.1637000000001</v>
      </c>
      <c r="AP317">
        <v>3099.1320000000001</v>
      </c>
      <c r="AQ317">
        <v>3083.3406</v>
      </c>
      <c r="AR317">
        <v>3869.7793243522201</v>
      </c>
      <c r="AS317">
        <v>3850.4679486564801</v>
      </c>
      <c r="AT317">
        <v>3974.1104157417799</v>
      </c>
      <c r="AU317">
        <v>4107.7800770825497</v>
      </c>
      <c r="AV317">
        <v>4252.2158014227698</v>
      </c>
      <c r="AW317">
        <v>4406.0110781971798</v>
      </c>
      <c r="AX317">
        <v>4571.0486780326701</v>
      </c>
      <c r="AY317">
        <v>4712.3281780669004</v>
      </c>
      <c r="AZ317">
        <v>4841.0790554026098</v>
      </c>
      <c r="BA317">
        <v>4942.4224792529194</v>
      </c>
      <c r="BB317">
        <v>4991.0213223106202</v>
      </c>
      <c r="BC317">
        <v>4947.9993825111806</v>
      </c>
      <c r="BD317">
        <v>4804.7813855538107</v>
      </c>
      <c r="BE317">
        <v>4539.2658431905302</v>
      </c>
      <c r="BF317">
        <v>4142.5839282141196</v>
      </c>
      <c r="BG317">
        <v>3629.3477261605099</v>
      </c>
      <c r="BH317">
        <v>3040.8238976320599</v>
      </c>
      <c r="BI317">
        <v>2435.41503477779</v>
      </c>
      <c r="BJ317">
        <v>1869.95471001027</v>
      </c>
      <c r="BK317">
        <v>1383.3876131264101</v>
      </c>
      <c r="BL317">
        <v>990.39349209218597</v>
      </c>
      <c r="BM317">
        <v>688.98515078278399</v>
      </c>
      <c r="BN317">
        <v>465.71860941243801</v>
      </c>
      <c r="BO317">
        <v>305.51929230647198</v>
      </c>
      <c r="BP317">
        <v>192.66253182129901</v>
      </c>
      <c r="BQ317">
        <v>114.121286110162</v>
      </c>
      <c r="BR317">
        <v>116.88137770228801</v>
      </c>
      <c r="BS317">
        <v>119.641609174821</v>
      </c>
      <c r="BT317">
        <v>122.396257349967</v>
      </c>
      <c r="BU317">
        <v>125.13269603689101</v>
      </c>
      <c r="BV317">
        <v>127.847438843628</v>
      </c>
      <c r="BW317">
        <v>130.54200467445699</v>
      </c>
      <c r="BX317">
        <v>133.216435387795</v>
      </c>
      <c r="BY317">
        <v>135.86940226215299</v>
      </c>
      <c r="BZ317">
        <v>138.490462726169</v>
      </c>
      <c r="CA317">
        <v>141.07126083382801</v>
      </c>
      <c r="CB317">
        <v>143.610301824228</v>
      </c>
      <c r="CC317">
        <v>146.16336698651801</v>
      </c>
      <c r="CD317">
        <v>148.730320466633</v>
      </c>
      <c r="CE317">
        <v>151.30542036991599</v>
      </c>
      <c r="CF317">
        <v>153.88168854427701</v>
      </c>
      <c r="CG317">
        <v>156.47053500638901</v>
      </c>
      <c r="CH317">
        <v>159.074612232352</v>
      </c>
      <c r="CI317">
        <v>161.679970813804</v>
      </c>
      <c r="CJ317">
        <v>164.29055231899</v>
      </c>
      <c r="CK317">
        <v>166.90306961556601</v>
      </c>
      <c r="CL317">
        <v>169.51782856138101</v>
      </c>
      <c r="CM317">
        <v>172.137908271003</v>
      </c>
      <c r="CN317">
        <v>174.75934482139601</v>
      </c>
      <c r="CO317">
        <v>177.38065158709199</v>
      </c>
      <c r="CP317">
        <v>180.00990548687801</v>
      </c>
    </row>
    <row r="318" spans="4:94" x14ac:dyDescent="0.2">
      <c r="D318" t="s">
        <v>0</v>
      </c>
      <c r="E318" t="s">
        <v>1</v>
      </c>
      <c r="F318" t="s">
        <v>35</v>
      </c>
      <c r="G318" t="s">
        <v>38</v>
      </c>
      <c r="K318" t="s">
        <v>37</v>
      </c>
      <c r="M318" t="s">
        <v>7</v>
      </c>
      <c r="N318">
        <v>1</v>
      </c>
      <c r="O318">
        <v>1</v>
      </c>
      <c r="P318">
        <v>0</v>
      </c>
      <c r="Q318" t="s">
        <v>266</v>
      </c>
      <c r="S318">
        <v>93.631</v>
      </c>
      <c r="T318">
        <v>93.631</v>
      </c>
      <c r="U318">
        <v>104.931</v>
      </c>
      <c r="V318">
        <v>128.51599999999999</v>
      </c>
      <c r="W318">
        <v>111.69</v>
      </c>
      <c r="X318">
        <v>115.485</v>
      </c>
      <c r="Y318">
        <v>135.05000000000001</v>
      </c>
      <c r="Z318">
        <v>135.911</v>
      </c>
      <c r="AA318">
        <v>135.911</v>
      </c>
      <c r="AB318">
        <v>105.316</v>
      </c>
      <c r="AC318">
        <v>86.063999999999993</v>
      </c>
      <c r="AD318">
        <v>93.945999999999998</v>
      </c>
      <c r="AE318">
        <v>78.474999999999994</v>
      </c>
      <c r="AF318">
        <v>137.85300000000001</v>
      </c>
      <c r="AG318">
        <v>161.75399999999999</v>
      </c>
      <c r="AH318">
        <v>133.11600000000001</v>
      </c>
      <c r="AI318">
        <v>176.39699999999999</v>
      </c>
      <c r="AJ318">
        <v>174.52</v>
      </c>
      <c r="AK318">
        <v>111.93899999999999</v>
      </c>
      <c r="AL318">
        <v>131.52199999999999</v>
      </c>
      <c r="AM318">
        <v>155.762</v>
      </c>
      <c r="AN318">
        <v>167.34399999999999</v>
      </c>
      <c r="AO318">
        <v>173.274</v>
      </c>
      <c r="AP318">
        <v>135.779</v>
      </c>
      <c r="AQ318">
        <v>134.14699999999999</v>
      </c>
      <c r="AR318">
        <v>248.59508521642201</v>
      </c>
      <c r="AS318">
        <v>385.43891447336398</v>
      </c>
      <c r="AT318">
        <v>397.81575254386303</v>
      </c>
      <c r="AU318">
        <v>411.19633117799702</v>
      </c>
      <c r="AV318">
        <v>425.65461249424402</v>
      </c>
      <c r="AW318">
        <v>441.04980220144199</v>
      </c>
      <c r="AX318">
        <v>457.57036909775297</v>
      </c>
      <c r="AY318">
        <v>567.45137993589606</v>
      </c>
      <c r="AZ318">
        <v>732.824639650564</v>
      </c>
      <c r="BA318">
        <v>981.32833550559099</v>
      </c>
      <c r="BB318">
        <v>1349.8199196077301</v>
      </c>
      <c r="BC318">
        <v>1880.44613092605</v>
      </c>
      <c r="BD318">
        <v>2628.8495930818599</v>
      </c>
      <c r="BE318">
        <v>3640.4142481076101</v>
      </c>
      <c r="BF318">
        <v>4933.4541055338204</v>
      </c>
      <c r="BG318">
        <v>6478.3067554938998</v>
      </c>
      <c r="BH318">
        <v>8190.738094167591</v>
      </c>
      <c r="BI318">
        <v>9951.45845472377</v>
      </c>
      <c r="BJ318">
        <v>11644.3817648566</v>
      </c>
      <c r="BK318">
        <v>13189.9972452686</v>
      </c>
      <c r="BL318">
        <v>14541.3839699647</v>
      </c>
      <c r="BM318">
        <v>15700.989997955699</v>
      </c>
      <c r="BN318">
        <v>16668.044228337301</v>
      </c>
      <c r="BO318">
        <v>17497.276704608601</v>
      </c>
      <c r="BP318">
        <v>18218.467243473398</v>
      </c>
      <c r="BQ318">
        <v>18855.543575557698</v>
      </c>
      <c r="BR318">
        <v>19311.576179656098</v>
      </c>
      <c r="BS318">
        <v>19767.631895315601</v>
      </c>
      <c r="BT318">
        <v>20222.765117803599</v>
      </c>
      <c r="BU318">
        <v>20674.889700883901</v>
      </c>
      <c r="BV318">
        <v>21123.429609901799</v>
      </c>
      <c r="BW318">
        <v>21568.6358038748</v>
      </c>
      <c r="BX318">
        <v>22010.515198806301</v>
      </c>
      <c r="BY318">
        <v>22448.848258387101</v>
      </c>
      <c r="BZ318">
        <v>22881.9096221166</v>
      </c>
      <c r="CA318">
        <v>23308.318689498701</v>
      </c>
      <c r="CB318">
        <v>23727.828490574699</v>
      </c>
      <c r="CC318">
        <v>24149.655417519101</v>
      </c>
      <c r="CD318">
        <v>24573.7770240178</v>
      </c>
      <c r="CE318">
        <v>24999.2446128679</v>
      </c>
      <c r="CF318">
        <v>25424.9052278132</v>
      </c>
      <c r="CG318">
        <v>25852.644074268599</v>
      </c>
      <c r="CH318">
        <v>26282.899404206499</v>
      </c>
      <c r="CI318">
        <v>26713.366444466599</v>
      </c>
      <c r="CJ318">
        <v>27144.696435622402</v>
      </c>
      <c r="CK318">
        <v>27576.346265435401</v>
      </c>
      <c r="CL318">
        <v>28008.366468877499</v>
      </c>
      <c r="CM318">
        <v>28441.265788716399</v>
      </c>
      <c r="CN318">
        <v>28874.389290836501</v>
      </c>
      <c r="CO318">
        <v>29307.4913494461</v>
      </c>
      <c r="CP318">
        <v>29741.906463124102</v>
      </c>
    </row>
    <row r="319" spans="4:94" x14ac:dyDescent="0.2">
      <c r="D319" t="s">
        <v>0</v>
      </c>
      <c r="E319" t="s">
        <v>1</v>
      </c>
      <c r="F319" t="s">
        <v>35</v>
      </c>
      <c r="G319" t="s">
        <v>38</v>
      </c>
      <c r="K319" t="s">
        <v>37</v>
      </c>
      <c r="M319" t="s">
        <v>8</v>
      </c>
      <c r="N319">
        <v>1</v>
      </c>
      <c r="O319">
        <v>1</v>
      </c>
      <c r="P319">
        <v>0</v>
      </c>
      <c r="Q319" t="s">
        <v>267</v>
      </c>
      <c r="S319">
        <v>192.465</v>
      </c>
      <c r="T319">
        <v>192.465</v>
      </c>
      <c r="U319">
        <v>204.75</v>
      </c>
      <c r="V319">
        <v>211.30199999999999</v>
      </c>
      <c r="W319">
        <v>222.22200000000001</v>
      </c>
      <c r="X319">
        <v>220.03800000000001</v>
      </c>
      <c r="Y319">
        <v>236.41800000000001</v>
      </c>
      <c r="Z319">
        <v>258.80399999999997</v>
      </c>
      <c r="AA319">
        <v>258.53100000000001</v>
      </c>
      <c r="AB319">
        <v>264.53699999999998</v>
      </c>
      <c r="AC319">
        <v>272.72699999999998</v>
      </c>
      <c r="AD319">
        <v>281.46300000000002</v>
      </c>
      <c r="AE319">
        <v>290.19900000000001</v>
      </c>
      <c r="AF319">
        <v>302.21100000000001</v>
      </c>
      <c r="AG319">
        <v>309.30900000000003</v>
      </c>
      <c r="AH319">
        <v>318.86399999999998</v>
      </c>
      <c r="AI319">
        <v>329.238</v>
      </c>
      <c r="AJ319">
        <v>339.61200000000002</v>
      </c>
      <c r="AK319">
        <v>320.50200000000001</v>
      </c>
      <c r="AL319">
        <v>361.452</v>
      </c>
      <c r="AM319">
        <v>391.755</v>
      </c>
      <c r="AN319">
        <v>362.27100000000002</v>
      </c>
      <c r="AO319">
        <v>362.27100000000002</v>
      </c>
      <c r="AP319">
        <v>381.92700000000002</v>
      </c>
      <c r="AQ319">
        <v>377.01299999999998</v>
      </c>
      <c r="AR319">
        <v>525.021060147806</v>
      </c>
      <c r="AS319">
        <v>522.75874575851799</v>
      </c>
      <c r="AT319">
        <v>539.54506416913091</v>
      </c>
      <c r="AU319">
        <v>557.69272451593497</v>
      </c>
      <c r="AV319">
        <v>577.3020393071821</v>
      </c>
      <c r="AW319">
        <v>598.18205364887206</v>
      </c>
      <c r="AX319">
        <v>620.58838187791093</v>
      </c>
      <c r="AY319">
        <v>639.88586065486095</v>
      </c>
      <c r="AZ319">
        <v>657.55154318291693</v>
      </c>
      <c r="BA319">
        <v>671.600900499913</v>
      </c>
      <c r="BB319">
        <v>678.64204362628095</v>
      </c>
      <c r="BC319">
        <v>673.45304841011796</v>
      </c>
      <c r="BD319">
        <v>654.93854590843102</v>
      </c>
      <c r="BE319">
        <v>620.15592947026198</v>
      </c>
      <c r="BF319">
        <v>567.92452248037796</v>
      </c>
      <c r="BG319">
        <v>500.19020502198401</v>
      </c>
      <c r="BH319">
        <v>422.44786185933202</v>
      </c>
      <c r="BI319">
        <v>342.47402771041101</v>
      </c>
      <c r="BJ319">
        <v>267.83631469505701</v>
      </c>
      <c r="BK319">
        <v>203.72040440212899</v>
      </c>
      <c r="BL319">
        <v>152.06032333356899</v>
      </c>
      <c r="BM319">
        <v>112.589505481047</v>
      </c>
      <c r="BN319">
        <v>83.483429349975296</v>
      </c>
      <c r="BO319">
        <v>62.764029142803203</v>
      </c>
      <c r="BP319">
        <v>48.3346538698068</v>
      </c>
      <c r="BQ319">
        <v>38.457435160838301</v>
      </c>
      <c r="BR319">
        <v>39.387551242247604</v>
      </c>
      <c r="BS319">
        <v>40.317714461590697</v>
      </c>
      <c r="BT319">
        <v>41.245996180080503</v>
      </c>
      <c r="BU319">
        <v>42.1681415305315</v>
      </c>
      <c r="BV319">
        <v>43.082975642790487</v>
      </c>
      <c r="BW319">
        <v>43.991010368456799</v>
      </c>
      <c r="BX319">
        <v>44.8922598132893</v>
      </c>
      <c r="BY319">
        <v>45.786276214891799</v>
      </c>
      <c r="BZ319">
        <v>46.669540558322502</v>
      </c>
      <c r="CA319">
        <v>47.539236995082703</v>
      </c>
      <c r="CB319">
        <v>48.394861809587198</v>
      </c>
      <c r="CC319">
        <v>49.255212593273413</v>
      </c>
      <c r="CD319">
        <v>50.120243565033803</v>
      </c>
      <c r="CE319">
        <v>50.988019778733197</v>
      </c>
      <c r="CF319">
        <v>51.856189685062297</v>
      </c>
      <c r="CG319">
        <v>52.728598315840699</v>
      </c>
      <c r="CH319">
        <v>53.606139522085101</v>
      </c>
      <c r="CI319">
        <v>54.484112528980603</v>
      </c>
      <c r="CJ319">
        <v>55.363845595350703</v>
      </c>
      <c r="CK319">
        <v>56.244230999022697</v>
      </c>
      <c r="CL319">
        <v>57.125371810236487</v>
      </c>
      <c r="CM319">
        <v>58.008305651796697</v>
      </c>
      <c r="CN319">
        <v>58.891696731596397</v>
      </c>
      <c r="CO319">
        <v>59.775044075588802</v>
      </c>
      <c r="CP319">
        <v>60.6610695036129</v>
      </c>
    </row>
    <row r="320" spans="4:94" x14ac:dyDescent="0.2">
      <c r="D320" t="s">
        <v>0</v>
      </c>
      <c r="E320" t="s">
        <v>1</v>
      </c>
      <c r="F320" t="s">
        <v>35</v>
      </c>
      <c r="G320" t="s">
        <v>39</v>
      </c>
      <c r="K320" t="s">
        <v>16</v>
      </c>
      <c r="M320" t="s">
        <v>6</v>
      </c>
      <c r="N320">
        <v>1</v>
      </c>
      <c r="O320">
        <v>1</v>
      </c>
      <c r="P320">
        <v>0</v>
      </c>
      <c r="Q320" t="s">
        <v>268</v>
      </c>
      <c r="S320">
        <v>0.1116</v>
      </c>
      <c r="T320">
        <v>0.1116</v>
      </c>
      <c r="U320">
        <v>0.13950000000000001</v>
      </c>
      <c r="V320">
        <v>0.13950000000000001</v>
      </c>
      <c r="W320">
        <v>0.16739999999999999</v>
      </c>
      <c r="X320">
        <v>0.1953</v>
      </c>
      <c r="Y320">
        <v>0.1953</v>
      </c>
      <c r="Z320">
        <v>0.22320000000000001</v>
      </c>
      <c r="AA320">
        <v>0.22320000000000001</v>
      </c>
      <c r="AB320">
        <v>0.25109999999999999</v>
      </c>
      <c r="AC320">
        <v>0.30690000000000001</v>
      </c>
      <c r="AD320">
        <v>0.41849999999999998</v>
      </c>
      <c r="AE320">
        <v>0.44640000000000002</v>
      </c>
      <c r="AF320">
        <v>0.50219999999999998</v>
      </c>
      <c r="AG320">
        <v>0.55799999999999994</v>
      </c>
      <c r="AH320">
        <v>0.6137999999999999</v>
      </c>
      <c r="AI320">
        <v>0.64169999999999994</v>
      </c>
      <c r="AJ320">
        <v>0.6137999999999999</v>
      </c>
      <c r="AK320">
        <v>0.58589999999999998</v>
      </c>
      <c r="AL320">
        <v>0.97650000000000003</v>
      </c>
      <c r="AM320">
        <v>0.69750000000000001</v>
      </c>
      <c r="AN320">
        <v>1.0881000000000001</v>
      </c>
      <c r="AO320">
        <v>1.1438999999999999</v>
      </c>
      <c r="AP320">
        <v>0.69750000000000001</v>
      </c>
      <c r="AQ320">
        <v>1.9809000000000001</v>
      </c>
      <c r="AR320">
        <v>0.7885407973577</v>
      </c>
      <c r="AS320">
        <v>0.81044281515619998</v>
      </c>
      <c r="AT320">
        <v>0.81770257646190003</v>
      </c>
      <c r="AU320">
        <v>0.82083435461050003</v>
      </c>
      <c r="AV320">
        <v>0.85048626247010006</v>
      </c>
      <c r="AW320">
        <v>0.88394736841620003</v>
      </c>
      <c r="AX320">
        <v>0.92380329002750006</v>
      </c>
      <c r="AY320">
        <v>1.0583739764967</v>
      </c>
      <c r="AZ320">
        <v>1.2540170311747001</v>
      </c>
      <c r="BA320">
        <v>1.5414541919471001</v>
      </c>
      <c r="BB320">
        <v>1.9623817841930999</v>
      </c>
      <c r="BC320">
        <v>2.5700373998008001</v>
      </c>
      <c r="BD320">
        <v>3.4262757264447998</v>
      </c>
      <c r="BE320">
        <v>4.5847126534325007</v>
      </c>
      <c r="BF320">
        <v>6.0663087541146998</v>
      </c>
      <c r="BG320">
        <v>7.8328466354968</v>
      </c>
      <c r="BH320">
        <v>9.7780246862878997</v>
      </c>
      <c r="BI320">
        <v>11.7514510743272</v>
      </c>
      <c r="BJ320">
        <v>13.606877024735001</v>
      </c>
      <c r="BK320">
        <v>15.244892327238</v>
      </c>
      <c r="BL320">
        <v>16.623160914159801</v>
      </c>
      <c r="BM320">
        <v>17.749839372125599</v>
      </c>
      <c r="BN320">
        <v>18.6578552792834</v>
      </c>
      <c r="BO320">
        <v>19.392459764463901</v>
      </c>
      <c r="BP320">
        <v>19.976613553928999</v>
      </c>
      <c r="BQ320">
        <v>20.399498510679599</v>
      </c>
      <c r="BR320">
        <v>20.6619594621828</v>
      </c>
      <c r="BS320">
        <v>20.94567614316</v>
      </c>
      <c r="BT320">
        <v>21.246536830895799</v>
      </c>
      <c r="BU320">
        <v>21.560277500182</v>
      </c>
      <c r="BV320">
        <v>21.883342696662101</v>
      </c>
      <c r="BW320">
        <v>22.212804252987699</v>
      </c>
      <c r="BX320">
        <v>22.546569169169501</v>
      </c>
      <c r="BY320">
        <v>22.883112381416801</v>
      </c>
      <c r="BZ320">
        <v>23.2210180817492</v>
      </c>
      <c r="CA320">
        <v>23.559011688007899</v>
      </c>
      <c r="CB320">
        <v>23.896115418228</v>
      </c>
      <c r="CC320">
        <v>24.236269119265</v>
      </c>
      <c r="CD320">
        <v>24.5811780686841</v>
      </c>
      <c r="CE320">
        <v>24.931752383844799</v>
      </c>
      <c r="CF320">
        <v>25.288362348559499</v>
      </c>
      <c r="CG320">
        <v>25.6516980758967</v>
      </c>
      <c r="CH320">
        <v>26.022085688439901</v>
      </c>
      <c r="CI320">
        <v>26.398799642405699</v>
      </c>
      <c r="CJ320">
        <v>26.782208306724801</v>
      </c>
      <c r="CK320">
        <v>27.1723701967856</v>
      </c>
      <c r="CL320">
        <v>27.569322578000602</v>
      </c>
      <c r="CM320">
        <v>27.973075067988201</v>
      </c>
      <c r="CN320">
        <v>28.388257358047699</v>
      </c>
      <c r="CO320">
        <v>28.8181164033412</v>
      </c>
      <c r="CP320">
        <v>29.264820784747599</v>
      </c>
    </row>
    <row r="321" spans="4:94" x14ac:dyDescent="0.2">
      <c r="D321" t="s">
        <v>0</v>
      </c>
      <c r="E321" t="s">
        <v>1</v>
      </c>
      <c r="F321" t="s">
        <v>35</v>
      </c>
      <c r="G321" t="s">
        <v>39</v>
      </c>
      <c r="K321" t="s">
        <v>16</v>
      </c>
      <c r="M321" t="s">
        <v>7</v>
      </c>
      <c r="N321">
        <v>1</v>
      </c>
      <c r="O321">
        <v>1</v>
      </c>
      <c r="P321">
        <v>0</v>
      </c>
      <c r="Q321" t="s">
        <v>269</v>
      </c>
      <c r="S321">
        <v>32.606999999999999</v>
      </c>
      <c r="T321">
        <v>32.606999999999999</v>
      </c>
      <c r="U321">
        <v>34.021999999999998</v>
      </c>
      <c r="V321">
        <v>40.497999999999998</v>
      </c>
      <c r="W321">
        <v>47.002000000000002</v>
      </c>
      <c r="X321">
        <v>48.636000000000003</v>
      </c>
      <c r="Y321">
        <v>49.866</v>
      </c>
      <c r="Z321">
        <v>59.673999999999999</v>
      </c>
      <c r="AA321">
        <v>59.725000000000001</v>
      </c>
      <c r="AB321">
        <v>68.245999999999995</v>
      </c>
      <c r="AC321">
        <v>83.578999999999994</v>
      </c>
      <c r="AD321">
        <v>109.17700000000001</v>
      </c>
      <c r="AE321">
        <v>121.38200000000001</v>
      </c>
      <c r="AF321">
        <v>136.624</v>
      </c>
      <c r="AG321">
        <v>148.702</v>
      </c>
      <c r="AH321">
        <v>164.102</v>
      </c>
      <c r="AI321">
        <v>172.131</v>
      </c>
      <c r="AJ321">
        <v>165.309</v>
      </c>
      <c r="AK321">
        <v>153.239</v>
      </c>
      <c r="AL321">
        <v>255.10300000000001</v>
      </c>
      <c r="AM321">
        <v>173.804</v>
      </c>
      <c r="AN321">
        <v>273.45800000000003</v>
      </c>
      <c r="AO321">
        <v>284.38400000000001</v>
      </c>
      <c r="AP321">
        <v>179.82400000000001</v>
      </c>
      <c r="AQ321">
        <v>508.23099999999999</v>
      </c>
      <c r="AR321">
        <v>586.75438355211998</v>
      </c>
      <c r="AS321">
        <v>603.05170766649996</v>
      </c>
      <c r="AT321">
        <v>608.45370688319201</v>
      </c>
      <c r="AU321">
        <v>610.78406767513707</v>
      </c>
      <c r="AV321">
        <v>632.84809654406206</v>
      </c>
      <c r="AW321">
        <v>657.746555391372</v>
      </c>
      <c r="AX321">
        <v>687.40340611394799</v>
      </c>
      <c r="AY321">
        <v>719.98947484037797</v>
      </c>
      <c r="AZ321">
        <v>755.94299985020791</v>
      </c>
      <c r="BA321">
        <v>794.78205289724201</v>
      </c>
      <c r="BB321">
        <v>834.68774399686492</v>
      </c>
      <c r="BC321">
        <v>873.07136016212291</v>
      </c>
      <c r="BD321">
        <v>907.68981700532697</v>
      </c>
      <c r="BE321">
        <v>936.07692563218302</v>
      </c>
      <c r="BF321">
        <v>956.526958687302</v>
      </c>
      <c r="BG321">
        <v>968.79531542390293</v>
      </c>
      <c r="BH321">
        <v>974.390289740453</v>
      </c>
      <c r="BI321">
        <v>976.10720017360097</v>
      </c>
      <c r="BJ321">
        <v>976.98566499585309</v>
      </c>
      <c r="BK321">
        <v>979.34669419715499</v>
      </c>
      <c r="BL321">
        <v>984.16529911799398</v>
      </c>
      <c r="BM321">
        <v>991.61261986352201</v>
      </c>
      <c r="BN321">
        <v>1001.19022340472</v>
      </c>
      <c r="BO321">
        <v>1012.41710333803</v>
      </c>
      <c r="BP321">
        <v>1023.79861633234</v>
      </c>
      <c r="BQ321">
        <v>1032.6357372917</v>
      </c>
      <c r="BR321">
        <v>1045.92167949386</v>
      </c>
      <c r="BS321">
        <v>1060.2836003954701</v>
      </c>
      <c r="BT321">
        <v>1075.5133619476601</v>
      </c>
      <c r="BU321">
        <v>1091.3951164514399</v>
      </c>
      <c r="BV321">
        <v>1107.7488845200901</v>
      </c>
      <c r="BW321">
        <v>1124.4264404388</v>
      </c>
      <c r="BX321">
        <v>1141.32183520172</v>
      </c>
      <c r="BY321">
        <v>1158.3578690987099</v>
      </c>
      <c r="BZ321">
        <v>1175.46287301904</v>
      </c>
      <c r="CA321">
        <v>1192.5723267938999</v>
      </c>
      <c r="CB321">
        <v>1209.6367344712501</v>
      </c>
      <c r="CC321">
        <v>1226.85553363334</v>
      </c>
      <c r="CD321">
        <v>1244.31504652751</v>
      </c>
      <c r="CE321">
        <v>1262.0613438799701</v>
      </c>
      <c r="CF321">
        <v>1280.1131696954999</v>
      </c>
      <c r="CG321">
        <v>1298.50545794154</v>
      </c>
      <c r="CH321">
        <v>1317.25471715309</v>
      </c>
      <c r="CI321">
        <v>1336.3242198370799</v>
      </c>
      <c r="CJ321">
        <v>1355.73261306576</v>
      </c>
      <c r="CK321">
        <v>1375.4828589257199</v>
      </c>
      <c r="CL321">
        <v>1395.5768438161499</v>
      </c>
      <c r="CM321">
        <v>1416.0150545870399</v>
      </c>
      <c r="CN321">
        <v>1437.0318491901801</v>
      </c>
      <c r="CO321">
        <v>1458.79159058459</v>
      </c>
      <c r="CP321">
        <v>1481.4040537293899</v>
      </c>
    </row>
    <row r="322" spans="4:94" x14ac:dyDescent="0.2">
      <c r="D322" t="s">
        <v>0</v>
      </c>
      <c r="E322" t="s">
        <v>1</v>
      </c>
      <c r="F322" t="s">
        <v>35</v>
      </c>
      <c r="G322" t="s">
        <v>39</v>
      </c>
      <c r="K322" t="s">
        <v>16</v>
      </c>
      <c r="M322" t="s">
        <v>8</v>
      </c>
      <c r="N322">
        <v>1</v>
      </c>
      <c r="O322">
        <v>1</v>
      </c>
      <c r="P322">
        <v>0</v>
      </c>
      <c r="Q322" t="s">
        <v>270</v>
      </c>
      <c r="S322">
        <v>0</v>
      </c>
      <c r="T322">
        <v>0</v>
      </c>
      <c r="U322">
        <v>0</v>
      </c>
      <c r="V322">
        <v>0</v>
      </c>
      <c r="W322">
        <v>0</v>
      </c>
      <c r="X322">
        <v>0</v>
      </c>
      <c r="Y322">
        <v>0</v>
      </c>
      <c r="Z322">
        <v>0</v>
      </c>
      <c r="AA322">
        <v>0</v>
      </c>
      <c r="AB322">
        <v>0.27300000000000002</v>
      </c>
      <c r="AC322">
        <v>0.27300000000000002</v>
      </c>
      <c r="AD322">
        <v>0.27300000000000002</v>
      </c>
      <c r="AE322">
        <v>0.27300000000000002</v>
      </c>
      <c r="AF322">
        <v>0.27300000000000002</v>
      </c>
      <c r="AG322">
        <v>0.27300000000000002</v>
      </c>
      <c r="AH322">
        <v>0.27300000000000002</v>
      </c>
      <c r="AI322">
        <v>0.27300000000000002</v>
      </c>
      <c r="AJ322">
        <v>0.27300000000000002</v>
      </c>
      <c r="AK322">
        <v>0.27300000000000002</v>
      </c>
      <c r="AL322">
        <v>0.54600000000000004</v>
      </c>
      <c r="AM322">
        <v>0.54600000000000004</v>
      </c>
      <c r="AN322">
        <v>0.54600000000000004</v>
      </c>
      <c r="AO322">
        <v>0.54600000000000004</v>
      </c>
      <c r="AP322">
        <v>0.54600000000000004</v>
      </c>
      <c r="AQ322">
        <v>1.0920000000000001</v>
      </c>
      <c r="AR322">
        <v>1.9100565072325</v>
      </c>
      <c r="AS322">
        <v>1.9631090465023999</v>
      </c>
      <c r="AT322">
        <v>1.980694128174</v>
      </c>
      <c r="AU322">
        <v>1.9882801316528</v>
      </c>
      <c r="AV322">
        <v>2.0601049754003999</v>
      </c>
      <c r="AW322">
        <v>2.1411567147218</v>
      </c>
      <c r="AX322">
        <v>2.237698406262</v>
      </c>
      <c r="AY322">
        <v>2.3895307161105999</v>
      </c>
      <c r="AZ322">
        <v>2.5808265240454</v>
      </c>
      <c r="BA322">
        <v>2.8258282138687001</v>
      </c>
      <c r="BB322">
        <v>3.1408631376392</v>
      </c>
      <c r="BC322">
        <v>3.5460912790317001</v>
      </c>
      <c r="BD322">
        <v>4.0669069217971003</v>
      </c>
      <c r="BE322">
        <v>4.7239765812238002</v>
      </c>
      <c r="BF322">
        <v>5.5234678392044998</v>
      </c>
      <c r="BG322">
        <v>6.4454873234893997</v>
      </c>
      <c r="BH322">
        <v>7.4403438214552002</v>
      </c>
      <c r="BI322">
        <v>8.4394410604399983</v>
      </c>
      <c r="BJ322">
        <v>9.3769007889450009</v>
      </c>
      <c r="BK322">
        <v>10.208600402554101</v>
      </c>
      <c r="BL322">
        <v>10.915714646042799</v>
      </c>
      <c r="BM322">
        <v>11.502795890371599</v>
      </c>
      <c r="BN322">
        <v>11.985155786665</v>
      </c>
      <c r="BO322">
        <v>12.3843623814646</v>
      </c>
      <c r="BP322">
        <v>12.7081355567529</v>
      </c>
      <c r="BQ322">
        <v>12.9440647464885</v>
      </c>
      <c r="BR322">
        <v>13.1106037203709</v>
      </c>
      <c r="BS322">
        <v>13.2906300620139</v>
      </c>
      <c r="BT322">
        <v>13.481534765856599</v>
      </c>
      <c r="BU322">
        <v>13.6806121860551</v>
      </c>
      <c r="BV322">
        <v>13.8856062852183</v>
      </c>
      <c r="BW322">
        <v>14.0946590574874</v>
      </c>
      <c r="BX322">
        <v>14.3064424345592</v>
      </c>
      <c r="BY322">
        <v>14.519988719877899</v>
      </c>
      <c r="BZ322">
        <v>14.7343995428214</v>
      </c>
      <c r="CA322">
        <v>14.948866144587299</v>
      </c>
      <c r="CB322">
        <v>15.162768094577199</v>
      </c>
      <c r="CC322">
        <v>15.378605338207301</v>
      </c>
      <c r="CD322">
        <v>15.597459922823001</v>
      </c>
      <c r="CE322">
        <v>15.819909343896899</v>
      </c>
      <c r="CF322">
        <v>16.046188557089</v>
      </c>
      <c r="CG322">
        <v>16.276735458862099</v>
      </c>
      <c r="CH322">
        <v>16.511756983315198</v>
      </c>
      <c r="CI322">
        <v>16.750792752184001</v>
      </c>
      <c r="CJ322">
        <v>16.9940765060819</v>
      </c>
      <c r="CK322">
        <v>17.241645374694698</v>
      </c>
      <c r="CL322">
        <v>17.4935230039918</v>
      </c>
      <c r="CM322">
        <v>17.749715496626798</v>
      </c>
      <c r="CN322">
        <v>18.0131605240284</v>
      </c>
      <c r="CO322">
        <v>18.285918372032999</v>
      </c>
      <c r="CP322">
        <v>18.569365067177699</v>
      </c>
    </row>
    <row r="323" spans="4:94" x14ac:dyDescent="0.2">
      <c r="D323" t="s">
        <v>0</v>
      </c>
      <c r="E323" t="s">
        <v>1</v>
      </c>
      <c r="F323" t="s">
        <v>40</v>
      </c>
      <c r="K323" t="s">
        <v>41</v>
      </c>
      <c r="M323" t="s">
        <v>6</v>
      </c>
      <c r="N323">
        <v>1</v>
      </c>
      <c r="O323">
        <v>1</v>
      </c>
      <c r="P323">
        <v>0</v>
      </c>
      <c r="Q323" t="s">
        <v>271</v>
      </c>
      <c r="S323">
        <v>0</v>
      </c>
      <c r="T323">
        <v>0</v>
      </c>
      <c r="U323">
        <v>0</v>
      </c>
      <c r="V323">
        <v>0</v>
      </c>
      <c r="W323">
        <v>0</v>
      </c>
      <c r="X323">
        <v>0</v>
      </c>
      <c r="Y323">
        <v>0</v>
      </c>
      <c r="Z323">
        <v>0</v>
      </c>
      <c r="AA323">
        <v>0</v>
      </c>
      <c r="AB323">
        <v>0</v>
      </c>
      <c r="AC323">
        <v>0</v>
      </c>
      <c r="AD323">
        <v>0</v>
      </c>
      <c r="AE323">
        <v>0</v>
      </c>
      <c r="AF323">
        <v>0</v>
      </c>
      <c r="AG323">
        <v>0</v>
      </c>
      <c r="AH323">
        <v>0</v>
      </c>
      <c r="AI323">
        <v>0</v>
      </c>
      <c r="AJ323">
        <v>0</v>
      </c>
      <c r="AK323">
        <v>0</v>
      </c>
      <c r="AL323">
        <v>0</v>
      </c>
      <c r="AM323">
        <v>0</v>
      </c>
      <c r="AN323">
        <v>0</v>
      </c>
      <c r="AO323">
        <v>0</v>
      </c>
      <c r="AP323">
        <v>0</v>
      </c>
      <c r="AQ323">
        <v>0</v>
      </c>
      <c r="AR323">
        <v>0</v>
      </c>
      <c r="AS323">
        <v>0</v>
      </c>
      <c r="AT323">
        <v>0</v>
      </c>
      <c r="AU323">
        <v>0</v>
      </c>
      <c r="AV323">
        <v>0</v>
      </c>
      <c r="AW323">
        <v>0</v>
      </c>
      <c r="AX323">
        <v>0</v>
      </c>
      <c r="AY323">
        <v>0</v>
      </c>
      <c r="AZ323">
        <v>0</v>
      </c>
      <c r="BA323">
        <v>0</v>
      </c>
      <c r="BB323">
        <v>0</v>
      </c>
      <c r="BC323">
        <v>0</v>
      </c>
      <c r="BD323">
        <v>0</v>
      </c>
      <c r="BE323">
        <v>0</v>
      </c>
      <c r="BF323">
        <v>0</v>
      </c>
      <c r="BG323">
        <v>0</v>
      </c>
      <c r="BH323">
        <v>0</v>
      </c>
      <c r="BI323">
        <v>0</v>
      </c>
      <c r="BJ323">
        <v>0</v>
      </c>
      <c r="BK323">
        <v>0</v>
      </c>
      <c r="BL323">
        <v>0</v>
      </c>
      <c r="BM323">
        <v>0</v>
      </c>
      <c r="BN323">
        <v>0</v>
      </c>
      <c r="BO323">
        <v>0</v>
      </c>
      <c r="BP323">
        <v>0</v>
      </c>
      <c r="BQ323">
        <v>0</v>
      </c>
      <c r="BR323">
        <v>0</v>
      </c>
      <c r="BS323">
        <v>0</v>
      </c>
      <c r="BT323">
        <v>0</v>
      </c>
      <c r="BU323">
        <v>0</v>
      </c>
      <c r="BV323">
        <v>0</v>
      </c>
      <c r="BW323">
        <v>0</v>
      </c>
      <c r="BX323">
        <v>0</v>
      </c>
      <c r="BY323">
        <v>0</v>
      </c>
      <c r="BZ323">
        <v>0</v>
      </c>
      <c r="CA323">
        <v>0</v>
      </c>
      <c r="CB323">
        <v>0</v>
      </c>
      <c r="CC323">
        <v>0</v>
      </c>
      <c r="CD323">
        <v>0</v>
      </c>
      <c r="CE323">
        <v>0</v>
      </c>
      <c r="CF323">
        <v>0</v>
      </c>
      <c r="CG323">
        <v>0</v>
      </c>
      <c r="CH323">
        <v>0</v>
      </c>
      <c r="CI323">
        <v>0</v>
      </c>
      <c r="CJ323">
        <v>0</v>
      </c>
      <c r="CK323">
        <v>0</v>
      </c>
      <c r="CL323">
        <v>0</v>
      </c>
      <c r="CM323">
        <v>0</v>
      </c>
      <c r="CN323">
        <v>0</v>
      </c>
      <c r="CO323">
        <v>0</v>
      </c>
      <c r="CP323">
        <v>0</v>
      </c>
    </row>
    <row r="324" spans="4:94" x14ac:dyDescent="0.2">
      <c r="D324" t="s">
        <v>0</v>
      </c>
      <c r="E324" t="s">
        <v>1</v>
      </c>
      <c r="F324" t="s">
        <v>40</v>
      </c>
      <c r="K324" t="s">
        <v>41</v>
      </c>
      <c r="M324" t="s">
        <v>7</v>
      </c>
      <c r="N324">
        <v>1</v>
      </c>
      <c r="O324">
        <v>1</v>
      </c>
      <c r="P324">
        <v>0</v>
      </c>
      <c r="Q324" t="s">
        <v>272</v>
      </c>
      <c r="S324">
        <v>0</v>
      </c>
      <c r="T324">
        <v>0</v>
      </c>
      <c r="U324">
        <v>0</v>
      </c>
      <c r="V324">
        <v>0</v>
      </c>
      <c r="W324">
        <v>0</v>
      </c>
      <c r="X324">
        <v>0</v>
      </c>
      <c r="Y324">
        <v>0</v>
      </c>
      <c r="Z324">
        <v>0</v>
      </c>
      <c r="AA324">
        <v>0</v>
      </c>
      <c r="AB324">
        <v>0</v>
      </c>
      <c r="AC324">
        <v>0</v>
      </c>
      <c r="AD324">
        <v>0</v>
      </c>
      <c r="AE324">
        <v>0</v>
      </c>
      <c r="AF324">
        <v>0</v>
      </c>
      <c r="AG324">
        <v>0</v>
      </c>
      <c r="AH324">
        <v>0</v>
      </c>
      <c r="AI324">
        <v>0</v>
      </c>
      <c r="AJ324">
        <v>0</v>
      </c>
      <c r="AK324">
        <v>0</v>
      </c>
      <c r="AL324">
        <v>0</v>
      </c>
      <c r="AM324">
        <v>0</v>
      </c>
      <c r="AN324">
        <v>0</v>
      </c>
      <c r="AO324">
        <v>0</v>
      </c>
      <c r="AP324">
        <v>0</v>
      </c>
      <c r="AQ324">
        <v>3.1850000000000001</v>
      </c>
      <c r="AR324">
        <v>0</v>
      </c>
      <c r="AS324">
        <v>0</v>
      </c>
      <c r="AT324">
        <v>0</v>
      </c>
      <c r="AU324">
        <v>0</v>
      </c>
      <c r="AV324">
        <v>0</v>
      </c>
      <c r="AW324">
        <v>0</v>
      </c>
      <c r="AX324">
        <v>0</v>
      </c>
      <c r="AY324">
        <v>0</v>
      </c>
      <c r="AZ324">
        <v>0</v>
      </c>
      <c r="BA324">
        <v>0</v>
      </c>
      <c r="BB324">
        <v>0</v>
      </c>
      <c r="BC324">
        <v>0</v>
      </c>
      <c r="BD324">
        <v>0</v>
      </c>
      <c r="BE324">
        <v>0</v>
      </c>
      <c r="BF324">
        <v>0</v>
      </c>
      <c r="BG324">
        <v>0</v>
      </c>
      <c r="BH324">
        <v>0</v>
      </c>
      <c r="BI324">
        <v>0</v>
      </c>
      <c r="BJ324">
        <v>0</v>
      </c>
      <c r="BK324">
        <v>0</v>
      </c>
      <c r="BL324">
        <v>0</v>
      </c>
      <c r="BM324">
        <v>0</v>
      </c>
      <c r="BN324">
        <v>0</v>
      </c>
      <c r="BO324">
        <v>0</v>
      </c>
      <c r="BP324">
        <v>0</v>
      </c>
      <c r="BQ324">
        <v>0</v>
      </c>
      <c r="BR324">
        <v>0</v>
      </c>
      <c r="BS324">
        <v>0</v>
      </c>
      <c r="BT324">
        <v>0</v>
      </c>
      <c r="BU324">
        <v>0</v>
      </c>
      <c r="BV324">
        <v>0</v>
      </c>
      <c r="BW324">
        <v>0</v>
      </c>
      <c r="BX324">
        <v>0</v>
      </c>
      <c r="BY324">
        <v>0</v>
      </c>
      <c r="BZ324">
        <v>0</v>
      </c>
      <c r="CA324">
        <v>0</v>
      </c>
      <c r="CB324">
        <v>0</v>
      </c>
      <c r="CC324">
        <v>0</v>
      </c>
      <c r="CD324">
        <v>0</v>
      </c>
      <c r="CE324">
        <v>0</v>
      </c>
      <c r="CF324">
        <v>0</v>
      </c>
      <c r="CG324">
        <v>0</v>
      </c>
      <c r="CH324">
        <v>0</v>
      </c>
      <c r="CI324">
        <v>0</v>
      </c>
      <c r="CJ324">
        <v>0</v>
      </c>
      <c r="CK324">
        <v>0</v>
      </c>
      <c r="CL324">
        <v>0</v>
      </c>
      <c r="CM324">
        <v>0</v>
      </c>
      <c r="CN324">
        <v>0</v>
      </c>
      <c r="CO324">
        <v>0</v>
      </c>
      <c r="CP324">
        <v>0</v>
      </c>
    </row>
    <row r="325" spans="4:94" x14ac:dyDescent="0.2">
      <c r="D325" t="s">
        <v>0</v>
      </c>
      <c r="E325" t="s">
        <v>1</v>
      </c>
      <c r="F325" t="s">
        <v>40</v>
      </c>
      <c r="K325" t="s">
        <v>41</v>
      </c>
      <c r="M325" t="s">
        <v>8</v>
      </c>
      <c r="N325">
        <v>1</v>
      </c>
      <c r="O325">
        <v>1</v>
      </c>
      <c r="P325">
        <v>0</v>
      </c>
      <c r="Q325" t="s">
        <v>273</v>
      </c>
      <c r="S325">
        <v>0</v>
      </c>
      <c r="T325">
        <v>0</v>
      </c>
      <c r="U325">
        <v>0</v>
      </c>
      <c r="V325">
        <v>0</v>
      </c>
      <c r="W325">
        <v>0</v>
      </c>
      <c r="X325">
        <v>0</v>
      </c>
      <c r="Y325">
        <v>0</v>
      </c>
      <c r="Z325">
        <v>0</v>
      </c>
      <c r="AA325">
        <v>0</v>
      </c>
      <c r="AB325">
        <v>0</v>
      </c>
      <c r="AC325">
        <v>0</v>
      </c>
      <c r="AD325">
        <v>0</v>
      </c>
      <c r="AE325">
        <v>0</v>
      </c>
      <c r="AF325">
        <v>0</v>
      </c>
      <c r="AG325">
        <v>0</v>
      </c>
      <c r="AH325">
        <v>0</v>
      </c>
      <c r="AI325">
        <v>0</v>
      </c>
      <c r="AJ325">
        <v>0</v>
      </c>
      <c r="AK325">
        <v>0</v>
      </c>
      <c r="AL325">
        <v>0</v>
      </c>
      <c r="AM325">
        <v>0</v>
      </c>
      <c r="AN325">
        <v>0</v>
      </c>
      <c r="AO325">
        <v>0</v>
      </c>
      <c r="AP325">
        <v>0</v>
      </c>
      <c r="AQ325">
        <v>0</v>
      </c>
      <c r="AR325">
        <v>0</v>
      </c>
      <c r="AS325">
        <v>0</v>
      </c>
      <c r="AT325">
        <v>0</v>
      </c>
      <c r="AU325">
        <v>0</v>
      </c>
      <c r="AV325">
        <v>0</v>
      </c>
      <c r="AW325">
        <v>0</v>
      </c>
      <c r="AX325">
        <v>0</v>
      </c>
      <c r="AY325">
        <v>0</v>
      </c>
      <c r="AZ325">
        <v>0</v>
      </c>
      <c r="BA325">
        <v>0</v>
      </c>
      <c r="BB325">
        <v>0</v>
      </c>
      <c r="BC325">
        <v>0</v>
      </c>
      <c r="BD325">
        <v>0</v>
      </c>
      <c r="BE325">
        <v>0</v>
      </c>
      <c r="BF325">
        <v>0</v>
      </c>
      <c r="BG325">
        <v>0</v>
      </c>
      <c r="BH325">
        <v>0</v>
      </c>
      <c r="BI325">
        <v>0</v>
      </c>
      <c r="BJ325">
        <v>0</v>
      </c>
      <c r="BK325">
        <v>0</v>
      </c>
      <c r="BL325">
        <v>0</v>
      </c>
      <c r="BM325">
        <v>0</v>
      </c>
      <c r="BN325">
        <v>0</v>
      </c>
      <c r="BO325">
        <v>0</v>
      </c>
      <c r="BP325">
        <v>0</v>
      </c>
      <c r="BQ325">
        <v>0</v>
      </c>
      <c r="BR325">
        <v>0</v>
      </c>
      <c r="BS325">
        <v>0</v>
      </c>
      <c r="BT325">
        <v>0</v>
      </c>
      <c r="BU325">
        <v>0</v>
      </c>
      <c r="BV325">
        <v>0</v>
      </c>
      <c r="BW325">
        <v>0</v>
      </c>
      <c r="BX325">
        <v>0</v>
      </c>
      <c r="BY325">
        <v>0</v>
      </c>
      <c r="BZ325">
        <v>0</v>
      </c>
      <c r="CA325">
        <v>0</v>
      </c>
      <c r="CB325">
        <v>0</v>
      </c>
      <c r="CC325">
        <v>0</v>
      </c>
      <c r="CD325">
        <v>0</v>
      </c>
      <c r="CE325">
        <v>0</v>
      </c>
      <c r="CF325">
        <v>0</v>
      </c>
      <c r="CG325">
        <v>0</v>
      </c>
      <c r="CH325">
        <v>0</v>
      </c>
      <c r="CI325">
        <v>0</v>
      </c>
      <c r="CJ325">
        <v>0</v>
      </c>
      <c r="CK325">
        <v>0</v>
      </c>
      <c r="CL325">
        <v>0</v>
      </c>
      <c r="CM325">
        <v>0</v>
      </c>
      <c r="CN325">
        <v>0</v>
      </c>
      <c r="CO325">
        <v>0</v>
      </c>
      <c r="CP325">
        <v>0</v>
      </c>
    </row>
    <row r="326" spans="4:94" x14ac:dyDescent="0.2">
      <c r="D326" t="s">
        <v>0</v>
      </c>
      <c r="E326" t="s">
        <v>42</v>
      </c>
      <c r="F326" t="s">
        <v>43</v>
      </c>
      <c r="K326" t="s">
        <v>44</v>
      </c>
      <c r="M326" t="s">
        <v>6</v>
      </c>
      <c r="N326">
        <v>1</v>
      </c>
      <c r="O326">
        <v>1</v>
      </c>
      <c r="P326">
        <v>0</v>
      </c>
      <c r="Q326" t="s">
        <v>274</v>
      </c>
      <c r="S326">
        <v>0</v>
      </c>
      <c r="T326">
        <v>0</v>
      </c>
      <c r="U326">
        <v>0</v>
      </c>
      <c r="V326">
        <v>0</v>
      </c>
      <c r="W326">
        <v>0</v>
      </c>
      <c r="X326">
        <v>0</v>
      </c>
      <c r="Y326">
        <v>0</v>
      </c>
      <c r="Z326">
        <v>0</v>
      </c>
      <c r="AA326">
        <v>0</v>
      </c>
      <c r="AB326">
        <v>0</v>
      </c>
      <c r="AC326">
        <v>0</v>
      </c>
      <c r="AD326">
        <v>0</v>
      </c>
      <c r="AE326">
        <v>0</v>
      </c>
      <c r="AF326">
        <v>0</v>
      </c>
      <c r="AG326">
        <v>0</v>
      </c>
      <c r="AH326">
        <v>0</v>
      </c>
      <c r="AI326">
        <v>0</v>
      </c>
      <c r="AJ326">
        <v>0</v>
      </c>
      <c r="AK326">
        <v>0</v>
      </c>
      <c r="AL326">
        <v>0</v>
      </c>
      <c r="AM326">
        <v>0</v>
      </c>
      <c r="AN326">
        <v>0</v>
      </c>
      <c r="AO326">
        <v>0</v>
      </c>
      <c r="AP326">
        <v>0</v>
      </c>
      <c r="AQ326">
        <v>0</v>
      </c>
      <c r="AR326">
        <v>0</v>
      </c>
      <c r="AS326">
        <v>0</v>
      </c>
      <c r="AT326">
        <v>0</v>
      </c>
      <c r="AU326">
        <v>0</v>
      </c>
      <c r="AV326">
        <v>0</v>
      </c>
      <c r="AW326">
        <v>0</v>
      </c>
      <c r="AX326">
        <v>0</v>
      </c>
      <c r="AY326">
        <v>0</v>
      </c>
      <c r="AZ326">
        <v>0</v>
      </c>
      <c r="BA326">
        <v>0</v>
      </c>
      <c r="BB326">
        <v>0</v>
      </c>
      <c r="BC326">
        <v>0</v>
      </c>
      <c r="BD326">
        <v>0</v>
      </c>
      <c r="BE326">
        <v>0</v>
      </c>
      <c r="BF326">
        <v>0</v>
      </c>
      <c r="BG326">
        <v>0</v>
      </c>
      <c r="BH326">
        <v>0</v>
      </c>
      <c r="BI326">
        <v>0</v>
      </c>
      <c r="BJ326">
        <v>0</v>
      </c>
      <c r="BK326">
        <v>0</v>
      </c>
      <c r="BL326">
        <v>0</v>
      </c>
      <c r="BM326">
        <v>0</v>
      </c>
      <c r="BN326">
        <v>0</v>
      </c>
      <c r="BO326">
        <v>0</v>
      </c>
      <c r="BP326">
        <v>0</v>
      </c>
      <c r="BQ326">
        <v>0</v>
      </c>
      <c r="BR326">
        <v>0</v>
      </c>
      <c r="BS326">
        <v>0</v>
      </c>
      <c r="BT326">
        <v>0</v>
      </c>
      <c r="BU326">
        <v>0</v>
      </c>
      <c r="BV326">
        <v>0</v>
      </c>
      <c r="BW326">
        <v>0</v>
      </c>
      <c r="BX326">
        <v>0</v>
      </c>
      <c r="BY326">
        <v>0</v>
      </c>
      <c r="BZ326">
        <v>0</v>
      </c>
      <c r="CA326">
        <v>0</v>
      </c>
      <c r="CB326">
        <v>0</v>
      </c>
      <c r="CC326">
        <v>0</v>
      </c>
      <c r="CD326">
        <v>0</v>
      </c>
      <c r="CE326">
        <v>0</v>
      </c>
      <c r="CF326">
        <v>0</v>
      </c>
      <c r="CG326">
        <v>0</v>
      </c>
      <c r="CH326">
        <v>0</v>
      </c>
      <c r="CI326">
        <v>0</v>
      </c>
      <c r="CJ326">
        <v>0</v>
      </c>
      <c r="CK326">
        <v>0</v>
      </c>
      <c r="CL326">
        <v>0</v>
      </c>
      <c r="CM326">
        <v>0</v>
      </c>
      <c r="CN326">
        <v>0</v>
      </c>
      <c r="CO326">
        <v>0</v>
      </c>
      <c r="CP326">
        <v>0</v>
      </c>
    </row>
    <row r="327" spans="4:94" x14ac:dyDescent="0.2">
      <c r="D327" t="s">
        <v>0</v>
      </c>
      <c r="E327" t="s">
        <v>42</v>
      </c>
      <c r="F327" t="s">
        <v>43</v>
      </c>
      <c r="K327" t="s">
        <v>44</v>
      </c>
      <c r="M327" t="s">
        <v>7</v>
      </c>
      <c r="N327">
        <v>1</v>
      </c>
      <c r="O327">
        <v>1</v>
      </c>
      <c r="P327">
        <v>0</v>
      </c>
      <c r="Q327" t="s">
        <v>275</v>
      </c>
      <c r="S327">
        <v>0</v>
      </c>
      <c r="T327">
        <v>0</v>
      </c>
      <c r="U327">
        <v>0</v>
      </c>
      <c r="V327">
        <v>0</v>
      </c>
      <c r="W327">
        <v>0</v>
      </c>
      <c r="X327">
        <v>0</v>
      </c>
      <c r="Y327">
        <v>0</v>
      </c>
      <c r="Z327">
        <v>0</v>
      </c>
      <c r="AA327">
        <v>0</v>
      </c>
      <c r="AB327">
        <v>0</v>
      </c>
      <c r="AC327">
        <v>0</v>
      </c>
      <c r="AD327">
        <v>0</v>
      </c>
      <c r="AE327">
        <v>0</v>
      </c>
      <c r="AF327">
        <v>0</v>
      </c>
      <c r="AG327">
        <v>0</v>
      </c>
      <c r="AH327">
        <v>0</v>
      </c>
      <c r="AI327">
        <v>0</v>
      </c>
      <c r="AJ327">
        <v>0</v>
      </c>
      <c r="AK327">
        <v>0</v>
      </c>
      <c r="AL327">
        <v>0</v>
      </c>
      <c r="AM327">
        <v>0</v>
      </c>
      <c r="AN327">
        <v>0</v>
      </c>
      <c r="AO327">
        <v>0</v>
      </c>
      <c r="AP327">
        <v>0</v>
      </c>
      <c r="AQ327">
        <v>0</v>
      </c>
      <c r="AR327">
        <v>0</v>
      </c>
      <c r="AS327">
        <v>0</v>
      </c>
      <c r="AT327">
        <v>0</v>
      </c>
      <c r="AU327">
        <v>0</v>
      </c>
      <c r="AV327">
        <v>0</v>
      </c>
      <c r="AW327">
        <v>0</v>
      </c>
      <c r="AX327">
        <v>0</v>
      </c>
      <c r="AY327">
        <v>0</v>
      </c>
      <c r="AZ327">
        <v>0</v>
      </c>
      <c r="BA327">
        <v>0</v>
      </c>
      <c r="BB327">
        <v>0</v>
      </c>
      <c r="BC327">
        <v>0</v>
      </c>
      <c r="BD327">
        <v>0</v>
      </c>
      <c r="BE327">
        <v>0</v>
      </c>
      <c r="BF327">
        <v>0</v>
      </c>
      <c r="BG327">
        <v>0</v>
      </c>
      <c r="BH327">
        <v>0</v>
      </c>
      <c r="BI327">
        <v>0</v>
      </c>
      <c r="BJ327">
        <v>0</v>
      </c>
      <c r="BK327">
        <v>0</v>
      </c>
      <c r="BL327">
        <v>0</v>
      </c>
      <c r="BM327">
        <v>0</v>
      </c>
      <c r="BN327">
        <v>0</v>
      </c>
      <c r="BO327">
        <v>0</v>
      </c>
      <c r="BP327">
        <v>0</v>
      </c>
      <c r="BQ327">
        <v>0</v>
      </c>
      <c r="BR327">
        <v>0</v>
      </c>
      <c r="BS327">
        <v>0</v>
      </c>
      <c r="BT327">
        <v>0</v>
      </c>
      <c r="BU327">
        <v>0</v>
      </c>
      <c r="BV327">
        <v>0</v>
      </c>
      <c r="BW327">
        <v>0</v>
      </c>
      <c r="BX327">
        <v>0</v>
      </c>
      <c r="BY327">
        <v>0</v>
      </c>
      <c r="BZ327">
        <v>0</v>
      </c>
      <c r="CA327">
        <v>0</v>
      </c>
      <c r="CB327">
        <v>0</v>
      </c>
      <c r="CC327">
        <v>0</v>
      </c>
      <c r="CD327">
        <v>0</v>
      </c>
      <c r="CE327">
        <v>0</v>
      </c>
      <c r="CF327">
        <v>0</v>
      </c>
      <c r="CG327">
        <v>0</v>
      </c>
      <c r="CH327">
        <v>0</v>
      </c>
      <c r="CI327">
        <v>0</v>
      </c>
      <c r="CJ327">
        <v>0</v>
      </c>
      <c r="CK327">
        <v>0</v>
      </c>
      <c r="CL327">
        <v>0</v>
      </c>
      <c r="CM327">
        <v>0</v>
      </c>
      <c r="CN327">
        <v>0</v>
      </c>
      <c r="CO327">
        <v>0</v>
      </c>
      <c r="CP327">
        <v>0</v>
      </c>
    </row>
    <row r="328" spans="4:94" x14ac:dyDescent="0.2">
      <c r="D328" t="s">
        <v>0</v>
      </c>
      <c r="E328" t="s">
        <v>42</v>
      </c>
      <c r="F328" t="s">
        <v>43</v>
      </c>
      <c r="K328" t="s">
        <v>44</v>
      </c>
      <c r="M328" t="s">
        <v>8</v>
      </c>
      <c r="N328">
        <v>1</v>
      </c>
      <c r="O328">
        <v>1</v>
      </c>
      <c r="P328">
        <v>0</v>
      </c>
      <c r="Q328" t="s">
        <v>276</v>
      </c>
      <c r="S328">
        <v>0</v>
      </c>
      <c r="T328">
        <v>0</v>
      </c>
      <c r="U328">
        <v>0</v>
      </c>
      <c r="V328">
        <v>0</v>
      </c>
      <c r="W328">
        <v>0</v>
      </c>
      <c r="X328">
        <v>0</v>
      </c>
      <c r="Y328">
        <v>0</v>
      </c>
      <c r="Z328">
        <v>0</v>
      </c>
      <c r="AA328">
        <v>0</v>
      </c>
      <c r="AB328">
        <v>0</v>
      </c>
      <c r="AC328">
        <v>0</v>
      </c>
      <c r="AD328">
        <v>0</v>
      </c>
      <c r="AE328">
        <v>0</v>
      </c>
      <c r="AF328">
        <v>0</v>
      </c>
      <c r="AG328">
        <v>0</v>
      </c>
      <c r="AH328">
        <v>0</v>
      </c>
      <c r="AI328">
        <v>0</v>
      </c>
      <c r="AJ328">
        <v>0</v>
      </c>
      <c r="AK328">
        <v>0</v>
      </c>
      <c r="AL328">
        <v>0</v>
      </c>
      <c r="AM328">
        <v>0</v>
      </c>
      <c r="AN328">
        <v>0</v>
      </c>
      <c r="AO328">
        <v>0</v>
      </c>
      <c r="AP328">
        <v>0</v>
      </c>
      <c r="AQ328">
        <v>0</v>
      </c>
      <c r="AR328">
        <v>0</v>
      </c>
      <c r="AS328">
        <v>0</v>
      </c>
      <c r="AT328">
        <v>0</v>
      </c>
      <c r="AU328">
        <v>0</v>
      </c>
      <c r="AV328">
        <v>0</v>
      </c>
      <c r="AW328">
        <v>0</v>
      </c>
      <c r="AX328">
        <v>0</v>
      </c>
      <c r="AY328">
        <v>0</v>
      </c>
      <c r="AZ328">
        <v>0</v>
      </c>
      <c r="BA328">
        <v>0</v>
      </c>
      <c r="BB328">
        <v>0</v>
      </c>
      <c r="BC328">
        <v>0</v>
      </c>
      <c r="BD328">
        <v>0</v>
      </c>
      <c r="BE328">
        <v>0</v>
      </c>
      <c r="BF328">
        <v>0</v>
      </c>
      <c r="BG328">
        <v>0</v>
      </c>
      <c r="BH328">
        <v>0</v>
      </c>
      <c r="BI328">
        <v>0</v>
      </c>
      <c r="BJ328">
        <v>0</v>
      </c>
      <c r="BK328">
        <v>0</v>
      </c>
      <c r="BL328">
        <v>0</v>
      </c>
      <c r="BM328">
        <v>0</v>
      </c>
      <c r="BN328">
        <v>0</v>
      </c>
      <c r="BO328">
        <v>0</v>
      </c>
      <c r="BP328">
        <v>0</v>
      </c>
      <c r="BQ328">
        <v>0</v>
      </c>
      <c r="BR328">
        <v>0</v>
      </c>
      <c r="BS328">
        <v>0</v>
      </c>
      <c r="BT328">
        <v>0</v>
      </c>
      <c r="BU328">
        <v>0</v>
      </c>
      <c r="BV328">
        <v>0</v>
      </c>
      <c r="BW328">
        <v>0</v>
      </c>
      <c r="BX328">
        <v>0</v>
      </c>
      <c r="BY328">
        <v>0</v>
      </c>
      <c r="BZ328">
        <v>0</v>
      </c>
      <c r="CA328">
        <v>0</v>
      </c>
      <c r="CB328">
        <v>0</v>
      </c>
      <c r="CC328">
        <v>0</v>
      </c>
      <c r="CD328">
        <v>0</v>
      </c>
      <c r="CE328">
        <v>0</v>
      </c>
      <c r="CF328">
        <v>0</v>
      </c>
      <c r="CG328">
        <v>0</v>
      </c>
      <c r="CH328">
        <v>0</v>
      </c>
      <c r="CI328">
        <v>0</v>
      </c>
      <c r="CJ328">
        <v>0</v>
      </c>
      <c r="CK328">
        <v>0</v>
      </c>
      <c r="CL328">
        <v>0</v>
      </c>
      <c r="CM328">
        <v>0</v>
      </c>
      <c r="CN328">
        <v>0</v>
      </c>
      <c r="CO328">
        <v>0</v>
      </c>
      <c r="CP328">
        <v>0</v>
      </c>
    </row>
    <row r="329" spans="4:94" x14ac:dyDescent="0.2">
      <c r="D329" t="s">
        <v>0</v>
      </c>
      <c r="E329" t="s">
        <v>42</v>
      </c>
      <c r="F329" t="s">
        <v>45</v>
      </c>
      <c r="G329" t="s">
        <v>46</v>
      </c>
      <c r="K329" t="s">
        <v>44</v>
      </c>
      <c r="M329" t="s">
        <v>6</v>
      </c>
      <c r="N329">
        <v>1</v>
      </c>
      <c r="O329">
        <v>1</v>
      </c>
      <c r="P329">
        <v>0</v>
      </c>
      <c r="Q329" t="s">
        <v>277</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2.42970859489315E-3</v>
      </c>
      <c r="AS329">
        <v>2.79879351175236E-3</v>
      </c>
      <c r="AT329">
        <v>3.1689479358118899E-3</v>
      </c>
      <c r="AU329">
        <v>3.4955092969399101E-3</v>
      </c>
      <c r="AV329">
        <v>3.4964948153795501E-3</v>
      </c>
      <c r="AW329">
        <v>3.5363326406910702E-3</v>
      </c>
      <c r="AX329">
        <v>3.5784437111560001E-3</v>
      </c>
      <c r="AY329">
        <v>3.8650754934963699E-2</v>
      </c>
      <c r="AZ329">
        <v>8.0183235722770405E-2</v>
      </c>
      <c r="BA329">
        <v>0.1289633497622</v>
      </c>
      <c r="BB329">
        <v>0.1849788044131</v>
      </c>
      <c r="BC329">
        <v>0.19522445725920001</v>
      </c>
      <c r="BD329">
        <v>0.2056121932202</v>
      </c>
      <c r="BE329">
        <v>0.21618758846469999</v>
      </c>
      <c r="BF329">
        <v>0.22707663391630001</v>
      </c>
      <c r="BG329">
        <v>0.23836894555749999</v>
      </c>
      <c r="BH329">
        <v>0.25014839037660003</v>
      </c>
      <c r="BI329">
        <v>0.26246534688849998</v>
      </c>
      <c r="BJ329">
        <v>0.27537133645919998</v>
      </c>
      <c r="BK329">
        <v>0.28897225041719998</v>
      </c>
      <c r="BL329">
        <v>0.30196096229710001</v>
      </c>
      <c r="BM329">
        <v>0.3184723775078</v>
      </c>
      <c r="BN329">
        <v>0.33422543245190001</v>
      </c>
      <c r="BO329">
        <v>0.34894154342209999</v>
      </c>
      <c r="BP329">
        <v>0.36239924657689998</v>
      </c>
      <c r="BQ329">
        <v>0.37434784582140002</v>
      </c>
      <c r="BR329">
        <v>0.38435591043169998</v>
      </c>
      <c r="BS329">
        <v>0.39402983767560001</v>
      </c>
      <c r="BT329">
        <v>0.40329264459129999</v>
      </c>
      <c r="BU329">
        <v>0.41206843111719998</v>
      </c>
      <c r="BV329">
        <v>0.42027920451380002</v>
      </c>
      <c r="BW329">
        <v>0.42882893334420003</v>
      </c>
      <c r="BX329">
        <v>0.4366961959074</v>
      </c>
      <c r="BY329">
        <v>0.44381261467639999</v>
      </c>
      <c r="BZ329">
        <v>0.45012644353030001</v>
      </c>
      <c r="CA329">
        <v>0.45559299554990002</v>
      </c>
      <c r="CB329">
        <v>0.46017199422619998</v>
      </c>
      <c r="CC329">
        <v>0.46473640711160003</v>
      </c>
      <c r="CD329">
        <v>0.46928856690030002</v>
      </c>
      <c r="CE329">
        <v>0.473834942318</v>
      </c>
      <c r="CF329">
        <v>0.47838149917579997</v>
      </c>
      <c r="CG329">
        <v>0.4829388541545</v>
      </c>
      <c r="CH329">
        <v>0.48750871794790002</v>
      </c>
      <c r="CI329">
        <v>0.49211672402869999</v>
      </c>
      <c r="CJ329">
        <v>0.49678313979839989</v>
      </c>
      <c r="CK329">
        <v>0.50153837534680001</v>
      </c>
      <c r="CL329">
        <v>0.50641808969640001</v>
      </c>
      <c r="CM329">
        <v>0.51146322302930003</v>
      </c>
      <c r="CN329">
        <v>0.51672681002819998</v>
      </c>
      <c r="CO329">
        <v>0.52226085012250001</v>
      </c>
      <c r="CP329">
        <v>0.52810755475900006</v>
      </c>
    </row>
    <row r="330" spans="4:94" x14ac:dyDescent="0.2">
      <c r="D330" t="s">
        <v>0</v>
      </c>
      <c r="E330" t="s">
        <v>42</v>
      </c>
      <c r="F330" t="s">
        <v>45</v>
      </c>
      <c r="G330" t="s">
        <v>46</v>
      </c>
      <c r="K330" t="s">
        <v>44</v>
      </c>
      <c r="M330" t="s">
        <v>7</v>
      </c>
      <c r="N330">
        <v>1</v>
      </c>
      <c r="O330">
        <v>1</v>
      </c>
      <c r="P330">
        <v>0</v>
      </c>
      <c r="Q330" t="s">
        <v>278</v>
      </c>
      <c r="S330">
        <v>0</v>
      </c>
      <c r="T330">
        <v>0</v>
      </c>
      <c r="U330">
        <v>0</v>
      </c>
      <c r="V330">
        <v>0</v>
      </c>
      <c r="W330">
        <v>0</v>
      </c>
      <c r="X330">
        <v>0</v>
      </c>
      <c r="Y330">
        <v>0</v>
      </c>
      <c r="Z330">
        <v>0</v>
      </c>
      <c r="AA330">
        <v>0</v>
      </c>
      <c r="AB330">
        <v>0</v>
      </c>
      <c r="AC330">
        <v>0</v>
      </c>
      <c r="AD330">
        <v>0</v>
      </c>
      <c r="AE330">
        <v>0</v>
      </c>
      <c r="AF330">
        <v>0</v>
      </c>
      <c r="AG330">
        <v>0</v>
      </c>
      <c r="AH330">
        <v>0</v>
      </c>
      <c r="AI330">
        <v>0</v>
      </c>
      <c r="AJ330">
        <v>0</v>
      </c>
      <c r="AK330">
        <v>0</v>
      </c>
      <c r="AL330">
        <v>0</v>
      </c>
      <c r="AM330">
        <v>0</v>
      </c>
      <c r="AN330">
        <v>0</v>
      </c>
      <c r="AO330">
        <v>0</v>
      </c>
      <c r="AP330">
        <v>0</v>
      </c>
      <c r="AQ330">
        <v>0</v>
      </c>
      <c r="AR330">
        <v>0</v>
      </c>
      <c r="AS330">
        <v>0</v>
      </c>
      <c r="AT330">
        <v>0</v>
      </c>
      <c r="AU330">
        <v>0</v>
      </c>
      <c r="AV330">
        <v>0</v>
      </c>
      <c r="AW330">
        <v>0</v>
      </c>
      <c r="AX330">
        <v>0</v>
      </c>
      <c r="AY330">
        <v>0</v>
      </c>
      <c r="AZ330">
        <v>0</v>
      </c>
      <c r="BA330">
        <v>0</v>
      </c>
      <c r="BB330">
        <v>0</v>
      </c>
      <c r="BC330">
        <v>0</v>
      </c>
      <c r="BD330">
        <v>0</v>
      </c>
      <c r="BE330">
        <v>0</v>
      </c>
      <c r="BF330">
        <v>0</v>
      </c>
      <c r="BG330">
        <v>0</v>
      </c>
      <c r="BH330">
        <v>0</v>
      </c>
      <c r="BI330">
        <v>0</v>
      </c>
      <c r="BJ330">
        <v>0</v>
      </c>
      <c r="BK330">
        <v>0</v>
      </c>
      <c r="BL330">
        <v>0</v>
      </c>
      <c r="BM330">
        <v>0</v>
      </c>
      <c r="BN330">
        <v>0</v>
      </c>
      <c r="BO330">
        <v>0</v>
      </c>
      <c r="BP330">
        <v>0</v>
      </c>
      <c r="BQ330">
        <v>0</v>
      </c>
      <c r="BR330">
        <v>0</v>
      </c>
      <c r="BS330">
        <v>0</v>
      </c>
      <c r="BT330">
        <v>0</v>
      </c>
      <c r="BU330">
        <v>0</v>
      </c>
      <c r="BV330">
        <v>0</v>
      </c>
      <c r="BW330">
        <v>0</v>
      </c>
      <c r="BX330">
        <v>0</v>
      </c>
      <c r="BY330">
        <v>0</v>
      </c>
      <c r="BZ330">
        <v>0</v>
      </c>
      <c r="CA330">
        <v>0</v>
      </c>
      <c r="CB330">
        <v>0</v>
      </c>
      <c r="CC330">
        <v>0</v>
      </c>
      <c r="CD330">
        <v>0</v>
      </c>
      <c r="CE330">
        <v>0</v>
      </c>
      <c r="CF330">
        <v>0</v>
      </c>
      <c r="CG330">
        <v>0</v>
      </c>
      <c r="CH330">
        <v>0</v>
      </c>
      <c r="CI330">
        <v>0</v>
      </c>
      <c r="CJ330">
        <v>0</v>
      </c>
      <c r="CK330">
        <v>0</v>
      </c>
      <c r="CL330">
        <v>0</v>
      </c>
      <c r="CM330">
        <v>0</v>
      </c>
      <c r="CN330">
        <v>0</v>
      </c>
      <c r="CO330">
        <v>0</v>
      </c>
      <c r="CP330">
        <v>0</v>
      </c>
    </row>
    <row r="331" spans="4:94" x14ac:dyDescent="0.2">
      <c r="D331" t="s">
        <v>0</v>
      </c>
      <c r="E331" t="s">
        <v>42</v>
      </c>
      <c r="F331" t="s">
        <v>45</v>
      </c>
      <c r="G331" t="s">
        <v>46</v>
      </c>
      <c r="K331" t="s">
        <v>44</v>
      </c>
      <c r="M331" t="s">
        <v>8</v>
      </c>
      <c r="N331">
        <v>1</v>
      </c>
      <c r="O331">
        <v>1</v>
      </c>
      <c r="P331">
        <v>0</v>
      </c>
      <c r="Q331" t="s">
        <v>279</v>
      </c>
      <c r="S331">
        <v>0</v>
      </c>
      <c r="T331">
        <v>0</v>
      </c>
      <c r="U331">
        <v>0</v>
      </c>
      <c r="V331">
        <v>0</v>
      </c>
      <c r="W331">
        <v>0</v>
      </c>
      <c r="X331">
        <v>0</v>
      </c>
      <c r="Y331">
        <v>0</v>
      </c>
      <c r="Z331">
        <v>0</v>
      </c>
      <c r="AA331">
        <v>0</v>
      </c>
      <c r="AB331">
        <v>0</v>
      </c>
      <c r="AC331">
        <v>0</v>
      </c>
      <c r="AD331">
        <v>0</v>
      </c>
      <c r="AE331">
        <v>0</v>
      </c>
      <c r="AF331">
        <v>0</v>
      </c>
      <c r="AG331">
        <v>0</v>
      </c>
      <c r="AH331">
        <v>0</v>
      </c>
      <c r="AI331">
        <v>0</v>
      </c>
      <c r="AJ331">
        <v>0</v>
      </c>
      <c r="AK331">
        <v>0</v>
      </c>
      <c r="AL331">
        <v>0</v>
      </c>
      <c r="AM331">
        <v>0</v>
      </c>
      <c r="AN331">
        <v>0</v>
      </c>
      <c r="AO331">
        <v>0</v>
      </c>
      <c r="AP331">
        <v>0</v>
      </c>
      <c r="AQ331">
        <v>0</v>
      </c>
      <c r="AR331">
        <v>0</v>
      </c>
      <c r="AS331">
        <v>0</v>
      </c>
      <c r="AT331">
        <v>0</v>
      </c>
      <c r="AU331">
        <v>0</v>
      </c>
      <c r="AV331">
        <v>0</v>
      </c>
      <c r="AW331">
        <v>0</v>
      </c>
      <c r="AX331">
        <v>0</v>
      </c>
      <c r="AY331">
        <v>0</v>
      </c>
      <c r="AZ331">
        <v>0</v>
      </c>
      <c r="BA331">
        <v>0</v>
      </c>
      <c r="BB331">
        <v>0</v>
      </c>
      <c r="BC331">
        <v>0</v>
      </c>
      <c r="BD331">
        <v>0</v>
      </c>
      <c r="BE331">
        <v>0</v>
      </c>
      <c r="BF331">
        <v>0</v>
      </c>
      <c r="BG331">
        <v>0</v>
      </c>
      <c r="BH331">
        <v>0</v>
      </c>
      <c r="BI331">
        <v>0</v>
      </c>
      <c r="BJ331">
        <v>0</v>
      </c>
      <c r="BK331">
        <v>0</v>
      </c>
      <c r="BL331">
        <v>0</v>
      </c>
      <c r="BM331">
        <v>0</v>
      </c>
      <c r="BN331">
        <v>0</v>
      </c>
      <c r="BO331">
        <v>0</v>
      </c>
      <c r="BP331">
        <v>0</v>
      </c>
      <c r="BQ331">
        <v>0</v>
      </c>
      <c r="BR331">
        <v>0</v>
      </c>
      <c r="BS331">
        <v>0</v>
      </c>
      <c r="BT331">
        <v>0</v>
      </c>
      <c r="BU331">
        <v>0</v>
      </c>
      <c r="BV331">
        <v>0</v>
      </c>
      <c r="BW331">
        <v>0</v>
      </c>
      <c r="BX331">
        <v>0</v>
      </c>
      <c r="BY331">
        <v>0</v>
      </c>
      <c r="BZ331">
        <v>0</v>
      </c>
      <c r="CA331">
        <v>0</v>
      </c>
      <c r="CB331">
        <v>0</v>
      </c>
      <c r="CC331">
        <v>0</v>
      </c>
      <c r="CD331">
        <v>0</v>
      </c>
      <c r="CE331">
        <v>0</v>
      </c>
      <c r="CF331">
        <v>0</v>
      </c>
      <c r="CG331">
        <v>0</v>
      </c>
      <c r="CH331">
        <v>0</v>
      </c>
      <c r="CI331">
        <v>0</v>
      </c>
      <c r="CJ331">
        <v>0</v>
      </c>
      <c r="CK331">
        <v>0</v>
      </c>
      <c r="CL331">
        <v>0</v>
      </c>
      <c r="CM331">
        <v>0</v>
      </c>
      <c r="CN331">
        <v>0</v>
      </c>
      <c r="CO331">
        <v>0</v>
      </c>
      <c r="CP331">
        <v>0</v>
      </c>
    </row>
    <row r="332" spans="4:94" x14ac:dyDescent="0.2">
      <c r="D332" t="s">
        <v>0</v>
      </c>
      <c r="E332" t="s">
        <v>42</v>
      </c>
      <c r="F332" t="s">
        <v>45</v>
      </c>
      <c r="G332" t="s">
        <v>47</v>
      </c>
      <c r="K332" t="s">
        <v>44</v>
      </c>
      <c r="M332" t="s">
        <v>6</v>
      </c>
      <c r="N332">
        <v>1</v>
      </c>
      <c r="O332">
        <v>1</v>
      </c>
      <c r="P332">
        <v>0</v>
      </c>
      <c r="Q332" t="s">
        <v>280</v>
      </c>
      <c r="S332">
        <v>0</v>
      </c>
      <c r="T332">
        <v>0</v>
      </c>
      <c r="U332">
        <v>0</v>
      </c>
      <c r="V332">
        <v>0</v>
      </c>
      <c r="W332">
        <v>0</v>
      </c>
      <c r="X332">
        <v>0</v>
      </c>
      <c r="Y332">
        <v>0</v>
      </c>
      <c r="Z332">
        <v>0</v>
      </c>
      <c r="AA332">
        <v>0</v>
      </c>
      <c r="AB332">
        <v>0</v>
      </c>
      <c r="AC332">
        <v>0</v>
      </c>
      <c r="AD332">
        <v>0</v>
      </c>
      <c r="AE332">
        <v>0</v>
      </c>
      <c r="AF332">
        <v>0</v>
      </c>
      <c r="AG332">
        <v>0</v>
      </c>
      <c r="AH332">
        <v>0</v>
      </c>
      <c r="AI332">
        <v>0</v>
      </c>
      <c r="AJ332">
        <v>0</v>
      </c>
      <c r="AK332">
        <v>0</v>
      </c>
      <c r="AL332">
        <v>0</v>
      </c>
      <c r="AM332">
        <v>0</v>
      </c>
      <c r="AN332">
        <v>0</v>
      </c>
      <c r="AO332">
        <v>0</v>
      </c>
      <c r="AP332">
        <v>0</v>
      </c>
      <c r="AQ332">
        <v>0</v>
      </c>
      <c r="AR332">
        <v>0.1866643780785</v>
      </c>
      <c r="AS332">
        <v>0.18787562415440001</v>
      </c>
      <c r="AT332">
        <v>0.18893015380979999</v>
      </c>
      <c r="AU332">
        <v>0.19038056185230001</v>
      </c>
      <c r="AV332">
        <v>0.19176363984850001</v>
      </c>
      <c r="AW332">
        <v>0.19309270341179999</v>
      </c>
      <c r="AX332">
        <v>0.194356101403</v>
      </c>
      <c r="AY332">
        <v>0.23322165117589999</v>
      </c>
      <c r="AZ332">
        <v>0.29102984836750001</v>
      </c>
      <c r="BA332">
        <v>0.37684145176419998</v>
      </c>
      <c r="BB332">
        <v>0.50313643709</v>
      </c>
      <c r="BC332">
        <v>4.5206355573421986</v>
      </c>
      <c r="BD332">
        <v>8.694476654595201</v>
      </c>
      <c r="BE332">
        <v>13.080643585661701</v>
      </c>
      <c r="BF332">
        <v>17.7280370710703</v>
      </c>
      <c r="BG332">
        <v>22.658575278879798</v>
      </c>
      <c r="BH332">
        <v>27.851016707644899</v>
      </c>
      <c r="BI332">
        <v>33.242057773251688</v>
      </c>
      <c r="BJ332">
        <v>38.747850307478203</v>
      </c>
      <c r="BK332">
        <v>44.292668203137403</v>
      </c>
      <c r="BL332">
        <v>49.8093491660441</v>
      </c>
      <c r="BM332">
        <v>55.267813279635213</v>
      </c>
      <c r="BN332">
        <v>60.664252976904102</v>
      </c>
      <c r="BO332">
        <v>66.001426926700404</v>
      </c>
      <c r="BP332">
        <v>71.290376231085503</v>
      </c>
      <c r="BQ332">
        <v>76.536749075392905</v>
      </c>
      <c r="BR332">
        <v>76.884265018996899</v>
      </c>
      <c r="BS332">
        <v>77.230866270031512</v>
      </c>
      <c r="BT332">
        <v>77.5748027209236</v>
      </c>
      <c r="BU332">
        <v>77.914332051894206</v>
      </c>
      <c r="BV332">
        <v>78.2476396224843</v>
      </c>
      <c r="BW332">
        <v>78.572871316307712</v>
      </c>
      <c r="BX332">
        <v>78.88818271889609</v>
      </c>
      <c r="BY332">
        <v>79.191745901320203</v>
      </c>
      <c r="BZ332">
        <v>79.481801373180105</v>
      </c>
      <c r="CA332">
        <v>79.75660248680461</v>
      </c>
      <c r="CB332">
        <v>80.014399365808799</v>
      </c>
      <c r="CC332">
        <v>80.279537094992307</v>
      </c>
      <c r="CD332">
        <v>80.552157861406499</v>
      </c>
      <c r="CE332">
        <v>80.832434283101705</v>
      </c>
      <c r="CF332">
        <v>81.120545664691704</v>
      </c>
      <c r="CG332">
        <v>81.4165698906464</v>
      </c>
      <c r="CH332">
        <v>81.720637671541596</v>
      </c>
      <c r="CI332">
        <v>82.032973075348593</v>
      </c>
      <c r="CJ332">
        <v>82.3537083379574</v>
      </c>
      <c r="CK332">
        <v>82.683020309661799</v>
      </c>
      <c r="CL332">
        <v>83.021069132438001</v>
      </c>
      <c r="CM332">
        <v>83.368003259448813</v>
      </c>
      <c r="CN332">
        <v>83.724056380041802</v>
      </c>
      <c r="CO332">
        <v>84.089440956617807</v>
      </c>
      <c r="CP332">
        <v>84.464309405873905</v>
      </c>
    </row>
    <row r="333" spans="4:94" x14ac:dyDescent="0.2">
      <c r="D333" t="s">
        <v>0</v>
      </c>
      <c r="E333" t="s">
        <v>42</v>
      </c>
      <c r="F333" t="s">
        <v>45</v>
      </c>
      <c r="G333" t="s">
        <v>47</v>
      </c>
      <c r="K333" t="s">
        <v>44</v>
      </c>
      <c r="M333" t="s">
        <v>7</v>
      </c>
      <c r="N333">
        <v>1</v>
      </c>
      <c r="O333">
        <v>1</v>
      </c>
      <c r="P333">
        <v>0</v>
      </c>
      <c r="Q333" t="s">
        <v>281</v>
      </c>
      <c r="S333">
        <v>0</v>
      </c>
      <c r="T333">
        <v>0</v>
      </c>
      <c r="U333">
        <v>0</v>
      </c>
      <c r="V333">
        <v>0</v>
      </c>
      <c r="W333">
        <v>0</v>
      </c>
      <c r="X333">
        <v>0</v>
      </c>
      <c r="Y333">
        <v>0</v>
      </c>
      <c r="Z333">
        <v>0</v>
      </c>
      <c r="AA333">
        <v>0</v>
      </c>
      <c r="AB333">
        <v>0</v>
      </c>
      <c r="AC333">
        <v>0</v>
      </c>
      <c r="AD333">
        <v>0</v>
      </c>
      <c r="AE333">
        <v>0</v>
      </c>
      <c r="AF333">
        <v>0</v>
      </c>
      <c r="AG333">
        <v>0</v>
      </c>
      <c r="AH333">
        <v>0</v>
      </c>
      <c r="AI333">
        <v>0</v>
      </c>
      <c r="AJ333">
        <v>0</v>
      </c>
      <c r="AK333">
        <v>0</v>
      </c>
      <c r="AL333">
        <v>0</v>
      </c>
      <c r="AM333">
        <v>0</v>
      </c>
      <c r="AN333">
        <v>0</v>
      </c>
      <c r="AO333">
        <v>0</v>
      </c>
      <c r="AP333">
        <v>0</v>
      </c>
      <c r="AQ333">
        <v>0</v>
      </c>
      <c r="AR333">
        <v>0</v>
      </c>
      <c r="AS333">
        <v>0</v>
      </c>
      <c r="AT333">
        <v>0</v>
      </c>
      <c r="AU333">
        <v>0</v>
      </c>
      <c r="AV333">
        <v>0</v>
      </c>
      <c r="AW333">
        <v>0</v>
      </c>
      <c r="AX333">
        <v>0</v>
      </c>
      <c r="AY333">
        <v>0</v>
      </c>
      <c r="AZ333">
        <v>0</v>
      </c>
      <c r="BA333">
        <v>0</v>
      </c>
      <c r="BB333">
        <v>0</v>
      </c>
      <c r="BC333">
        <v>0</v>
      </c>
      <c r="BD333">
        <v>0</v>
      </c>
      <c r="BE333">
        <v>0</v>
      </c>
      <c r="BF333">
        <v>0</v>
      </c>
      <c r="BG333">
        <v>0</v>
      </c>
      <c r="BH333">
        <v>0</v>
      </c>
      <c r="BI333">
        <v>0</v>
      </c>
      <c r="BJ333">
        <v>0</v>
      </c>
      <c r="BK333">
        <v>0</v>
      </c>
      <c r="BL333">
        <v>0</v>
      </c>
      <c r="BM333">
        <v>0</v>
      </c>
      <c r="BN333">
        <v>0</v>
      </c>
      <c r="BO333">
        <v>0</v>
      </c>
      <c r="BP333">
        <v>0</v>
      </c>
      <c r="BQ333">
        <v>0</v>
      </c>
      <c r="BR333">
        <v>0</v>
      </c>
      <c r="BS333">
        <v>0</v>
      </c>
      <c r="BT333">
        <v>0</v>
      </c>
      <c r="BU333">
        <v>0</v>
      </c>
      <c r="BV333">
        <v>0</v>
      </c>
      <c r="BW333">
        <v>0</v>
      </c>
      <c r="BX333">
        <v>0</v>
      </c>
      <c r="BY333">
        <v>0</v>
      </c>
      <c r="BZ333">
        <v>0</v>
      </c>
      <c r="CA333">
        <v>0</v>
      </c>
      <c r="CB333">
        <v>0</v>
      </c>
      <c r="CC333">
        <v>0</v>
      </c>
      <c r="CD333">
        <v>0</v>
      </c>
      <c r="CE333">
        <v>0</v>
      </c>
      <c r="CF333">
        <v>0</v>
      </c>
      <c r="CG333">
        <v>0</v>
      </c>
      <c r="CH333">
        <v>0</v>
      </c>
      <c r="CI333">
        <v>0</v>
      </c>
      <c r="CJ333">
        <v>0</v>
      </c>
      <c r="CK333">
        <v>0</v>
      </c>
      <c r="CL333">
        <v>0</v>
      </c>
      <c r="CM333">
        <v>0</v>
      </c>
      <c r="CN333">
        <v>0</v>
      </c>
      <c r="CO333">
        <v>0</v>
      </c>
      <c r="CP333">
        <v>0</v>
      </c>
    </row>
    <row r="334" spans="4:94" x14ac:dyDescent="0.2">
      <c r="D334" t="s">
        <v>0</v>
      </c>
      <c r="E334" t="s">
        <v>42</v>
      </c>
      <c r="F334" t="s">
        <v>45</v>
      </c>
      <c r="G334" t="s">
        <v>47</v>
      </c>
      <c r="K334" t="s">
        <v>44</v>
      </c>
      <c r="M334" t="s">
        <v>8</v>
      </c>
      <c r="N334">
        <v>1</v>
      </c>
      <c r="O334">
        <v>1</v>
      </c>
      <c r="P334">
        <v>0</v>
      </c>
      <c r="Q334" t="s">
        <v>282</v>
      </c>
      <c r="S334">
        <v>0</v>
      </c>
      <c r="T334">
        <v>0</v>
      </c>
      <c r="U334">
        <v>0</v>
      </c>
      <c r="V334">
        <v>0</v>
      </c>
      <c r="W334">
        <v>0</v>
      </c>
      <c r="X334">
        <v>0</v>
      </c>
      <c r="Y334">
        <v>0</v>
      </c>
      <c r="Z334">
        <v>0</v>
      </c>
      <c r="AA334">
        <v>0</v>
      </c>
      <c r="AB334">
        <v>0</v>
      </c>
      <c r="AC334">
        <v>0</v>
      </c>
      <c r="AD334">
        <v>0</v>
      </c>
      <c r="AE334">
        <v>0</v>
      </c>
      <c r="AF334">
        <v>0</v>
      </c>
      <c r="AG334">
        <v>0</v>
      </c>
      <c r="AH334">
        <v>0</v>
      </c>
      <c r="AI334">
        <v>0</v>
      </c>
      <c r="AJ334">
        <v>0</v>
      </c>
      <c r="AK334">
        <v>0</v>
      </c>
      <c r="AL334">
        <v>0</v>
      </c>
      <c r="AM334">
        <v>0</v>
      </c>
      <c r="AN334">
        <v>0</v>
      </c>
      <c r="AO334">
        <v>0</v>
      </c>
      <c r="AP334">
        <v>0</v>
      </c>
      <c r="AQ334">
        <v>0</v>
      </c>
      <c r="AR334">
        <v>0</v>
      </c>
      <c r="AS334">
        <v>0</v>
      </c>
      <c r="AT334">
        <v>0</v>
      </c>
      <c r="AU334">
        <v>0</v>
      </c>
      <c r="AV334">
        <v>0</v>
      </c>
      <c r="AW334">
        <v>0</v>
      </c>
      <c r="AX334">
        <v>0</v>
      </c>
      <c r="AY334">
        <v>0</v>
      </c>
      <c r="AZ334">
        <v>0</v>
      </c>
      <c r="BA334">
        <v>0</v>
      </c>
      <c r="BB334">
        <v>0</v>
      </c>
      <c r="BC334">
        <v>0</v>
      </c>
      <c r="BD334">
        <v>0</v>
      </c>
      <c r="BE334">
        <v>0</v>
      </c>
      <c r="BF334">
        <v>0</v>
      </c>
      <c r="BG334">
        <v>0</v>
      </c>
      <c r="BH334">
        <v>0</v>
      </c>
      <c r="BI334">
        <v>0</v>
      </c>
      <c r="BJ334">
        <v>0</v>
      </c>
      <c r="BK334">
        <v>0</v>
      </c>
      <c r="BL334">
        <v>0</v>
      </c>
      <c r="BM334">
        <v>0</v>
      </c>
      <c r="BN334">
        <v>0</v>
      </c>
      <c r="BO334">
        <v>0</v>
      </c>
      <c r="BP334">
        <v>0</v>
      </c>
      <c r="BQ334">
        <v>0</v>
      </c>
      <c r="BR334">
        <v>0</v>
      </c>
      <c r="BS334">
        <v>0</v>
      </c>
      <c r="BT334">
        <v>0</v>
      </c>
      <c r="BU334">
        <v>0</v>
      </c>
      <c r="BV334">
        <v>0</v>
      </c>
      <c r="BW334">
        <v>0</v>
      </c>
      <c r="BX334">
        <v>0</v>
      </c>
      <c r="BY334">
        <v>0</v>
      </c>
      <c r="BZ334">
        <v>0</v>
      </c>
      <c r="CA334">
        <v>0</v>
      </c>
      <c r="CB334">
        <v>0</v>
      </c>
      <c r="CC334">
        <v>0</v>
      </c>
      <c r="CD334">
        <v>0</v>
      </c>
      <c r="CE334">
        <v>0</v>
      </c>
      <c r="CF334">
        <v>0</v>
      </c>
      <c r="CG334">
        <v>0</v>
      </c>
      <c r="CH334">
        <v>0</v>
      </c>
      <c r="CI334">
        <v>0</v>
      </c>
      <c r="CJ334">
        <v>0</v>
      </c>
      <c r="CK334">
        <v>0</v>
      </c>
      <c r="CL334">
        <v>0</v>
      </c>
      <c r="CM334">
        <v>0</v>
      </c>
      <c r="CN334">
        <v>0</v>
      </c>
      <c r="CO334">
        <v>0</v>
      </c>
      <c r="CP334">
        <v>0</v>
      </c>
    </row>
    <row r="335" spans="4:94" x14ac:dyDescent="0.2">
      <c r="D335" t="s">
        <v>0</v>
      </c>
      <c r="J335" t="s">
        <v>48</v>
      </c>
      <c r="K335" t="s">
        <v>48</v>
      </c>
      <c r="M335" t="s">
        <v>6</v>
      </c>
      <c r="N335">
        <v>0</v>
      </c>
      <c r="O335">
        <v>0</v>
      </c>
      <c r="P335">
        <v>1</v>
      </c>
      <c r="Q335" t="s">
        <v>283</v>
      </c>
      <c r="S335">
        <v>-99999</v>
      </c>
      <c r="T335">
        <v>-99999</v>
      </c>
      <c r="U335">
        <v>-99999</v>
      </c>
      <c r="V335">
        <v>-99999</v>
      </c>
      <c r="W335">
        <v>-99999</v>
      </c>
      <c r="X335">
        <v>-99999</v>
      </c>
      <c r="Y335">
        <v>-99999</v>
      </c>
      <c r="Z335">
        <v>-99999</v>
      </c>
      <c r="AA335">
        <v>-99999</v>
      </c>
      <c r="AB335">
        <v>-99999</v>
      </c>
      <c r="AC335">
        <v>-99999</v>
      </c>
      <c r="AD335">
        <v>-99999</v>
      </c>
      <c r="AE335">
        <v>-99999</v>
      </c>
      <c r="AF335">
        <v>-99999</v>
      </c>
      <c r="AG335">
        <v>-99999</v>
      </c>
      <c r="AH335">
        <v>-99999</v>
      </c>
      <c r="AI335">
        <v>-99999</v>
      </c>
      <c r="AJ335">
        <v>-99999</v>
      </c>
      <c r="AK335">
        <v>-99999</v>
      </c>
      <c r="AL335">
        <v>-99999</v>
      </c>
      <c r="AM335">
        <v>-99999</v>
      </c>
      <c r="AN335">
        <v>-99999</v>
      </c>
      <c r="AO335">
        <v>-99999</v>
      </c>
      <c r="AP335">
        <v>-99999</v>
      </c>
      <c r="AQ335">
        <v>-99999</v>
      </c>
      <c r="AR335">
        <v>0</v>
      </c>
      <c r="AS335">
        <v>0</v>
      </c>
      <c r="AT335">
        <v>0</v>
      </c>
      <c r="AU335">
        <v>0</v>
      </c>
      <c r="AV335">
        <v>0</v>
      </c>
      <c r="AW335">
        <v>0</v>
      </c>
      <c r="AX335">
        <v>0</v>
      </c>
      <c r="AY335">
        <v>0</v>
      </c>
      <c r="AZ335">
        <v>0</v>
      </c>
      <c r="BA335">
        <v>0</v>
      </c>
      <c r="BB335">
        <v>0</v>
      </c>
      <c r="BC335">
        <v>0</v>
      </c>
      <c r="BD335">
        <v>0</v>
      </c>
      <c r="BE335">
        <v>0</v>
      </c>
      <c r="BF335">
        <v>0</v>
      </c>
      <c r="BG335">
        <v>0</v>
      </c>
      <c r="BH335">
        <v>0</v>
      </c>
      <c r="BI335">
        <v>0</v>
      </c>
      <c r="BJ335">
        <v>0</v>
      </c>
      <c r="BK335">
        <v>0</v>
      </c>
      <c r="BL335">
        <v>0</v>
      </c>
      <c r="BM335">
        <v>0</v>
      </c>
      <c r="BN335">
        <v>0</v>
      </c>
      <c r="BO335">
        <v>0</v>
      </c>
      <c r="BP335">
        <v>0</v>
      </c>
      <c r="BQ335">
        <v>0</v>
      </c>
      <c r="BR335">
        <v>0</v>
      </c>
      <c r="BS335">
        <v>0</v>
      </c>
      <c r="BT335">
        <v>0</v>
      </c>
      <c r="BU335">
        <v>0</v>
      </c>
      <c r="BV335">
        <v>0</v>
      </c>
      <c r="BW335">
        <v>0</v>
      </c>
      <c r="BX335">
        <v>0</v>
      </c>
      <c r="BY335">
        <v>0</v>
      </c>
      <c r="BZ335">
        <v>0</v>
      </c>
      <c r="CA335">
        <v>0</v>
      </c>
      <c r="CB335">
        <v>0</v>
      </c>
      <c r="CC335">
        <v>0</v>
      </c>
      <c r="CD335">
        <v>0</v>
      </c>
      <c r="CE335">
        <v>0</v>
      </c>
      <c r="CF335">
        <v>0</v>
      </c>
      <c r="CG335">
        <v>0</v>
      </c>
      <c r="CH335">
        <v>0</v>
      </c>
      <c r="CI335">
        <v>0</v>
      </c>
      <c r="CJ335">
        <v>0</v>
      </c>
      <c r="CK335">
        <v>0</v>
      </c>
      <c r="CL335">
        <v>0</v>
      </c>
      <c r="CM335">
        <v>0</v>
      </c>
      <c r="CN335">
        <v>0</v>
      </c>
      <c r="CO335">
        <v>0</v>
      </c>
      <c r="CP335">
        <v>0</v>
      </c>
    </row>
    <row r="336" spans="4:94" x14ac:dyDescent="0.2">
      <c r="D336" t="s">
        <v>0</v>
      </c>
      <c r="J336" t="s">
        <v>48</v>
      </c>
      <c r="K336" t="s">
        <v>48</v>
      </c>
      <c r="M336" t="s">
        <v>7</v>
      </c>
      <c r="N336">
        <v>0</v>
      </c>
      <c r="O336">
        <v>0</v>
      </c>
      <c r="P336">
        <v>1</v>
      </c>
      <c r="Q336" t="s">
        <v>284</v>
      </c>
      <c r="S336">
        <v>-99999</v>
      </c>
      <c r="T336">
        <v>-99999</v>
      </c>
      <c r="U336">
        <v>-99999</v>
      </c>
      <c r="V336">
        <v>-99999</v>
      </c>
      <c r="W336">
        <v>-99999</v>
      </c>
      <c r="X336">
        <v>-99999</v>
      </c>
      <c r="Y336">
        <v>-99999</v>
      </c>
      <c r="Z336">
        <v>-99999</v>
      </c>
      <c r="AA336">
        <v>-99999</v>
      </c>
      <c r="AB336">
        <v>-99999</v>
      </c>
      <c r="AC336">
        <v>-99999</v>
      </c>
      <c r="AD336">
        <v>-99999</v>
      </c>
      <c r="AE336">
        <v>-99999</v>
      </c>
      <c r="AF336">
        <v>-99999</v>
      </c>
      <c r="AG336">
        <v>-99999</v>
      </c>
      <c r="AH336">
        <v>-99999</v>
      </c>
      <c r="AI336">
        <v>-99999</v>
      </c>
      <c r="AJ336">
        <v>-99999</v>
      </c>
      <c r="AK336">
        <v>-99999</v>
      </c>
      <c r="AL336">
        <v>-99999</v>
      </c>
      <c r="AM336">
        <v>-99999</v>
      </c>
      <c r="AN336">
        <v>-99999</v>
      </c>
      <c r="AO336">
        <v>-99999</v>
      </c>
      <c r="AP336">
        <v>-99999</v>
      </c>
      <c r="AQ336">
        <v>-99999</v>
      </c>
      <c r="AR336">
        <v>0</v>
      </c>
      <c r="AS336">
        <v>0</v>
      </c>
      <c r="AT336">
        <v>0</v>
      </c>
      <c r="AU336">
        <v>0</v>
      </c>
      <c r="AV336">
        <v>0</v>
      </c>
      <c r="AW336">
        <v>0</v>
      </c>
      <c r="AX336">
        <v>0</v>
      </c>
      <c r="AY336">
        <v>0</v>
      </c>
      <c r="AZ336">
        <v>0</v>
      </c>
      <c r="BA336">
        <v>0</v>
      </c>
      <c r="BB336">
        <v>0</v>
      </c>
      <c r="BC336">
        <v>0</v>
      </c>
      <c r="BD336">
        <v>0</v>
      </c>
      <c r="BE336">
        <v>0</v>
      </c>
      <c r="BF336">
        <v>0</v>
      </c>
      <c r="BG336">
        <v>0</v>
      </c>
      <c r="BH336">
        <v>0</v>
      </c>
      <c r="BI336">
        <v>0</v>
      </c>
      <c r="BJ336">
        <v>0</v>
      </c>
      <c r="BK336">
        <v>0</v>
      </c>
      <c r="BL336">
        <v>0</v>
      </c>
      <c r="BM336">
        <v>0</v>
      </c>
      <c r="BN336">
        <v>0</v>
      </c>
      <c r="BO336">
        <v>0</v>
      </c>
      <c r="BP336">
        <v>0</v>
      </c>
      <c r="BQ336">
        <v>0</v>
      </c>
      <c r="BR336">
        <v>0</v>
      </c>
      <c r="BS336">
        <v>0</v>
      </c>
      <c r="BT336">
        <v>0</v>
      </c>
      <c r="BU336">
        <v>0</v>
      </c>
      <c r="BV336">
        <v>0</v>
      </c>
      <c r="BW336">
        <v>0</v>
      </c>
      <c r="BX336">
        <v>0</v>
      </c>
      <c r="BY336">
        <v>0</v>
      </c>
      <c r="BZ336">
        <v>0</v>
      </c>
      <c r="CA336">
        <v>0</v>
      </c>
      <c r="CB336">
        <v>0</v>
      </c>
      <c r="CC336">
        <v>0</v>
      </c>
      <c r="CD336">
        <v>0</v>
      </c>
      <c r="CE336">
        <v>0</v>
      </c>
      <c r="CF336">
        <v>0</v>
      </c>
      <c r="CG336">
        <v>0</v>
      </c>
      <c r="CH336">
        <v>0</v>
      </c>
      <c r="CI336">
        <v>0</v>
      </c>
      <c r="CJ336">
        <v>0</v>
      </c>
      <c r="CK336">
        <v>0</v>
      </c>
      <c r="CL336">
        <v>0</v>
      </c>
      <c r="CM336">
        <v>0</v>
      </c>
      <c r="CN336">
        <v>0</v>
      </c>
      <c r="CO336">
        <v>0</v>
      </c>
      <c r="CP336">
        <v>0</v>
      </c>
    </row>
    <row r="337" spans="4:94" x14ac:dyDescent="0.2">
      <c r="D337" t="s">
        <v>0</v>
      </c>
      <c r="J337" t="s">
        <v>48</v>
      </c>
      <c r="K337" t="s">
        <v>48</v>
      </c>
      <c r="M337" t="s">
        <v>8</v>
      </c>
      <c r="N337">
        <v>0</v>
      </c>
      <c r="O337">
        <v>0</v>
      </c>
      <c r="P337">
        <v>1</v>
      </c>
      <c r="Q337" t="s">
        <v>285</v>
      </c>
      <c r="S337">
        <v>-99999</v>
      </c>
      <c r="T337">
        <v>-99999</v>
      </c>
      <c r="U337">
        <v>-99999</v>
      </c>
      <c r="V337">
        <v>-99999</v>
      </c>
      <c r="W337">
        <v>-99999</v>
      </c>
      <c r="X337">
        <v>-99999</v>
      </c>
      <c r="Y337">
        <v>-99999</v>
      </c>
      <c r="Z337">
        <v>-99999</v>
      </c>
      <c r="AA337">
        <v>-99999</v>
      </c>
      <c r="AB337">
        <v>-99999</v>
      </c>
      <c r="AC337">
        <v>-99999</v>
      </c>
      <c r="AD337">
        <v>-99999</v>
      </c>
      <c r="AE337">
        <v>-99999</v>
      </c>
      <c r="AF337">
        <v>-99999</v>
      </c>
      <c r="AG337">
        <v>-99999</v>
      </c>
      <c r="AH337">
        <v>-99999</v>
      </c>
      <c r="AI337">
        <v>-99999</v>
      </c>
      <c r="AJ337">
        <v>-99999</v>
      </c>
      <c r="AK337">
        <v>-99999</v>
      </c>
      <c r="AL337">
        <v>-99999</v>
      </c>
      <c r="AM337">
        <v>-99999</v>
      </c>
      <c r="AN337">
        <v>-99999</v>
      </c>
      <c r="AO337">
        <v>-99999</v>
      </c>
      <c r="AP337">
        <v>-99999</v>
      </c>
      <c r="AQ337">
        <v>-99999</v>
      </c>
      <c r="AR337">
        <v>0</v>
      </c>
      <c r="AS337">
        <v>0</v>
      </c>
      <c r="AT337">
        <v>0</v>
      </c>
      <c r="AU337">
        <v>0</v>
      </c>
      <c r="AV337">
        <v>0</v>
      </c>
      <c r="AW337">
        <v>0</v>
      </c>
      <c r="AX337">
        <v>0</v>
      </c>
      <c r="AY337">
        <v>0</v>
      </c>
      <c r="AZ337">
        <v>0</v>
      </c>
      <c r="BA337">
        <v>0</v>
      </c>
      <c r="BB337">
        <v>0</v>
      </c>
      <c r="BC337">
        <v>0</v>
      </c>
      <c r="BD337">
        <v>0</v>
      </c>
      <c r="BE337">
        <v>0</v>
      </c>
      <c r="BF337">
        <v>0</v>
      </c>
      <c r="BG337">
        <v>0</v>
      </c>
      <c r="BH337">
        <v>0</v>
      </c>
      <c r="BI337">
        <v>0</v>
      </c>
      <c r="BJ337">
        <v>0</v>
      </c>
      <c r="BK337">
        <v>0</v>
      </c>
      <c r="BL337">
        <v>0</v>
      </c>
      <c r="BM337">
        <v>0</v>
      </c>
      <c r="BN337">
        <v>0</v>
      </c>
      <c r="BO337">
        <v>0</v>
      </c>
      <c r="BP337">
        <v>0</v>
      </c>
      <c r="BQ337">
        <v>0</v>
      </c>
      <c r="BR337">
        <v>0</v>
      </c>
      <c r="BS337">
        <v>0</v>
      </c>
      <c r="BT337">
        <v>0</v>
      </c>
      <c r="BU337">
        <v>0</v>
      </c>
      <c r="BV337">
        <v>0</v>
      </c>
      <c r="BW337">
        <v>0</v>
      </c>
      <c r="BX337">
        <v>0</v>
      </c>
      <c r="BY337">
        <v>0</v>
      </c>
      <c r="BZ337">
        <v>0</v>
      </c>
      <c r="CA337">
        <v>0</v>
      </c>
      <c r="CB337">
        <v>0</v>
      </c>
      <c r="CC337">
        <v>0</v>
      </c>
      <c r="CD337">
        <v>0</v>
      </c>
      <c r="CE337">
        <v>0</v>
      </c>
      <c r="CF337">
        <v>0</v>
      </c>
      <c r="CG337">
        <v>0</v>
      </c>
      <c r="CH337">
        <v>0</v>
      </c>
      <c r="CI337">
        <v>0</v>
      </c>
      <c r="CJ337">
        <v>0</v>
      </c>
      <c r="CK337">
        <v>0</v>
      </c>
      <c r="CL337">
        <v>0</v>
      </c>
      <c r="CM337">
        <v>0</v>
      </c>
      <c r="CN337">
        <v>0</v>
      </c>
      <c r="CO337">
        <v>0</v>
      </c>
      <c r="CP337">
        <v>0</v>
      </c>
    </row>
    <row r="338" spans="4:94" x14ac:dyDescent="0.2">
      <c r="D338" t="s">
        <v>49</v>
      </c>
      <c r="E338" t="s">
        <v>50</v>
      </c>
      <c r="F338" t="s">
        <v>51</v>
      </c>
      <c r="K338" t="s">
        <v>52</v>
      </c>
      <c r="M338" t="s">
        <v>7</v>
      </c>
      <c r="N338">
        <v>1</v>
      </c>
      <c r="O338">
        <v>1</v>
      </c>
      <c r="P338">
        <v>0</v>
      </c>
      <c r="Q338" t="s">
        <v>286</v>
      </c>
      <c r="S338">
        <v>100.09</v>
      </c>
      <c r="T338">
        <v>100.09</v>
      </c>
      <c r="U338">
        <v>99.442999999999998</v>
      </c>
      <c r="V338">
        <v>99.034000000000006</v>
      </c>
      <c r="W338">
        <v>107.751</v>
      </c>
      <c r="X338">
        <v>114.167</v>
      </c>
      <c r="Y338">
        <v>83.114999999999995</v>
      </c>
      <c r="Z338">
        <v>146.976</v>
      </c>
      <c r="AA338">
        <v>118.19799999999999</v>
      </c>
      <c r="AB338">
        <v>161.94900000000001</v>
      </c>
      <c r="AC338">
        <v>161.565</v>
      </c>
      <c r="AD338">
        <v>165.02500000000001</v>
      </c>
      <c r="AE338">
        <v>135.22999999999999</v>
      </c>
      <c r="AF338">
        <v>188.59</v>
      </c>
      <c r="AG338">
        <v>208.20400000000001</v>
      </c>
      <c r="AH338">
        <v>263.24200000000002</v>
      </c>
      <c r="AI338">
        <v>402.67399999999998</v>
      </c>
      <c r="AJ338">
        <v>316.14699999999999</v>
      </c>
      <c r="AK338">
        <v>364.59</v>
      </c>
      <c r="AL338">
        <v>414.51100000000002</v>
      </c>
      <c r="AM338">
        <v>356.46600000000001</v>
      </c>
      <c r="AN338">
        <v>369.19</v>
      </c>
      <c r="AO338">
        <v>350.31799999999998</v>
      </c>
      <c r="AP338">
        <v>355.58199999999999</v>
      </c>
      <c r="AQ338">
        <v>355.58199999999999</v>
      </c>
      <c r="AR338">
        <v>245.290263655546</v>
      </c>
      <c r="AS338">
        <v>302.36862563909301</v>
      </c>
      <c r="AT338">
        <v>305.84640051016697</v>
      </c>
      <c r="AU338">
        <v>311.138293491122</v>
      </c>
      <c r="AV338">
        <v>316.52135614441403</v>
      </c>
      <c r="AW338">
        <v>321.997159157353</v>
      </c>
      <c r="AX338">
        <v>327.56730027732902</v>
      </c>
      <c r="AY338">
        <v>337.76628837855401</v>
      </c>
      <c r="AZ338">
        <v>348.28155444157102</v>
      </c>
      <c r="BA338">
        <v>356.44602942866601</v>
      </c>
      <c r="BB338">
        <v>366.17087162280399</v>
      </c>
      <c r="BC338">
        <v>375.05551517163298</v>
      </c>
      <c r="BD338">
        <v>382.40363565115803</v>
      </c>
      <c r="BE338">
        <v>388.59665840092202</v>
      </c>
      <c r="BF338">
        <v>394.00995275835697</v>
      </c>
      <c r="BG338">
        <v>398.99670885368801</v>
      </c>
      <c r="BH338">
        <v>403.87702415850401</v>
      </c>
      <c r="BI338">
        <v>408.931097797289</v>
      </c>
      <c r="BJ338">
        <v>414.39528572469402</v>
      </c>
      <c r="BK338">
        <v>420.45980068167597</v>
      </c>
      <c r="BL338">
        <v>427.26697529029298</v>
      </c>
      <c r="BM338">
        <v>434.90919206384501</v>
      </c>
      <c r="BN338">
        <v>441.79506179201297</v>
      </c>
      <c r="BO338">
        <v>447.92673155547101</v>
      </c>
      <c r="BP338">
        <v>453.83794245055299</v>
      </c>
      <c r="BQ338">
        <v>459.44149818485499</v>
      </c>
      <c r="BR338">
        <v>464.64681204314297</v>
      </c>
      <c r="BS338">
        <v>469.90594521493398</v>
      </c>
      <c r="BT338">
        <v>475.19334532983601</v>
      </c>
      <c r="BU338">
        <v>480.48229362594202</v>
      </c>
      <c r="BV338">
        <v>485.74489240304189</v>
      </c>
      <c r="BW338">
        <v>490.95206781815199</v>
      </c>
      <c r="BX338">
        <v>496.07358917168801</v>
      </c>
      <c r="BY338">
        <v>501.07810582203513</v>
      </c>
      <c r="BZ338">
        <v>505.93320282798112</v>
      </c>
      <c r="CA338">
        <v>510.60547635050398</v>
      </c>
      <c r="CB338">
        <v>515.06062974473298</v>
      </c>
      <c r="CC338">
        <v>519.70478598048999</v>
      </c>
      <c r="CD338">
        <v>524.54229216221404</v>
      </c>
      <c r="CE338">
        <v>529.57770198061905</v>
      </c>
      <c r="CF338">
        <v>534.81578280979807</v>
      </c>
      <c r="CG338">
        <v>540.26152317693902</v>
      </c>
      <c r="CH338">
        <v>545.92014062090698</v>
      </c>
      <c r="CI338">
        <v>551.79708995694205</v>
      </c>
      <c r="CJ338">
        <v>557.89807196563504</v>
      </c>
      <c r="CK338">
        <v>564.22904252543901</v>
      </c>
      <c r="CL338">
        <v>570.79622220901501</v>
      </c>
      <c r="CM338">
        <v>577.606106364889</v>
      </c>
      <c r="CN338">
        <v>584.66547570707394</v>
      </c>
      <c r="CO338">
        <v>591.98140743661293</v>
      </c>
      <c r="CP338">
        <v>599.56128692032291</v>
      </c>
    </row>
    <row r="339" spans="4:94" x14ac:dyDescent="0.2">
      <c r="D339" t="s">
        <v>49</v>
      </c>
      <c r="E339" t="s">
        <v>50</v>
      </c>
      <c r="F339" t="s">
        <v>53</v>
      </c>
      <c r="K339" t="s">
        <v>52</v>
      </c>
      <c r="M339" t="s">
        <v>7</v>
      </c>
      <c r="N339">
        <v>1</v>
      </c>
      <c r="O339">
        <v>1</v>
      </c>
      <c r="P339">
        <v>0</v>
      </c>
      <c r="Q339" t="s">
        <v>287</v>
      </c>
      <c r="S339">
        <v>22.021999999999998</v>
      </c>
      <c r="T339">
        <v>22.021999999999998</v>
      </c>
      <c r="U339">
        <v>26.646999999999998</v>
      </c>
      <c r="V339">
        <v>29.312000000000001</v>
      </c>
      <c r="W339">
        <v>31.363</v>
      </c>
      <c r="X339">
        <v>33.558</v>
      </c>
      <c r="Y339">
        <v>35.930999999999997</v>
      </c>
      <c r="Z339">
        <v>38.420999999999999</v>
      </c>
      <c r="AA339">
        <v>40.341999999999999</v>
      </c>
      <c r="AB339">
        <v>42.359000000000002</v>
      </c>
      <c r="AC339">
        <v>44.478000000000002</v>
      </c>
      <c r="AD339">
        <v>46.701000000000001</v>
      </c>
      <c r="AE339">
        <v>49.036000000000001</v>
      </c>
      <c r="AF339">
        <v>51.488</v>
      </c>
      <c r="AG339">
        <v>30.891999999999999</v>
      </c>
      <c r="AH339">
        <v>15.446</v>
      </c>
      <c r="AI339">
        <v>10.811999999999999</v>
      </c>
      <c r="AJ339">
        <v>7.569</v>
      </c>
      <c r="AK339">
        <v>6.8120000000000003</v>
      </c>
      <c r="AL339">
        <v>6.1310000000000002</v>
      </c>
      <c r="AM339">
        <v>6.1920000000000002</v>
      </c>
      <c r="AN339">
        <v>6.2539999999999996</v>
      </c>
      <c r="AO339">
        <v>6.3159999999999998</v>
      </c>
      <c r="AP339">
        <v>13.86</v>
      </c>
      <c r="AQ339">
        <v>13.86</v>
      </c>
      <c r="AR339">
        <v>25.804610569039699</v>
      </c>
      <c r="AS339">
        <v>24.849839977985301</v>
      </c>
      <c r="AT339">
        <v>25.172887897698999</v>
      </c>
      <c r="AU339">
        <v>25.433097688372001</v>
      </c>
      <c r="AV339">
        <v>25.6959972433438</v>
      </c>
      <c r="AW339">
        <v>25.961614366456399</v>
      </c>
      <c r="AX339">
        <v>26.229977148958</v>
      </c>
      <c r="AY339">
        <v>26.711998168540799</v>
      </c>
      <c r="AZ339">
        <v>27.202877154792699</v>
      </c>
      <c r="BA339">
        <v>27.796508088109402</v>
      </c>
      <c r="BB339">
        <v>28.339242357823601</v>
      </c>
      <c r="BC339">
        <v>28.964810777074799</v>
      </c>
      <c r="BD339">
        <v>29.7000733315468</v>
      </c>
      <c r="BE339">
        <v>30.515837532362799</v>
      </c>
      <c r="BF339">
        <v>31.384224732464201</v>
      </c>
      <c r="BG339">
        <v>32.278416215033999</v>
      </c>
      <c r="BH339">
        <v>33.172775865751703</v>
      </c>
      <c r="BI339">
        <v>34.043268410845698</v>
      </c>
      <c r="BJ339">
        <v>34.8680941220777</v>
      </c>
      <c r="BK339">
        <v>35.628458162525497</v>
      </c>
      <c r="BL339">
        <v>36.309390351473297</v>
      </c>
      <c r="BM339">
        <v>36.900532914944797</v>
      </c>
      <c r="BN339">
        <v>37.495068889032588</v>
      </c>
      <c r="BO339">
        <v>38.084421576203098</v>
      </c>
      <c r="BP339">
        <v>38.646094491131699</v>
      </c>
      <c r="BQ339">
        <v>39.172965021642902</v>
      </c>
      <c r="BR339">
        <v>39.6576709300518</v>
      </c>
      <c r="BS339">
        <v>40.143007403071699</v>
      </c>
      <c r="BT339">
        <v>40.626928754908803</v>
      </c>
      <c r="BU339">
        <v>41.107295048757003</v>
      </c>
      <c r="BV339">
        <v>41.581873110327798</v>
      </c>
      <c r="BW339">
        <v>42.048338686297797</v>
      </c>
      <c r="BX339">
        <v>42.504279825503701</v>
      </c>
      <c r="BY339">
        <v>42.9472015571207</v>
      </c>
      <c r="BZ339">
        <v>43.374531934596398</v>
      </c>
      <c r="CA339">
        <v>43.783629506662798</v>
      </c>
      <c r="CB339">
        <v>44.1717922671656</v>
      </c>
      <c r="CC339">
        <v>44.5745280202134</v>
      </c>
      <c r="CD339">
        <v>44.9921689494142</v>
      </c>
      <c r="CE339">
        <v>45.425061452113297</v>
      </c>
      <c r="CF339">
        <v>45.873566614588299</v>
      </c>
      <c r="CG339">
        <v>46.338060709965198</v>
      </c>
      <c r="CH339">
        <v>46.818935719809097</v>
      </c>
      <c r="CI339">
        <v>47.316599880397497</v>
      </c>
      <c r="CJ339">
        <v>47.831478254730797</v>
      </c>
      <c r="CK339">
        <v>48.364013331391398</v>
      </c>
      <c r="CL339">
        <v>48.914665651426098</v>
      </c>
      <c r="CM339">
        <v>49.483914464479398</v>
      </c>
      <c r="CN339">
        <v>50.072258415475403</v>
      </c>
      <c r="CO339">
        <v>50.680216263211598</v>
      </c>
      <c r="CP339">
        <v>51.308327632296603</v>
      </c>
    </row>
    <row r="340" spans="4:94" x14ac:dyDescent="0.2">
      <c r="D340" t="s">
        <v>49</v>
      </c>
      <c r="E340" t="s">
        <v>50</v>
      </c>
      <c r="F340" t="s">
        <v>54</v>
      </c>
      <c r="K340" t="s">
        <v>52</v>
      </c>
      <c r="M340" t="s">
        <v>7</v>
      </c>
      <c r="N340">
        <v>1</v>
      </c>
      <c r="O340">
        <v>1</v>
      </c>
      <c r="P340">
        <v>0</v>
      </c>
      <c r="Q340" t="s">
        <v>288</v>
      </c>
      <c r="S340">
        <v>0</v>
      </c>
      <c r="T340">
        <v>0</v>
      </c>
      <c r="U340">
        <v>0</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v>
      </c>
      <c r="AQ340">
        <v>0</v>
      </c>
      <c r="AR340">
        <v>0.33729829355020002</v>
      </c>
      <c r="AS340">
        <v>0.31523724525570002</v>
      </c>
      <c r="AT340">
        <v>0.3166355811455</v>
      </c>
      <c r="AU340">
        <v>0.31654450611610002</v>
      </c>
      <c r="AV340">
        <v>0.31616421890309998</v>
      </c>
      <c r="AW340">
        <v>0.31553546225009999</v>
      </c>
      <c r="AX340">
        <v>0.31461721111550001</v>
      </c>
      <c r="AY340">
        <v>0.3170701751808</v>
      </c>
      <c r="AZ340">
        <v>0.31927757017660002</v>
      </c>
      <c r="BA340">
        <v>0.3230289813403</v>
      </c>
      <c r="BB340">
        <v>0.32565755947199998</v>
      </c>
      <c r="BC340">
        <v>0.33014137534089999</v>
      </c>
      <c r="BD340">
        <v>0.33648498259589998</v>
      </c>
      <c r="BE340">
        <v>0.3441425776841</v>
      </c>
      <c r="BF340">
        <v>0.35259296637650001</v>
      </c>
      <c r="BG340">
        <v>0.36133414041770001</v>
      </c>
      <c r="BH340">
        <v>0.3698869151575</v>
      </c>
      <c r="BI340">
        <v>0.37780207067690003</v>
      </c>
      <c r="BJ340">
        <v>0.38467222077230001</v>
      </c>
      <c r="BK340">
        <v>0.39014613218470001</v>
      </c>
      <c r="BL340">
        <v>0.39416025165289997</v>
      </c>
      <c r="BM340">
        <v>0.39654158690379998</v>
      </c>
      <c r="BN340">
        <v>0.39952992053710001</v>
      </c>
      <c r="BO340">
        <v>0.40252094845269998</v>
      </c>
      <c r="BP340">
        <v>0.40512928452620001</v>
      </c>
      <c r="BQ340">
        <v>0.40726218354619997</v>
      </c>
      <c r="BR340">
        <v>0.40878864158369999</v>
      </c>
      <c r="BS340">
        <v>0.41031270255559998</v>
      </c>
      <c r="BT340">
        <v>0.41181099167809998</v>
      </c>
      <c r="BU340">
        <v>0.41327907801800001</v>
      </c>
      <c r="BV340">
        <v>0.41468320321250002</v>
      </c>
      <c r="BW340">
        <v>0.4159729602758</v>
      </c>
      <c r="BX340">
        <v>0.41710075050540002</v>
      </c>
      <c r="BY340">
        <v>0.41802154929320001</v>
      </c>
      <c r="BZ340">
        <v>0.4187162094181</v>
      </c>
      <c r="CA340">
        <v>0.41915800130519998</v>
      </c>
      <c r="CB340">
        <v>0.41929858018690003</v>
      </c>
      <c r="CC340">
        <v>0.41967868589469998</v>
      </c>
      <c r="CD340">
        <v>0.42030505960249998</v>
      </c>
      <c r="CE340">
        <v>0.42120150394830003</v>
      </c>
      <c r="CF340">
        <v>0.42239571719730001</v>
      </c>
      <c r="CG340">
        <v>0.42386075802470002</v>
      </c>
      <c r="CH340">
        <v>0.42559615191009997</v>
      </c>
      <c r="CI340">
        <v>0.42765134948619998</v>
      </c>
      <c r="CJ340">
        <v>0.43002259832799999</v>
      </c>
      <c r="CK340">
        <v>0.43272809840699999</v>
      </c>
      <c r="CL340">
        <v>0.43577562384219998</v>
      </c>
      <c r="CM340">
        <v>0.43916504930639999</v>
      </c>
      <c r="CN340">
        <v>0.44291760795559998</v>
      </c>
      <c r="CO340">
        <v>0.44704749066889998</v>
      </c>
      <c r="CP340">
        <v>0.45154080100260002</v>
      </c>
    </row>
    <row r="341" spans="4:94" x14ac:dyDescent="0.2">
      <c r="D341" t="s">
        <v>49</v>
      </c>
      <c r="E341" t="s">
        <v>55</v>
      </c>
      <c r="K341" t="s">
        <v>52</v>
      </c>
      <c r="M341" t="s">
        <v>6</v>
      </c>
      <c r="N341">
        <v>1</v>
      </c>
      <c r="O341">
        <v>1</v>
      </c>
      <c r="P341">
        <v>0</v>
      </c>
      <c r="Q341" t="s">
        <v>289</v>
      </c>
      <c r="S341">
        <v>0</v>
      </c>
      <c r="T341">
        <v>0</v>
      </c>
      <c r="U341">
        <v>0</v>
      </c>
      <c r="V341">
        <v>0</v>
      </c>
      <c r="W341">
        <v>0</v>
      </c>
      <c r="X341">
        <v>0</v>
      </c>
      <c r="Y341">
        <v>0</v>
      </c>
      <c r="Z341">
        <v>0</v>
      </c>
      <c r="AA341">
        <v>0</v>
      </c>
      <c r="AB341">
        <v>0</v>
      </c>
      <c r="AC341">
        <v>0</v>
      </c>
      <c r="AD341">
        <v>0</v>
      </c>
      <c r="AE341">
        <v>0</v>
      </c>
      <c r="AF341">
        <v>0</v>
      </c>
      <c r="AG341">
        <v>0</v>
      </c>
      <c r="AH341">
        <v>0</v>
      </c>
      <c r="AI341">
        <v>0</v>
      </c>
      <c r="AJ341">
        <v>0</v>
      </c>
      <c r="AK341">
        <v>0</v>
      </c>
      <c r="AL341">
        <v>0</v>
      </c>
      <c r="AM341">
        <v>0</v>
      </c>
      <c r="AN341">
        <v>0</v>
      </c>
      <c r="AO341">
        <v>0</v>
      </c>
      <c r="AP341">
        <v>0</v>
      </c>
      <c r="AQ341">
        <v>0</v>
      </c>
      <c r="AR341">
        <v>0</v>
      </c>
      <c r="AS341">
        <v>0</v>
      </c>
      <c r="AT341">
        <v>0</v>
      </c>
      <c r="AU341">
        <v>0</v>
      </c>
      <c r="AV341">
        <v>0</v>
      </c>
      <c r="AW341">
        <v>0</v>
      </c>
      <c r="AX341">
        <v>0</v>
      </c>
      <c r="AY341">
        <v>0</v>
      </c>
      <c r="AZ341">
        <v>0</v>
      </c>
      <c r="BA341">
        <v>0</v>
      </c>
      <c r="BB341">
        <v>0</v>
      </c>
      <c r="BC341">
        <v>0</v>
      </c>
      <c r="BD341">
        <v>0</v>
      </c>
      <c r="BE341">
        <v>0</v>
      </c>
      <c r="BF341">
        <v>0</v>
      </c>
      <c r="BG341">
        <v>0</v>
      </c>
      <c r="BH341">
        <v>0</v>
      </c>
      <c r="BI341">
        <v>0</v>
      </c>
      <c r="BJ341">
        <v>0</v>
      </c>
      <c r="BK341">
        <v>0</v>
      </c>
      <c r="BL341">
        <v>0</v>
      </c>
      <c r="BM341">
        <v>0</v>
      </c>
      <c r="BN341">
        <v>0</v>
      </c>
      <c r="BO341">
        <v>0</v>
      </c>
      <c r="BP341">
        <v>0</v>
      </c>
      <c r="BQ341">
        <v>0</v>
      </c>
      <c r="BR341">
        <v>0</v>
      </c>
      <c r="BS341">
        <v>0</v>
      </c>
      <c r="BT341">
        <v>0</v>
      </c>
      <c r="BU341">
        <v>0</v>
      </c>
      <c r="BV341">
        <v>0</v>
      </c>
      <c r="BW341">
        <v>0</v>
      </c>
      <c r="BX341">
        <v>0</v>
      </c>
      <c r="BY341">
        <v>0</v>
      </c>
      <c r="BZ341">
        <v>0</v>
      </c>
      <c r="CA341">
        <v>0</v>
      </c>
      <c r="CB341">
        <v>0</v>
      </c>
      <c r="CC341">
        <v>0</v>
      </c>
      <c r="CD341">
        <v>0</v>
      </c>
      <c r="CE341">
        <v>0</v>
      </c>
      <c r="CF341">
        <v>0</v>
      </c>
      <c r="CG341">
        <v>0</v>
      </c>
      <c r="CH341">
        <v>0</v>
      </c>
      <c r="CI341">
        <v>0</v>
      </c>
      <c r="CJ341">
        <v>0</v>
      </c>
      <c r="CK341">
        <v>0</v>
      </c>
      <c r="CL341">
        <v>0</v>
      </c>
      <c r="CM341">
        <v>0</v>
      </c>
      <c r="CN341">
        <v>0</v>
      </c>
      <c r="CO341">
        <v>0</v>
      </c>
      <c r="CP341">
        <v>0</v>
      </c>
    </row>
    <row r="342" spans="4:94" x14ac:dyDescent="0.2">
      <c r="D342" t="s">
        <v>49</v>
      </c>
      <c r="E342" t="s">
        <v>55</v>
      </c>
      <c r="K342" t="s">
        <v>52</v>
      </c>
      <c r="M342" t="s">
        <v>7</v>
      </c>
      <c r="N342">
        <v>1</v>
      </c>
      <c r="O342">
        <v>1</v>
      </c>
      <c r="P342">
        <v>0</v>
      </c>
      <c r="Q342" t="s">
        <v>290</v>
      </c>
      <c r="S342">
        <v>0</v>
      </c>
      <c r="T342">
        <v>0</v>
      </c>
      <c r="U342">
        <v>0</v>
      </c>
      <c r="V342">
        <v>0</v>
      </c>
      <c r="W342">
        <v>0</v>
      </c>
      <c r="X342">
        <v>0</v>
      </c>
      <c r="Y342">
        <v>0</v>
      </c>
      <c r="Z342">
        <v>0</v>
      </c>
      <c r="AA342">
        <v>0</v>
      </c>
      <c r="AB342">
        <v>0</v>
      </c>
      <c r="AC342">
        <v>0</v>
      </c>
      <c r="AD342">
        <v>0</v>
      </c>
      <c r="AE342">
        <v>0</v>
      </c>
      <c r="AF342">
        <v>0</v>
      </c>
      <c r="AG342">
        <v>0</v>
      </c>
      <c r="AH342">
        <v>0</v>
      </c>
      <c r="AI342">
        <v>0</v>
      </c>
      <c r="AJ342">
        <v>0</v>
      </c>
      <c r="AK342">
        <v>0</v>
      </c>
      <c r="AL342">
        <v>0</v>
      </c>
      <c r="AM342">
        <v>0</v>
      </c>
      <c r="AN342">
        <v>0</v>
      </c>
      <c r="AO342">
        <v>0</v>
      </c>
      <c r="AP342">
        <v>0</v>
      </c>
      <c r="AQ342">
        <v>0</v>
      </c>
      <c r="AR342">
        <v>28.0269720793586</v>
      </c>
      <c r="AS342">
        <v>25.021866924891601</v>
      </c>
      <c r="AT342">
        <v>24.8544912967897</v>
      </c>
      <c r="AU342">
        <v>24.8816129403635</v>
      </c>
      <c r="AV342">
        <v>24.889323614430499</v>
      </c>
      <c r="AW342">
        <v>24.880409954732698</v>
      </c>
      <c r="AX342">
        <v>24.852073204490001</v>
      </c>
      <c r="AY342">
        <v>25.081396684443899</v>
      </c>
      <c r="AZ342">
        <v>25.295080770525999</v>
      </c>
      <c r="BA342">
        <v>25.627400640989698</v>
      </c>
      <c r="BB342">
        <v>25.876499734486501</v>
      </c>
      <c r="BC342">
        <v>26.262941437912101</v>
      </c>
      <c r="BD342">
        <v>26.7904785963769</v>
      </c>
      <c r="BE342">
        <v>27.418087548589899</v>
      </c>
      <c r="BF342">
        <v>28.106594011065201</v>
      </c>
      <c r="BG342">
        <v>28.818270081771999</v>
      </c>
      <c r="BH342">
        <v>29.517098440053999</v>
      </c>
      <c r="BI342">
        <v>30.169313738075399</v>
      </c>
      <c r="BJ342">
        <v>30.744294682543501</v>
      </c>
      <c r="BK342">
        <v>31.215640741495601</v>
      </c>
      <c r="BL342">
        <v>31.5770924379067</v>
      </c>
      <c r="BM342">
        <v>31.815505713170801</v>
      </c>
      <c r="BN342">
        <v>32.076861450552997</v>
      </c>
      <c r="BO342">
        <v>32.321461305904997</v>
      </c>
      <c r="BP342">
        <v>32.528134350817702</v>
      </c>
      <c r="BQ342">
        <v>32.691931905581498</v>
      </c>
      <c r="BR342">
        <v>32.805459421708903</v>
      </c>
      <c r="BS342">
        <v>32.911937028144102</v>
      </c>
      <c r="BT342">
        <v>33.010181326491001</v>
      </c>
      <c r="BU342">
        <v>33.100344050047099</v>
      </c>
      <c r="BV342">
        <v>33.180616768077797</v>
      </c>
      <c r="BW342">
        <v>33.2480984301191</v>
      </c>
      <c r="BX342">
        <v>33.300125286539298</v>
      </c>
      <c r="BY342">
        <v>33.334255055980393</v>
      </c>
      <c r="BZ342">
        <v>33.349858157161798</v>
      </c>
      <c r="CA342">
        <v>33.345830746636487</v>
      </c>
      <c r="CB342">
        <v>33.319633926086802</v>
      </c>
      <c r="CC342">
        <v>33.305165432768497</v>
      </c>
      <c r="CD342">
        <v>33.302730287168004</v>
      </c>
      <c r="CE342">
        <v>33.313790181444801</v>
      </c>
      <c r="CF342">
        <v>33.340063797249101</v>
      </c>
      <c r="CG342">
        <v>33.379527993508603</v>
      </c>
      <c r="CH342">
        <v>33.431957674389103</v>
      </c>
      <c r="CI342">
        <v>33.500527789037697</v>
      </c>
      <c r="CJ342">
        <v>33.5847683802848</v>
      </c>
      <c r="CK342">
        <v>33.685697888741998</v>
      </c>
      <c r="CL342">
        <v>33.803610974570198</v>
      </c>
      <c r="CM342">
        <v>33.9382505968793</v>
      </c>
      <c r="CN342">
        <v>34.090806055731797</v>
      </c>
      <c r="CO342">
        <v>34.261972432326502</v>
      </c>
      <c r="CP342">
        <v>34.450512457922898</v>
      </c>
    </row>
    <row r="343" spans="4:94" x14ac:dyDescent="0.2">
      <c r="D343" t="s">
        <v>49</v>
      </c>
      <c r="E343" t="s">
        <v>55</v>
      </c>
      <c r="K343" t="s">
        <v>52</v>
      </c>
      <c r="M343" t="s">
        <v>56</v>
      </c>
      <c r="N343">
        <v>1</v>
      </c>
      <c r="O343">
        <v>1</v>
      </c>
      <c r="P343">
        <v>0</v>
      </c>
      <c r="Q343" t="s">
        <v>291</v>
      </c>
      <c r="S343">
        <v>0</v>
      </c>
      <c r="T343">
        <v>0</v>
      </c>
      <c r="U343">
        <v>0</v>
      </c>
      <c r="V343">
        <v>0</v>
      </c>
      <c r="W343">
        <v>0</v>
      </c>
      <c r="X343">
        <v>0</v>
      </c>
      <c r="Y343">
        <v>0</v>
      </c>
      <c r="Z343">
        <v>0</v>
      </c>
      <c r="AA343">
        <v>0</v>
      </c>
      <c r="AB343">
        <v>0</v>
      </c>
      <c r="AC343">
        <v>0</v>
      </c>
      <c r="AD343">
        <v>0</v>
      </c>
      <c r="AE343">
        <v>0</v>
      </c>
      <c r="AF343">
        <v>0</v>
      </c>
      <c r="AG343">
        <v>0</v>
      </c>
      <c r="AH343">
        <v>0</v>
      </c>
      <c r="AI343">
        <v>0</v>
      </c>
      <c r="AJ343">
        <v>0</v>
      </c>
      <c r="AK343">
        <v>0</v>
      </c>
      <c r="AL343">
        <v>0</v>
      </c>
      <c r="AM343">
        <v>0</v>
      </c>
      <c r="AN343">
        <v>0</v>
      </c>
      <c r="AO343">
        <v>0</v>
      </c>
      <c r="AP343">
        <v>0</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0</v>
      </c>
      <c r="BL343">
        <v>0</v>
      </c>
      <c r="BM343">
        <v>0</v>
      </c>
      <c r="BN343">
        <v>0</v>
      </c>
      <c r="BO343">
        <v>0</v>
      </c>
      <c r="BP343">
        <v>0</v>
      </c>
      <c r="BQ343">
        <v>0</v>
      </c>
      <c r="BR343">
        <v>0</v>
      </c>
      <c r="BS343">
        <v>0</v>
      </c>
      <c r="BT343">
        <v>0</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0</v>
      </c>
      <c r="CP343">
        <v>0</v>
      </c>
    </row>
    <row r="344" spans="4:94" x14ac:dyDescent="0.2">
      <c r="D344" t="s">
        <v>49</v>
      </c>
      <c r="E344" t="s">
        <v>55</v>
      </c>
      <c r="K344" t="s">
        <v>52</v>
      </c>
      <c r="M344" t="s">
        <v>8</v>
      </c>
      <c r="N344">
        <v>1</v>
      </c>
      <c r="O344">
        <v>1</v>
      </c>
      <c r="P344">
        <v>0</v>
      </c>
      <c r="Q344" t="s">
        <v>292</v>
      </c>
      <c r="S344">
        <v>0</v>
      </c>
      <c r="T344">
        <v>0</v>
      </c>
      <c r="U344">
        <v>0</v>
      </c>
      <c r="V344">
        <v>0</v>
      </c>
      <c r="W344">
        <v>0</v>
      </c>
      <c r="X344">
        <v>0</v>
      </c>
      <c r="Y344">
        <v>0</v>
      </c>
      <c r="Z344">
        <v>0</v>
      </c>
      <c r="AA344">
        <v>0</v>
      </c>
      <c r="AB344">
        <v>0</v>
      </c>
      <c r="AC344">
        <v>0</v>
      </c>
      <c r="AD344">
        <v>0</v>
      </c>
      <c r="AE344">
        <v>0</v>
      </c>
      <c r="AF344">
        <v>0</v>
      </c>
      <c r="AG344">
        <v>0</v>
      </c>
      <c r="AH344">
        <v>0</v>
      </c>
      <c r="AI344">
        <v>0</v>
      </c>
      <c r="AJ344">
        <v>0</v>
      </c>
      <c r="AK344">
        <v>0</v>
      </c>
      <c r="AL344">
        <v>0</v>
      </c>
      <c r="AM344">
        <v>0</v>
      </c>
      <c r="AN344">
        <v>0</v>
      </c>
      <c r="AO344">
        <v>0</v>
      </c>
      <c r="AP344">
        <v>0</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0</v>
      </c>
      <c r="BL344">
        <v>0</v>
      </c>
      <c r="BM344">
        <v>0</v>
      </c>
      <c r="BN344">
        <v>0</v>
      </c>
      <c r="BO344">
        <v>0</v>
      </c>
      <c r="BP344">
        <v>0</v>
      </c>
      <c r="BQ344">
        <v>0</v>
      </c>
      <c r="BR344">
        <v>0</v>
      </c>
      <c r="BS344">
        <v>0</v>
      </c>
      <c r="BT344">
        <v>0</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0</v>
      </c>
      <c r="CP344">
        <v>0</v>
      </c>
    </row>
    <row r="345" spans="4:94" x14ac:dyDescent="0.2">
      <c r="D345" t="s">
        <v>49</v>
      </c>
      <c r="E345" t="s">
        <v>55</v>
      </c>
      <c r="K345" t="s">
        <v>52</v>
      </c>
      <c r="M345" t="s">
        <v>57</v>
      </c>
      <c r="N345">
        <v>1</v>
      </c>
      <c r="O345">
        <v>1</v>
      </c>
      <c r="P345">
        <v>0</v>
      </c>
      <c r="Q345" t="s">
        <v>293</v>
      </c>
      <c r="S345">
        <v>0</v>
      </c>
      <c r="T345">
        <v>0</v>
      </c>
      <c r="U345">
        <v>0</v>
      </c>
      <c r="V345">
        <v>0</v>
      </c>
      <c r="W345">
        <v>0</v>
      </c>
      <c r="X345">
        <v>0</v>
      </c>
      <c r="Y345">
        <v>0</v>
      </c>
      <c r="Z345">
        <v>0</v>
      </c>
      <c r="AA345">
        <v>0</v>
      </c>
      <c r="AB345">
        <v>0</v>
      </c>
      <c r="AC345">
        <v>0</v>
      </c>
      <c r="AD345">
        <v>0</v>
      </c>
      <c r="AE345">
        <v>0</v>
      </c>
      <c r="AF345">
        <v>0</v>
      </c>
      <c r="AG345">
        <v>0</v>
      </c>
      <c r="AH345">
        <v>0</v>
      </c>
      <c r="AI345">
        <v>0</v>
      </c>
      <c r="AJ345">
        <v>0</v>
      </c>
      <c r="AK345">
        <v>0</v>
      </c>
      <c r="AL345">
        <v>0</v>
      </c>
      <c r="AM345">
        <v>0</v>
      </c>
      <c r="AN345">
        <v>0</v>
      </c>
      <c r="AO345">
        <v>0</v>
      </c>
      <c r="AP345">
        <v>0</v>
      </c>
      <c r="AQ345">
        <v>0</v>
      </c>
      <c r="AR345">
        <v>0</v>
      </c>
      <c r="AS345">
        <v>0</v>
      </c>
      <c r="AT345">
        <v>0</v>
      </c>
      <c r="AU345">
        <v>0</v>
      </c>
      <c r="AV345">
        <v>0</v>
      </c>
      <c r="AW345">
        <v>0</v>
      </c>
      <c r="AX345">
        <v>0</v>
      </c>
      <c r="AY345">
        <v>0</v>
      </c>
      <c r="AZ345">
        <v>0</v>
      </c>
      <c r="BA345">
        <v>0</v>
      </c>
      <c r="BB345">
        <v>0</v>
      </c>
      <c r="BC345">
        <v>0</v>
      </c>
      <c r="BD345">
        <v>0</v>
      </c>
      <c r="BE345">
        <v>0</v>
      </c>
      <c r="BF345">
        <v>0</v>
      </c>
      <c r="BG345">
        <v>0</v>
      </c>
      <c r="BH345">
        <v>0</v>
      </c>
      <c r="BI345">
        <v>0</v>
      </c>
      <c r="BJ345">
        <v>0</v>
      </c>
      <c r="BK345">
        <v>0</v>
      </c>
      <c r="BL345">
        <v>0</v>
      </c>
      <c r="BM345">
        <v>0</v>
      </c>
      <c r="BN345">
        <v>0</v>
      </c>
      <c r="BO345">
        <v>0</v>
      </c>
      <c r="BP345">
        <v>0</v>
      </c>
      <c r="BQ345">
        <v>0</v>
      </c>
      <c r="BR345">
        <v>0</v>
      </c>
      <c r="BS345">
        <v>0</v>
      </c>
      <c r="BT345">
        <v>0</v>
      </c>
      <c r="BU345">
        <v>0</v>
      </c>
      <c r="BV345">
        <v>0</v>
      </c>
      <c r="BW345">
        <v>0</v>
      </c>
      <c r="BX345">
        <v>0</v>
      </c>
      <c r="BY345">
        <v>0</v>
      </c>
      <c r="BZ345">
        <v>0</v>
      </c>
      <c r="CA345">
        <v>0</v>
      </c>
      <c r="CB345">
        <v>0</v>
      </c>
      <c r="CC345">
        <v>0</v>
      </c>
      <c r="CD345">
        <v>0</v>
      </c>
      <c r="CE345">
        <v>0</v>
      </c>
      <c r="CF345">
        <v>0</v>
      </c>
      <c r="CG345">
        <v>0</v>
      </c>
      <c r="CH345">
        <v>0</v>
      </c>
      <c r="CI345">
        <v>0</v>
      </c>
      <c r="CJ345">
        <v>0</v>
      </c>
      <c r="CK345">
        <v>0</v>
      </c>
      <c r="CL345">
        <v>0</v>
      </c>
      <c r="CM345">
        <v>0</v>
      </c>
      <c r="CN345">
        <v>0</v>
      </c>
      <c r="CO345">
        <v>0</v>
      </c>
      <c r="CP345">
        <v>0</v>
      </c>
    </row>
    <row r="346" spans="4:94" x14ac:dyDescent="0.2">
      <c r="D346" t="s">
        <v>49</v>
      </c>
      <c r="E346" t="s">
        <v>55</v>
      </c>
      <c r="K346" t="s">
        <v>52</v>
      </c>
      <c r="M346" t="s">
        <v>58</v>
      </c>
      <c r="N346">
        <v>1</v>
      </c>
      <c r="O346">
        <v>1</v>
      </c>
      <c r="P346">
        <v>0</v>
      </c>
      <c r="Q346" t="s">
        <v>294</v>
      </c>
      <c r="S346">
        <v>0</v>
      </c>
      <c r="T346">
        <v>0</v>
      </c>
      <c r="U346">
        <v>0</v>
      </c>
      <c r="V346">
        <v>0</v>
      </c>
      <c r="W346">
        <v>0</v>
      </c>
      <c r="X346">
        <v>0</v>
      </c>
      <c r="Y346">
        <v>0</v>
      </c>
      <c r="Z346">
        <v>0</v>
      </c>
      <c r="AA346">
        <v>0</v>
      </c>
      <c r="AB346">
        <v>0</v>
      </c>
      <c r="AC346">
        <v>0</v>
      </c>
      <c r="AD346">
        <v>0</v>
      </c>
      <c r="AE346">
        <v>0</v>
      </c>
      <c r="AF346">
        <v>0</v>
      </c>
      <c r="AG346">
        <v>0</v>
      </c>
      <c r="AH346">
        <v>0</v>
      </c>
      <c r="AI346">
        <v>0</v>
      </c>
      <c r="AJ346">
        <v>0</v>
      </c>
      <c r="AK346">
        <v>0</v>
      </c>
      <c r="AL346">
        <v>0</v>
      </c>
      <c r="AM346">
        <v>0</v>
      </c>
      <c r="AN346">
        <v>0</v>
      </c>
      <c r="AO346">
        <v>0</v>
      </c>
      <c r="AP346">
        <v>0</v>
      </c>
      <c r="AQ346">
        <v>0</v>
      </c>
      <c r="AR346">
        <v>0</v>
      </c>
      <c r="AS346">
        <v>0</v>
      </c>
      <c r="AT346">
        <v>0</v>
      </c>
      <c r="AU346">
        <v>0</v>
      </c>
      <c r="AV346">
        <v>0</v>
      </c>
      <c r="AW346">
        <v>0</v>
      </c>
      <c r="AX346">
        <v>0</v>
      </c>
      <c r="AY346">
        <v>0</v>
      </c>
      <c r="AZ346">
        <v>0</v>
      </c>
      <c r="BA346">
        <v>0</v>
      </c>
      <c r="BB346">
        <v>0</v>
      </c>
      <c r="BC346">
        <v>0</v>
      </c>
      <c r="BD346">
        <v>0</v>
      </c>
      <c r="BE346">
        <v>0</v>
      </c>
      <c r="BF346">
        <v>0</v>
      </c>
      <c r="BG346">
        <v>0</v>
      </c>
      <c r="BH346">
        <v>0</v>
      </c>
      <c r="BI346">
        <v>0</v>
      </c>
      <c r="BJ346">
        <v>0</v>
      </c>
      <c r="BK346">
        <v>0</v>
      </c>
      <c r="BL346">
        <v>0</v>
      </c>
      <c r="BM346">
        <v>0</v>
      </c>
      <c r="BN346">
        <v>0</v>
      </c>
      <c r="BO346">
        <v>0</v>
      </c>
      <c r="BP346">
        <v>0</v>
      </c>
      <c r="BQ346">
        <v>0</v>
      </c>
      <c r="BR346">
        <v>0</v>
      </c>
      <c r="BS346">
        <v>0</v>
      </c>
      <c r="BT346">
        <v>0</v>
      </c>
      <c r="BU346">
        <v>0</v>
      </c>
      <c r="BV346">
        <v>0</v>
      </c>
      <c r="BW346">
        <v>0</v>
      </c>
      <c r="BX346">
        <v>0</v>
      </c>
      <c r="BY346">
        <v>0</v>
      </c>
      <c r="BZ346">
        <v>0</v>
      </c>
      <c r="CA346">
        <v>0</v>
      </c>
      <c r="CB346">
        <v>0</v>
      </c>
      <c r="CC346">
        <v>0</v>
      </c>
      <c r="CD346">
        <v>0</v>
      </c>
      <c r="CE346">
        <v>0</v>
      </c>
      <c r="CF346">
        <v>0</v>
      </c>
      <c r="CG346">
        <v>0</v>
      </c>
      <c r="CH346">
        <v>0</v>
      </c>
      <c r="CI346">
        <v>0</v>
      </c>
      <c r="CJ346">
        <v>0</v>
      </c>
      <c r="CK346">
        <v>0</v>
      </c>
      <c r="CL346">
        <v>0</v>
      </c>
      <c r="CM346">
        <v>0</v>
      </c>
      <c r="CN346">
        <v>0</v>
      </c>
      <c r="CO346">
        <v>0</v>
      </c>
      <c r="CP346">
        <v>0</v>
      </c>
    </row>
    <row r="347" spans="4:94" x14ac:dyDescent="0.2">
      <c r="D347" t="s">
        <v>49</v>
      </c>
      <c r="E347" t="s">
        <v>55</v>
      </c>
      <c r="K347" t="s">
        <v>52</v>
      </c>
      <c r="M347" t="s">
        <v>59</v>
      </c>
      <c r="N347">
        <v>1</v>
      </c>
      <c r="O347">
        <v>1</v>
      </c>
      <c r="P347">
        <v>0</v>
      </c>
      <c r="Q347" t="s">
        <v>295</v>
      </c>
      <c r="S347">
        <v>0</v>
      </c>
      <c r="T347">
        <v>0</v>
      </c>
      <c r="U347">
        <v>0</v>
      </c>
      <c r="V347">
        <v>0</v>
      </c>
      <c r="W347">
        <v>0</v>
      </c>
      <c r="X347">
        <v>0</v>
      </c>
      <c r="Y347">
        <v>0</v>
      </c>
      <c r="Z347">
        <v>0</v>
      </c>
      <c r="AA347">
        <v>0</v>
      </c>
      <c r="AB347">
        <v>0</v>
      </c>
      <c r="AC347">
        <v>0</v>
      </c>
      <c r="AD347">
        <v>0</v>
      </c>
      <c r="AE347">
        <v>0</v>
      </c>
      <c r="AF347">
        <v>0</v>
      </c>
      <c r="AG347">
        <v>0</v>
      </c>
      <c r="AH347">
        <v>0</v>
      </c>
      <c r="AI347">
        <v>0</v>
      </c>
      <c r="AJ347">
        <v>0</v>
      </c>
      <c r="AK347">
        <v>0</v>
      </c>
      <c r="AL347">
        <v>0</v>
      </c>
      <c r="AM347">
        <v>0</v>
      </c>
      <c r="AN347">
        <v>0</v>
      </c>
      <c r="AO347">
        <v>0</v>
      </c>
      <c r="AP347">
        <v>0</v>
      </c>
      <c r="AQ347">
        <v>0</v>
      </c>
      <c r="AR347">
        <v>0</v>
      </c>
      <c r="AS347">
        <v>0</v>
      </c>
      <c r="AT347">
        <v>0</v>
      </c>
      <c r="AU347">
        <v>0</v>
      </c>
      <c r="AV347">
        <v>0</v>
      </c>
      <c r="AW347">
        <v>0</v>
      </c>
      <c r="AX347">
        <v>0</v>
      </c>
      <c r="AY347">
        <v>0</v>
      </c>
      <c r="AZ347">
        <v>0</v>
      </c>
      <c r="BA347">
        <v>0</v>
      </c>
      <c r="BB347">
        <v>0</v>
      </c>
      <c r="BC347">
        <v>0</v>
      </c>
      <c r="BD347">
        <v>0</v>
      </c>
      <c r="BE347">
        <v>0</v>
      </c>
      <c r="BF347">
        <v>0</v>
      </c>
      <c r="BG347">
        <v>0</v>
      </c>
      <c r="BH347">
        <v>0</v>
      </c>
      <c r="BI347">
        <v>0</v>
      </c>
      <c r="BJ347">
        <v>0</v>
      </c>
      <c r="BK347">
        <v>0</v>
      </c>
      <c r="BL347">
        <v>0</v>
      </c>
      <c r="BM347">
        <v>0</v>
      </c>
      <c r="BN347">
        <v>0</v>
      </c>
      <c r="BO347">
        <v>0</v>
      </c>
      <c r="BP347">
        <v>0</v>
      </c>
      <c r="BQ347">
        <v>0</v>
      </c>
      <c r="BR347">
        <v>0</v>
      </c>
      <c r="BS347">
        <v>0</v>
      </c>
      <c r="BT347">
        <v>0</v>
      </c>
      <c r="BU347">
        <v>0</v>
      </c>
      <c r="BV347">
        <v>0</v>
      </c>
      <c r="BW347">
        <v>0</v>
      </c>
      <c r="BX347">
        <v>0</v>
      </c>
      <c r="BY347">
        <v>0</v>
      </c>
      <c r="BZ347">
        <v>0</v>
      </c>
      <c r="CA347">
        <v>0</v>
      </c>
      <c r="CB347">
        <v>0</v>
      </c>
      <c r="CC347">
        <v>0</v>
      </c>
      <c r="CD347">
        <v>0</v>
      </c>
      <c r="CE347">
        <v>0</v>
      </c>
      <c r="CF347">
        <v>0</v>
      </c>
      <c r="CG347">
        <v>0</v>
      </c>
      <c r="CH347">
        <v>0</v>
      </c>
      <c r="CI347">
        <v>0</v>
      </c>
      <c r="CJ347">
        <v>0</v>
      </c>
      <c r="CK347">
        <v>0</v>
      </c>
      <c r="CL347">
        <v>0</v>
      </c>
      <c r="CM347">
        <v>0</v>
      </c>
      <c r="CN347">
        <v>0</v>
      </c>
      <c r="CO347">
        <v>0</v>
      </c>
      <c r="CP347">
        <v>0</v>
      </c>
    </row>
    <row r="348" spans="4:94" x14ac:dyDescent="0.2">
      <c r="D348" t="s">
        <v>49</v>
      </c>
      <c r="E348" t="s">
        <v>60</v>
      </c>
      <c r="K348" t="s">
        <v>52</v>
      </c>
      <c r="M348" t="s">
        <v>6</v>
      </c>
      <c r="N348">
        <v>1</v>
      </c>
      <c r="O348">
        <v>1</v>
      </c>
      <c r="P348">
        <v>0</v>
      </c>
      <c r="Q348" t="s">
        <v>296</v>
      </c>
      <c r="S348">
        <v>0</v>
      </c>
      <c r="T348">
        <v>0</v>
      </c>
      <c r="U348">
        <v>0</v>
      </c>
      <c r="V348">
        <v>0</v>
      </c>
      <c r="W348">
        <v>0</v>
      </c>
      <c r="X348">
        <v>0</v>
      </c>
      <c r="Y348">
        <v>0</v>
      </c>
      <c r="Z348">
        <v>0</v>
      </c>
      <c r="AA348">
        <v>0</v>
      </c>
      <c r="AB348">
        <v>0</v>
      </c>
      <c r="AC348">
        <v>0</v>
      </c>
      <c r="AD348">
        <v>0</v>
      </c>
      <c r="AE348">
        <v>0</v>
      </c>
      <c r="AF348">
        <v>0</v>
      </c>
      <c r="AG348">
        <v>0</v>
      </c>
      <c r="AH348">
        <v>0</v>
      </c>
      <c r="AI348">
        <v>0</v>
      </c>
      <c r="AJ348">
        <v>0</v>
      </c>
      <c r="AK348">
        <v>0</v>
      </c>
      <c r="AL348">
        <v>0</v>
      </c>
      <c r="AM348">
        <v>0</v>
      </c>
      <c r="AN348">
        <v>0</v>
      </c>
      <c r="AO348">
        <v>0</v>
      </c>
      <c r="AP348">
        <v>0</v>
      </c>
      <c r="AQ348">
        <v>0</v>
      </c>
      <c r="AR348">
        <v>0</v>
      </c>
      <c r="AS348">
        <v>0</v>
      </c>
      <c r="AT348">
        <v>0</v>
      </c>
      <c r="AU348">
        <v>0</v>
      </c>
      <c r="AV348">
        <v>0</v>
      </c>
      <c r="AW348">
        <v>0</v>
      </c>
      <c r="AX348">
        <v>0</v>
      </c>
      <c r="AY348">
        <v>0</v>
      </c>
      <c r="AZ348">
        <v>0</v>
      </c>
      <c r="BA348">
        <v>0</v>
      </c>
      <c r="BB348">
        <v>0</v>
      </c>
      <c r="BC348">
        <v>0</v>
      </c>
      <c r="BD348">
        <v>0</v>
      </c>
      <c r="BE348">
        <v>0</v>
      </c>
      <c r="BF348">
        <v>0</v>
      </c>
      <c r="BG348">
        <v>0</v>
      </c>
      <c r="BH348">
        <v>0</v>
      </c>
      <c r="BI348">
        <v>0</v>
      </c>
      <c r="BJ348">
        <v>0</v>
      </c>
      <c r="BK348">
        <v>0</v>
      </c>
      <c r="BL348">
        <v>0</v>
      </c>
      <c r="BM348">
        <v>0</v>
      </c>
      <c r="BN348">
        <v>0</v>
      </c>
      <c r="BO348">
        <v>0</v>
      </c>
      <c r="BP348">
        <v>0</v>
      </c>
      <c r="BQ348">
        <v>0</v>
      </c>
      <c r="BR348">
        <v>0</v>
      </c>
      <c r="BS348">
        <v>0</v>
      </c>
      <c r="BT348">
        <v>0</v>
      </c>
      <c r="BU348">
        <v>0</v>
      </c>
      <c r="BV348">
        <v>0</v>
      </c>
      <c r="BW348">
        <v>0</v>
      </c>
      <c r="BX348">
        <v>0</v>
      </c>
      <c r="BY348">
        <v>0</v>
      </c>
      <c r="BZ348">
        <v>0</v>
      </c>
      <c r="CA348">
        <v>0</v>
      </c>
      <c r="CB348">
        <v>0</v>
      </c>
      <c r="CC348">
        <v>0</v>
      </c>
      <c r="CD348">
        <v>0</v>
      </c>
      <c r="CE348">
        <v>0</v>
      </c>
      <c r="CF348">
        <v>0</v>
      </c>
      <c r="CG348">
        <v>0</v>
      </c>
      <c r="CH348">
        <v>0</v>
      </c>
      <c r="CI348">
        <v>0</v>
      </c>
      <c r="CJ348">
        <v>0</v>
      </c>
      <c r="CK348">
        <v>0</v>
      </c>
      <c r="CL348">
        <v>0</v>
      </c>
      <c r="CM348">
        <v>0</v>
      </c>
      <c r="CN348">
        <v>0</v>
      </c>
      <c r="CO348">
        <v>0</v>
      </c>
      <c r="CP348">
        <v>0</v>
      </c>
    </row>
    <row r="349" spans="4:94" x14ac:dyDescent="0.2">
      <c r="D349" t="s">
        <v>49</v>
      </c>
      <c r="E349" t="s">
        <v>60</v>
      </c>
      <c r="K349" t="s">
        <v>52</v>
      </c>
      <c r="M349" t="s">
        <v>7</v>
      </c>
      <c r="N349">
        <v>1</v>
      </c>
      <c r="O349">
        <v>1</v>
      </c>
      <c r="P349">
        <v>0</v>
      </c>
      <c r="Q349" t="s">
        <v>297</v>
      </c>
      <c r="S349">
        <v>0</v>
      </c>
      <c r="T349">
        <v>0</v>
      </c>
      <c r="U349">
        <v>0</v>
      </c>
      <c r="V349">
        <v>0</v>
      </c>
      <c r="W349">
        <v>0</v>
      </c>
      <c r="X349">
        <v>0</v>
      </c>
      <c r="Y349">
        <v>0</v>
      </c>
      <c r="Z349">
        <v>0</v>
      </c>
      <c r="AA349">
        <v>0</v>
      </c>
      <c r="AB349">
        <v>0</v>
      </c>
      <c r="AC349">
        <v>0</v>
      </c>
      <c r="AD349">
        <v>0</v>
      </c>
      <c r="AE349">
        <v>0</v>
      </c>
      <c r="AF349">
        <v>0</v>
      </c>
      <c r="AG349">
        <v>0</v>
      </c>
      <c r="AH349">
        <v>0</v>
      </c>
      <c r="AI349">
        <v>0</v>
      </c>
      <c r="AJ349">
        <v>0</v>
      </c>
      <c r="AK349">
        <v>0</v>
      </c>
      <c r="AL349">
        <v>0</v>
      </c>
      <c r="AM349">
        <v>0</v>
      </c>
      <c r="AN349">
        <v>0</v>
      </c>
      <c r="AO349">
        <v>0</v>
      </c>
      <c r="AP349">
        <v>0</v>
      </c>
      <c r="AQ349">
        <v>0</v>
      </c>
      <c r="AR349">
        <v>118.951263591808</v>
      </c>
      <c r="AS349">
        <v>120.84072227405601</v>
      </c>
      <c r="AT349">
        <v>127.145931921814</v>
      </c>
      <c r="AU349">
        <v>128.43667788948201</v>
      </c>
      <c r="AV349">
        <v>129.738748205181</v>
      </c>
      <c r="AW349">
        <v>131.052566065473</v>
      </c>
      <c r="AX349">
        <v>132.37798369687499</v>
      </c>
      <c r="AY349">
        <v>134.78735563432301</v>
      </c>
      <c r="AZ349">
        <v>137.238969328607</v>
      </c>
      <c r="BA349">
        <v>140.211334586232</v>
      </c>
      <c r="BB349">
        <v>142.923246939367</v>
      </c>
      <c r="BC349">
        <v>146.05924034481001</v>
      </c>
      <c r="BD349">
        <v>149.75264889941499</v>
      </c>
      <c r="BE349">
        <v>153.85477373638301</v>
      </c>
      <c r="BF349">
        <v>158.223608667495</v>
      </c>
      <c r="BG349">
        <v>162.72254209181801</v>
      </c>
      <c r="BH349">
        <v>167.22099126473699</v>
      </c>
      <c r="BI349">
        <v>171.59652794265401</v>
      </c>
      <c r="BJ349">
        <v>175.73811141799601</v>
      </c>
      <c r="BK349">
        <v>179.55000690939099</v>
      </c>
      <c r="BL349">
        <v>182.95747468751199</v>
      </c>
      <c r="BM349">
        <v>185.90789962749599</v>
      </c>
      <c r="BN349">
        <v>188.70898026014299</v>
      </c>
      <c r="BO349">
        <v>191.33814515159699</v>
      </c>
      <c r="BP349">
        <v>193.81492495222699</v>
      </c>
      <c r="BQ349">
        <v>196.11233862875201</v>
      </c>
      <c r="BR349">
        <v>198.20259664695499</v>
      </c>
      <c r="BS349">
        <v>200.27674577691801</v>
      </c>
      <c r="BT349">
        <v>202.32701615755801</v>
      </c>
      <c r="BU349">
        <v>204.34549791632199</v>
      </c>
      <c r="BV349">
        <v>206.323812936877</v>
      </c>
      <c r="BW349">
        <v>208.25321637782</v>
      </c>
      <c r="BX349">
        <v>210.1247488667</v>
      </c>
      <c r="BY349">
        <v>211.92925420644801</v>
      </c>
      <c r="BZ349">
        <v>213.65756531670499</v>
      </c>
      <c r="CA349">
        <v>215.30029637446901</v>
      </c>
      <c r="CB349">
        <v>216.847774568597</v>
      </c>
      <c r="CC349">
        <v>218.44591982560701</v>
      </c>
      <c r="CD349">
        <v>220.09569679522801</v>
      </c>
      <c r="CE349">
        <v>221.79822249879899</v>
      </c>
      <c r="CF349">
        <v>223.55467506822001</v>
      </c>
      <c r="CG349">
        <v>225.36588492308701</v>
      </c>
      <c r="CH349">
        <v>227.232903513775</v>
      </c>
      <c r="CI349">
        <v>229.15716855126101</v>
      </c>
      <c r="CJ349">
        <v>231.13978313701</v>
      </c>
      <c r="CK349">
        <v>233.182042967565</v>
      </c>
      <c r="CL349">
        <v>235.285210817126</v>
      </c>
      <c r="CM349">
        <v>237.450535406358</v>
      </c>
      <c r="CN349">
        <v>239.67945744488301</v>
      </c>
      <c r="CO349">
        <v>241.97341209501701</v>
      </c>
      <c r="CP349">
        <v>244.33368297673499</v>
      </c>
    </row>
    <row r="350" spans="4:94" x14ac:dyDescent="0.2">
      <c r="D350" t="s">
        <v>49</v>
      </c>
      <c r="E350" t="s">
        <v>60</v>
      </c>
      <c r="K350" t="s">
        <v>52</v>
      </c>
      <c r="M350" t="s">
        <v>56</v>
      </c>
      <c r="N350">
        <v>1</v>
      </c>
      <c r="O350">
        <v>1</v>
      </c>
      <c r="P350">
        <v>0</v>
      </c>
      <c r="Q350" t="s">
        <v>298</v>
      </c>
      <c r="S350">
        <v>0</v>
      </c>
      <c r="T350">
        <v>0</v>
      </c>
      <c r="U350">
        <v>0</v>
      </c>
      <c r="V350">
        <v>0</v>
      </c>
      <c r="W350">
        <v>0</v>
      </c>
      <c r="X350">
        <v>0</v>
      </c>
      <c r="Y350">
        <v>0</v>
      </c>
      <c r="Z350">
        <v>0</v>
      </c>
      <c r="AA350">
        <v>0</v>
      </c>
      <c r="AB350">
        <v>0</v>
      </c>
      <c r="AC350">
        <v>0</v>
      </c>
      <c r="AD350">
        <v>0</v>
      </c>
      <c r="AE350">
        <v>0</v>
      </c>
      <c r="AF350">
        <v>0</v>
      </c>
      <c r="AG350">
        <v>0</v>
      </c>
      <c r="AH350">
        <v>0</v>
      </c>
      <c r="AI350">
        <v>0</v>
      </c>
      <c r="AJ350">
        <v>0</v>
      </c>
      <c r="AK350">
        <v>0</v>
      </c>
      <c r="AL350">
        <v>0</v>
      </c>
      <c r="AM350">
        <v>0</v>
      </c>
      <c r="AN350">
        <v>0</v>
      </c>
      <c r="AO350">
        <v>0</v>
      </c>
      <c r="AP350">
        <v>0</v>
      </c>
      <c r="AQ350">
        <v>0</v>
      </c>
      <c r="AR350">
        <v>0</v>
      </c>
      <c r="AS350">
        <v>0</v>
      </c>
      <c r="AT350">
        <v>0</v>
      </c>
      <c r="AU350">
        <v>0</v>
      </c>
      <c r="AV350">
        <v>0</v>
      </c>
      <c r="AW350">
        <v>0</v>
      </c>
      <c r="AX350">
        <v>0</v>
      </c>
      <c r="AY350">
        <v>0</v>
      </c>
      <c r="AZ350">
        <v>0</v>
      </c>
      <c r="BA350">
        <v>0</v>
      </c>
      <c r="BB350">
        <v>0</v>
      </c>
      <c r="BC350">
        <v>0</v>
      </c>
      <c r="BD350">
        <v>0</v>
      </c>
      <c r="BE350">
        <v>0</v>
      </c>
      <c r="BF350">
        <v>0</v>
      </c>
      <c r="BG350">
        <v>0</v>
      </c>
      <c r="BH350">
        <v>0</v>
      </c>
      <c r="BI350">
        <v>0</v>
      </c>
      <c r="BJ350">
        <v>0</v>
      </c>
      <c r="BK350">
        <v>0</v>
      </c>
      <c r="BL350">
        <v>0</v>
      </c>
      <c r="BM350">
        <v>0</v>
      </c>
      <c r="BN350">
        <v>0</v>
      </c>
      <c r="BO350">
        <v>0</v>
      </c>
      <c r="BP350">
        <v>0</v>
      </c>
      <c r="BQ350">
        <v>0</v>
      </c>
      <c r="BR350">
        <v>0</v>
      </c>
      <c r="BS350">
        <v>0</v>
      </c>
      <c r="BT350">
        <v>0</v>
      </c>
      <c r="BU350">
        <v>0</v>
      </c>
      <c r="BV350">
        <v>0</v>
      </c>
      <c r="BW350">
        <v>0</v>
      </c>
      <c r="BX350">
        <v>0</v>
      </c>
      <c r="BY350">
        <v>0</v>
      </c>
      <c r="BZ350">
        <v>0</v>
      </c>
      <c r="CA350">
        <v>0</v>
      </c>
      <c r="CB350">
        <v>0</v>
      </c>
      <c r="CC350">
        <v>0</v>
      </c>
      <c r="CD350">
        <v>0</v>
      </c>
      <c r="CE350">
        <v>0</v>
      </c>
      <c r="CF350">
        <v>0</v>
      </c>
      <c r="CG350">
        <v>0</v>
      </c>
      <c r="CH350">
        <v>0</v>
      </c>
      <c r="CI350">
        <v>0</v>
      </c>
      <c r="CJ350">
        <v>0</v>
      </c>
      <c r="CK350">
        <v>0</v>
      </c>
      <c r="CL350">
        <v>0</v>
      </c>
      <c r="CM350">
        <v>0</v>
      </c>
      <c r="CN350">
        <v>0</v>
      </c>
      <c r="CO350">
        <v>0</v>
      </c>
      <c r="CP350">
        <v>0</v>
      </c>
    </row>
    <row r="351" spans="4:94" x14ac:dyDescent="0.2">
      <c r="D351" t="s">
        <v>49</v>
      </c>
      <c r="E351" t="s">
        <v>60</v>
      </c>
      <c r="K351" t="s">
        <v>52</v>
      </c>
      <c r="M351" t="s">
        <v>59</v>
      </c>
      <c r="N351">
        <v>1</v>
      </c>
      <c r="O351">
        <v>1</v>
      </c>
      <c r="P351">
        <v>0</v>
      </c>
      <c r="Q351" t="s">
        <v>299</v>
      </c>
      <c r="S351">
        <v>0</v>
      </c>
      <c r="T351">
        <v>0</v>
      </c>
      <c r="U351">
        <v>0</v>
      </c>
      <c r="V351">
        <v>0</v>
      </c>
      <c r="W351">
        <v>0</v>
      </c>
      <c r="X351">
        <v>0</v>
      </c>
      <c r="Y351">
        <v>0</v>
      </c>
      <c r="Z351">
        <v>0</v>
      </c>
      <c r="AA351">
        <v>0</v>
      </c>
      <c r="AB351">
        <v>0</v>
      </c>
      <c r="AC351">
        <v>0</v>
      </c>
      <c r="AD351">
        <v>0</v>
      </c>
      <c r="AE351">
        <v>0</v>
      </c>
      <c r="AF351">
        <v>0</v>
      </c>
      <c r="AG351">
        <v>0</v>
      </c>
      <c r="AH351">
        <v>0</v>
      </c>
      <c r="AI351">
        <v>0</v>
      </c>
      <c r="AJ351">
        <v>0</v>
      </c>
      <c r="AK351">
        <v>0</v>
      </c>
      <c r="AL351">
        <v>0</v>
      </c>
      <c r="AM351">
        <v>0</v>
      </c>
      <c r="AN351">
        <v>0</v>
      </c>
      <c r="AO351">
        <v>0</v>
      </c>
      <c r="AP351">
        <v>0</v>
      </c>
      <c r="AQ351">
        <v>0</v>
      </c>
      <c r="AR351">
        <v>0</v>
      </c>
      <c r="AS351">
        <v>0</v>
      </c>
      <c r="AT351">
        <v>0</v>
      </c>
      <c r="AU351">
        <v>0</v>
      </c>
      <c r="AV351">
        <v>0</v>
      </c>
      <c r="AW351">
        <v>0</v>
      </c>
      <c r="AX351">
        <v>0</v>
      </c>
      <c r="AY351">
        <v>0</v>
      </c>
      <c r="AZ351">
        <v>0</v>
      </c>
      <c r="BA351">
        <v>0</v>
      </c>
      <c r="BB351">
        <v>0</v>
      </c>
      <c r="BC351">
        <v>0</v>
      </c>
      <c r="BD351">
        <v>0</v>
      </c>
      <c r="BE351">
        <v>0</v>
      </c>
      <c r="BF351">
        <v>0</v>
      </c>
      <c r="BG351">
        <v>0</v>
      </c>
      <c r="BH351">
        <v>0</v>
      </c>
      <c r="BI351">
        <v>0</v>
      </c>
      <c r="BJ351">
        <v>0</v>
      </c>
      <c r="BK351">
        <v>0</v>
      </c>
      <c r="BL351">
        <v>0</v>
      </c>
      <c r="BM351">
        <v>0</v>
      </c>
      <c r="BN351">
        <v>0</v>
      </c>
      <c r="BO351">
        <v>0</v>
      </c>
      <c r="BP351">
        <v>0</v>
      </c>
      <c r="BQ351">
        <v>0</v>
      </c>
      <c r="BR351">
        <v>0</v>
      </c>
      <c r="BS351">
        <v>0</v>
      </c>
      <c r="BT351">
        <v>0</v>
      </c>
      <c r="BU351">
        <v>0</v>
      </c>
      <c r="BV351">
        <v>0</v>
      </c>
      <c r="BW351">
        <v>0</v>
      </c>
      <c r="BX351">
        <v>0</v>
      </c>
      <c r="BY351">
        <v>0</v>
      </c>
      <c r="BZ351">
        <v>0</v>
      </c>
      <c r="CA351">
        <v>0</v>
      </c>
      <c r="CB351">
        <v>0</v>
      </c>
      <c r="CC351">
        <v>0</v>
      </c>
      <c r="CD351">
        <v>0</v>
      </c>
      <c r="CE351">
        <v>0</v>
      </c>
      <c r="CF351">
        <v>0</v>
      </c>
      <c r="CG351">
        <v>0</v>
      </c>
      <c r="CH351">
        <v>0</v>
      </c>
      <c r="CI351">
        <v>0</v>
      </c>
      <c r="CJ351">
        <v>0</v>
      </c>
      <c r="CK351">
        <v>0</v>
      </c>
      <c r="CL351">
        <v>0</v>
      </c>
      <c r="CM351">
        <v>0</v>
      </c>
      <c r="CN351">
        <v>0</v>
      </c>
      <c r="CO351">
        <v>0</v>
      </c>
      <c r="CP351">
        <v>0</v>
      </c>
    </row>
    <row r="352" spans="4:94" x14ac:dyDescent="0.2">
      <c r="D352" t="s">
        <v>49</v>
      </c>
      <c r="E352" t="s">
        <v>61</v>
      </c>
      <c r="F352" t="s">
        <v>62</v>
      </c>
      <c r="K352" t="s">
        <v>52</v>
      </c>
      <c r="M352" t="s">
        <v>7</v>
      </c>
      <c r="N352">
        <v>1</v>
      </c>
      <c r="O352">
        <v>1</v>
      </c>
      <c r="P352">
        <v>0</v>
      </c>
      <c r="Q352" t="s">
        <v>300</v>
      </c>
      <c r="S352">
        <v>1E-3</v>
      </c>
      <c r="T352">
        <v>1E-3</v>
      </c>
      <c r="U352">
        <v>1E-3</v>
      </c>
      <c r="V352">
        <v>1E-3</v>
      </c>
      <c r="W352">
        <v>1E-3</v>
      </c>
      <c r="X352">
        <v>1E-3</v>
      </c>
      <c r="Y352">
        <v>2E-3</v>
      </c>
      <c r="Z352">
        <v>2E-3</v>
      </c>
      <c r="AA352">
        <v>2E-3</v>
      </c>
      <c r="AB352">
        <v>3.0000000000000001E-3</v>
      </c>
      <c r="AC352">
        <v>3.0000000000000001E-3</v>
      </c>
      <c r="AD352">
        <v>3.0000000000000001E-3</v>
      </c>
      <c r="AE352">
        <v>4.0000000000000001E-3</v>
      </c>
      <c r="AF352">
        <v>4.0000000000000001E-3</v>
      </c>
      <c r="AG352">
        <v>4.0000000000000001E-3</v>
      </c>
      <c r="AH352">
        <v>5.0000000000000001E-3</v>
      </c>
      <c r="AI352">
        <v>5.0000000000000001E-3</v>
      </c>
      <c r="AJ352">
        <v>5.0000000000000001E-3</v>
      </c>
      <c r="AK352">
        <v>5.0000000000000001E-3</v>
      </c>
      <c r="AL352">
        <v>6.0000000000000001E-3</v>
      </c>
      <c r="AM352">
        <v>8.9999999999999993E-3</v>
      </c>
      <c r="AN352">
        <v>0.01</v>
      </c>
      <c r="AO352">
        <v>1.2E-2</v>
      </c>
      <c r="AP352">
        <v>1.4E-2</v>
      </c>
      <c r="AQ352">
        <v>1.4999999999999999E-2</v>
      </c>
      <c r="AR352">
        <v>3.4914929394632002</v>
      </c>
      <c r="AS352">
        <v>3.6150234967746</v>
      </c>
      <c r="AT352">
        <v>3.7806667440784998</v>
      </c>
      <c r="AU352">
        <v>3.9825936559890001</v>
      </c>
      <c r="AV352">
        <v>4.2255318690042998</v>
      </c>
      <c r="AW352">
        <v>4.5044169723585998</v>
      </c>
      <c r="AX352">
        <v>4.8354916198270006</v>
      </c>
      <c r="AY352">
        <v>5.2731036114213996</v>
      </c>
      <c r="AZ352">
        <v>5.7909223860629</v>
      </c>
      <c r="BA352">
        <v>6.3902828530204996</v>
      </c>
      <c r="BB352">
        <v>7.0376185060314</v>
      </c>
      <c r="BC352">
        <v>7.6230128635375003</v>
      </c>
      <c r="BD352">
        <v>8.2532437780730987</v>
      </c>
      <c r="BE352">
        <v>8.9314030375647988</v>
      </c>
      <c r="BF352">
        <v>9.6607668568824003</v>
      </c>
      <c r="BG352">
        <v>10.4450001086333</v>
      </c>
      <c r="BH352">
        <v>11.287821740499</v>
      </c>
      <c r="BI352">
        <v>12.1931690261534</v>
      </c>
      <c r="BJ352">
        <v>13.1652077446248</v>
      </c>
      <c r="BK352">
        <v>14.2083426359778</v>
      </c>
      <c r="BL352">
        <v>15.252463571961901</v>
      </c>
      <c r="BM352">
        <v>16.285645999487802</v>
      </c>
      <c r="BN352">
        <v>17.295209148140199</v>
      </c>
      <c r="BO352">
        <v>18.2679476552259</v>
      </c>
      <c r="BP352">
        <v>19.190396619563199</v>
      </c>
      <c r="BQ352">
        <v>20.049123591944301</v>
      </c>
      <c r="BR352">
        <v>20.831039412030101</v>
      </c>
      <c r="BS352">
        <v>21.603870974216498</v>
      </c>
      <c r="BT352">
        <v>22.364327232508799</v>
      </c>
      <c r="BU352">
        <v>23.109059329351499</v>
      </c>
      <c r="BV352">
        <v>23.834683792292999</v>
      </c>
      <c r="BW352">
        <v>24.5378069641657</v>
      </c>
      <c r="BX352">
        <v>25.2150504363766</v>
      </c>
      <c r="BY352">
        <v>25.8630772325916</v>
      </c>
      <c r="BZ352">
        <v>26.478618470727302</v>
      </c>
      <c r="CA352">
        <v>27.0585002152363</v>
      </c>
      <c r="CB352">
        <v>27.599670219540901</v>
      </c>
      <c r="CC352">
        <v>28.1516636239317</v>
      </c>
      <c r="CD352">
        <v>28.714696896410398</v>
      </c>
      <c r="CE352">
        <v>29.288990834338598</v>
      </c>
      <c r="CF352">
        <v>29.874770651025301</v>
      </c>
      <c r="CG352">
        <v>30.472266064045801</v>
      </c>
      <c r="CH352">
        <v>31.081711385326798</v>
      </c>
      <c r="CI352">
        <v>31.703345613033299</v>
      </c>
      <c r="CJ352">
        <v>32.337412525293999</v>
      </c>
      <c r="CK352">
        <v>32.984160775799801</v>
      </c>
      <c r="CL352">
        <v>33.643843991315897</v>
      </c>
      <c r="CM352">
        <v>34.316720871142202</v>
      </c>
      <c r="CN352">
        <v>35.003055288565001</v>
      </c>
      <c r="CO352">
        <v>35.703116394336298</v>
      </c>
      <c r="CP352">
        <v>36.417178722223099</v>
      </c>
    </row>
    <row r="353" spans="4:94" x14ac:dyDescent="0.2">
      <c r="D353" t="s">
        <v>49</v>
      </c>
      <c r="E353" t="s">
        <v>61</v>
      </c>
      <c r="F353" t="s">
        <v>63</v>
      </c>
      <c r="K353" t="s">
        <v>52</v>
      </c>
      <c r="M353" t="s">
        <v>7</v>
      </c>
      <c r="N353">
        <v>1</v>
      </c>
      <c r="O353">
        <v>1</v>
      </c>
      <c r="P353">
        <v>0</v>
      </c>
      <c r="Q353" t="s">
        <v>301</v>
      </c>
      <c r="S353">
        <v>0</v>
      </c>
      <c r="T353">
        <v>0</v>
      </c>
      <c r="U353">
        <v>0</v>
      </c>
      <c r="V353">
        <v>0</v>
      </c>
      <c r="W353">
        <v>0</v>
      </c>
      <c r="X353">
        <v>0</v>
      </c>
      <c r="Y353">
        <v>0</v>
      </c>
      <c r="Z353">
        <v>0</v>
      </c>
      <c r="AA353">
        <v>0</v>
      </c>
      <c r="AB353">
        <v>0</v>
      </c>
      <c r="AC353">
        <v>0</v>
      </c>
      <c r="AD353">
        <v>0</v>
      </c>
      <c r="AE353">
        <v>0</v>
      </c>
      <c r="AF353">
        <v>0</v>
      </c>
      <c r="AG353">
        <v>0</v>
      </c>
      <c r="AH353">
        <v>0</v>
      </c>
      <c r="AI353">
        <v>0</v>
      </c>
      <c r="AJ353">
        <v>0</v>
      </c>
      <c r="AK353">
        <v>0</v>
      </c>
      <c r="AL353">
        <v>0</v>
      </c>
      <c r="AM353">
        <v>0</v>
      </c>
      <c r="AN353">
        <v>0</v>
      </c>
      <c r="AO353">
        <v>0</v>
      </c>
      <c r="AP353">
        <v>0</v>
      </c>
      <c r="AQ353">
        <v>0</v>
      </c>
      <c r="AR353">
        <v>3.0725137867275998</v>
      </c>
      <c r="AS353">
        <v>3.1812206771615998</v>
      </c>
      <c r="AT353">
        <v>3.3269867347891</v>
      </c>
      <c r="AU353">
        <v>3.5046824172702999</v>
      </c>
      <c r="AV353">
        <v>3.7184680447237999</v>
      </c>
      <c r="AW353">
        <v>3.9638869356756001</v>
      </c>
      <c r="AX353">
        <v>4.2552326254477997</v>
      </c>
      <c r="AY353">
        <v>4.6403311780507996</v>
      </c>
      <c r="AZ353">
        <v>5.0960116997354001</v>
      </c>
      <c r="BA353">
        <v>5.6234489106580003</v>
      </c>
      <c r="BB353">
        <v>6.1931042853075997</v>
      </c>
      <c r="BC353">
        <v>6.7082513199129998</v>
      </c>
      <c r="BD353">
        <v>7.2628545247043999</v>
      </c>
      <c r="BE353">
        <v>7.8596346730570001</v>
      </c>
      <c r="BF353">
        <v>8.5014748340564985</v>
      </c>
      <c r="BG353">
        <v>9.1916000955973001</v>
      </c>
      <c r="BH353">
        <v>9.9332831316391008</v>
      </c>
      <c r="BI353">
        <v>10.729988743014999</v>
      </c>
      <c r="BJ353">
        <v>11.585382815269799</v>
      </c>
      <c r="BK353">
        <v>12.5033415196605</v>
      </c>
      <c r="BL353">
        <v>13.4221679433265</v>
      </c>
      <c r="BM353">
        <v>14.3313684795492</v>
      </c>
      <c r="BN353">
        <v>15.219784050363399</v>
      </c>
      <c r="BO353">
        <v>16.0757939365987</v>
      </c>
      <c r="BP353">
        <v>16.887549025215598</v>
      </c>
      <c r="BQ353">
        <v>17.6432287609111</v>
      </c>
      <c r="BR353">
        <v>18.331314682586601</v>
      </c>
      <c r="BS353">
        <v>19.0114064573104</v>
      </c>
      <c r="BT353">
        <v>19.680607964607901</v>
      </c>
      <c r="BU353">
        <v>20.335972209829301</v>
      </c>
      <c r="BV353">
        <v>20.974521737217898</v>
      </c>
      <c r="BW353">
        <v>21.593270128465701</v>
      </c>
      <c r="BX353">
        <v>22.189244384011399</v>
      </c>
      <c r="BY353">
        <v>22.759507964680601</v>
      </c>
      <c r="BZ353">
        <v>23.301184254239899</v>
      </c>
      <c r="CA353">
        <v>23.811480189407799</v>
      </c>
      <c r="CB353">
        <v>24.287709793195901</v>
      </c>
      <c r="CC353">
        <v>24.773463989060001</v>
      </c>
      <c r="CD353">
        <v>25.268933268841099</v>
      </c>
      <c r="CE353">
        <v>25.774311934218002</v>
      </c>
      <c r="CF353">
        <v>26.289798172902302</v>
      </c>
      <c r="CG353">
        <v>26.815594136360399</v>
      </c>
      <c r="CH353">
        <v>27.351906019087501</v>
      </c>
      <c r="CI353">
        <v>27.8989441394693</v>
      </c>
      <c r="CJ353">
        <v>28.4569230222587</v>
      </c>
      <c r="CK353">
        <v>29.026061482703899</v>
      </c>
      <c r="CL353">
        <v>29.606582712358001</v>
      </c>
      <c r="CM353">
        <v>30.198714366605198</v>
      </c>
      <c r="CN353">
        <v>30.802688653937199</v>
      </c>
      <c r="CO353">
        <v>31.418742427015999</v>
      </c>
      <c r="CP353">
        <v>32.047117275556403</v>
      </c>
    </row>
    <row r="354" spans="4:94" x14ac:dyDescent="0.2">
      <c r="D354" t="s">
        <v>49</v>
      </c>
      <c r="E354" t="s">
        <v>61</v>
      </c>
      <c r="F354" t="s">
        <v>64</v>
      </c>
      <c r="K354" t="s">
        <v>52</v>
      </c>
      <c r="M354" t="s">
        <v>7</v>
      </c>
      <c r="N354">
        <v>1</v>
      </c>
      <c r="O354">
        <v>1</v>
      </c>
      <c r="P354">
        <v>0</v>
      </c>
      <c r="Q354" t="s">
        <v>302</v>
      </c>
      <c r="S354">
        <v>0</v>
      </c>
      <c r="T354">
        <v>0</v>
      </c>
      <c r="U354">
        <v>0</v>
      </c>
      <c r="V354">
        <v>0</v>
      </c>
      <c r="W354">
        <v>0</v>
      </c>
      <c r="X354">
        <v>0</v>
      </c>
      <c r="Y354">
        <v>0</v>
      </c>
      <c r="Z354">
        <v>0</v>
      </c>
      <c r="AA354">
        <v>0</v>
      </c>
      <c r="AB354">
        <v>0</v>
      </c>
      <c r="AC354">
        <v>0</v>
      </c>
      <c r="AD354">
        <v>0</v>
      </c>
      <c r="AE354">
        <v>0</v>
      </c>
      <c r="AF354">
        <v>0</v>
      </c>
      <c r="AG354">
        <v>0</v>
      </c>
      <c r="AH354">
        <v>0</v>
      </c>
      <c r="AI354">
        <v>0</v>
      </c>
      <c r="AJ354">
        <v>0</v>
      </c>
      <c r="AK354">
        <v>0</v>
      </c>
      <c r="AL354">
        <v>0</v>
      </c>
      <c r="AM354">
        <v>0</v>
      </c>
      <c r="AN354">
        <v>0</v>
      </c>
      <c r="AO354">
        <v>0</v>
      </c>
      <c r="AP354">
        <v>0</v>
      </c>
      <c r="AQ354">
        <v>0</v>
      </c>
      <c r="AR354">
        <v>0.22168209139440001</v>
      </c>
      <c r="AS354">
        <v>0.22952530138249999</v>
      </c>
      <c r="AT354">
        <v>0.24004233295729999</v>
      </c>
      <c r="AU354">
        <v>0.25286308926910001</v>
      </c>
      <c r="AV354">
        <v>0.26828773771449999</v>
      </c>
      <c r="AW354">
        <v>0.28599472840369999</v>
      </c>
      <c r="AX354">
        <v>0.30701534094130001</v>
      </c>
      <c r="AY354">
        <v>0.3348002292965</v>
      </c>
      <c r="AZ354">
        <v>0.3676776118135</v>
      </c>
      <c r="BA354">
        <v>0.4057322446362</v>
      </c>
      <c r="BB354">
        <v>0.44683292101779998</v>
      </c>
      <c r="BC354">
        <v>0.48400081673250001</v>
      </c>
      <c r="BD354">
        <v>0.52401547797280001</v>
      </c>
      <c r="BE354">
        <v>0.56707320873420008</v>
      </c>
      <c r="BF354">
        <v>0.61338202265909991</v>
      </c>
      <c r="BG354">
        <v>0.66317461007190004</v>
      </c>
      <c r="BH354">
        <v>0.71668709463480007</v>
      </c>
      <c r="BI354">
        <v>0.77416946197789993</v>
      </c>
      <c r="BJ354">
        <v>0.83588620600789998</v>
      </c>
      <c r="BK354">
        <v>0.90211699276040003</v>
      </c>
      <c r="BL354">
        <v>0.96841038552129999</v>
      </c>
      <c r="BM354">
        <v>1.0340092698087</v>
      </c>
      <c r="BN354">
        <v>1.0981085173422001</v>
      </c>
      <c r="BO354">
        <v>1.1598696923952001</v>
      </c>
      <c r="BP354">
        <v>1.2184378806070999</v>
      </c>
      <c r="BQ354">
        <v>1.2729602280598999</v>
      </c>
      <c r="BR354">
        <v>1.3226056769542001</v>
      </c>
      <c r="BS354">
        <v>1.3716743475693001</v>
      </c>
      <c r="BT354">
        <v>1.4199572846037001</v>
      </c>
      <c r="BU354">
        <v>1.4672418621809999</v>
      </c>
      <c r="BV354">
        <v>1.5133132566534999</v>
      </c>
      <c r="BW354">
        <v>1.5579559977248001</v>
      </c>
      <c r="BX354">
        <v>1.6009555832619999</v>
      </c>
      <c r="BY354">
        <v>1.6421001417518</v>
      </c>
      <c r="BZ354">
        <v>1.6811821251254999</v>
      </c>
      <c r="CA354">
        <v>1.7180000136657001</v>
      </c>
      <c r="CB354">
        <v>1.7523600139391</v>
      </c>
      <c r="CC354">
        <v>1.7874072142177999</v>
      </c>
      <c r="CD354">
        <v>1.8231553585022</v>
      </c>
      <c r="CE354">
        <v>1.8596184656721999</v>
      </c>
      <c r="CF354">
        <v>1.8968108349857</v>
      </c>
      <c r="CG354">
        <v>1.9347470516854</v>
      </c>
      <c r="CH354">
        <v>1.9734419927191</v>
      </c>
      <c r="CI354">
        <v>2.0129108325735001</v>
      </c>
      <c r="CJ354">
        <v>2.0531690492250001</v>
      </c>
      <c r="CK354">
        <v>2.0942324302094999</v>
      </c>
      <c r="CL354">
        <v>2.1361170788137001</v>
      </c>
      <c r="CM354">
        <v>2.1788394203899002</v>
      </c>
      <c r="CN354">
        <v>2.2224162087977</v>
      </c>
      <c r="CO354">
        <v>2.2668645329736998</v>
      </c>
      <c r="CP354">
        <v>2.3122018236331998</v>
      </c>
    </row>
    <row r="355" spans="4:94" x14ac:dyDescent="0.2">
      <c r="D355" t="s">
        <v>49</v>
      </c>
      <c r="E355" t="s">
        <v>65</v>
      </c>
      <c r="K355" t="s">
        <v>52</v>
      </c>
      <c r="M355" t="s">
        <v>56</v>
      </c>
      <c r="N355">
        <v>1</v>
      </c>
      <c r="O355">
        <v>1</v>
      </c>
      <c r="P355">
        <v>0</v>
      </c>
      <c r="Q355" t="s">
        <v>303</v>
      </c>
      <c r="S355">
        <v>0</v>
      </c>
      <c r="T355">
        <v>0</v>
      </c>
      <c r="U355">
        <v>0</v>
      </c>
      <c r="V355">
        <v>0</v>
      </c>
      <c r="W355">
        <v>0</v>
      </c>
      <c r="X355">
        <v>0</v>
      </c>
      <c r="Y355">
        <v>0</v>
      </c>
      <c r="Z355">
        <v>0</v>
      </c>
      <c r="AA355">
        <v>0</v>
      </c>
      <c r="AB355">
        <v>0</v>
      </c>
      <c r="AC355">
        <v>0</v>
      </c>
      <c r="AD355">
        <v>0</v>
      </c>
      <c r="AE355">
        <v>0</v>
      </c>
      <c r="AF355">
        <v>0</v>
      </c>
      <c r="AG355">
        <v>0</v>
      </c>
      <c r="AH355">
        <v>0</v>
      </c>
      <c r="AI355">
        <v>0</v>
      </c>
      <c r="AJ355">
        <v>0</v>
      </c>
      <c r="AK355">
        <v>0</v>
      </c>
      <c r="AL355">
        <v>0</v>
      </c>
      <c r="AM355">
        <v>0</v>
      </c>
      <c r="AN355">
        <v>0</v>
      </c>
      <c r="AO355">
        <v>0</v>
      </c>
      <c r="AP355">
        <v>0</v>
      </c>
      <c r="AQ355">
        <v>0</v>
      </c>
      <c r="AR355">
        <v>0</v>
      </c>
      <c r="AS355">
        <v>0</v>
      </c>
      <c r="AT355">
        <v>0</v>
      </c>
      <c r="AU355">
        <v>0</v>
      </c>
      <c r="AV355">
        <v>0</v>
      </c>
      <c r="AW355">
        <v>0</v>
      </c>
      <c r="AX355">
        <v>0</v>
      </c>
      <c r="AY355">
        <v>0</v>
      </c>
      <c r="AZ355">
        <v>0</v>
      </c>
      <c r="BA355">
        <v>0</v>
      </c>
      <c r="BB355">
        <v>0</v>
      </c>
      <c r="BC355">
        <v>0</v>
      </c>
      <c r="BD355">
        <v>0</v>
      </c>
      <c r="BE355">
        <v>0</v>
      </c>
      <c r="BF355">
        <v>0</v>
      </c>
      <c r="BG355">
        <v>0</v>
      </c>
      <c r="BH355">
        <v>0</v>
      </c>
      <c r="BI355">
        <v>0</v>
      </c>
      <c r="BJ355">
        <v>0</v>
      </c>
      <c r="BK355">
        <v>0</v>
      </c>
      <c r="BL355">
        <v>0</v>
      </c>
      <c r="BM355">
        <v>0</v>
      </c>
      <c r="BN355">
        <v>0</v>
      </c>
      <c r="BO355">
        <v>0</v>
      </c>
      <c r="BP355">
        <v>0</v>
      </c>
      <c r="BQ355">
        <v>0</v>
      </c>
      <c r="BR355">
        <v>0</v>
      </c>
      <c r="BS355">
        <v>0</v>
      </c>
      <c r="BT355">
        <v>0</v>
      </c>
      <c r="BU355">
        <v>0</v>
      </c>
      <c r="BV355">
        <v>0</v>
      </c>
      <c r="BW355">
        <v>0</v>
      </c>
      <c r="BX355">
        <v>0</v>
      </c>
      <c r="BY355">
        <v>0</v>
      </c>
      <c r="BZ355">
        <v>0</v>
      </c>
      <c r="CA355">
        <v>0</v>
      </c>
      <c r="CB355">
        <v>0</v>
      </c>
      <c r="CC355">
        <v>0</v>
      </c>
      <c r="CD355">
        <v>0</v>
      </c>
      <c r="CE355">
        <v>0</v>
      </c>
      <c r="CF355">
        <v>0</v>
      </c>
      <c r="CG355">
        <v>0</v>
      </c>
      <c r="CH355">
        <v>0</v>
      </c>
      <c r="CI355">
        <v>0</v>
      </c>
      <c r="CJ355">
        <v>0</v>
      </c>
      <c r="CK355">
        <v>0</v>
      </c>
      <c r="CL355">
        <v>0</v>
      </c>
      <c r="CM355">
        <v>0</v>
      </c>
      <c r="CN355">
        <v>0</v>
      </c>
      <c r="CO355">
        <v>0</v>
      </c>
      <c r="CP355">
        <v>0</v>
      </c>
    </row>
    <row r="356" spans="4:94" x14ac:dyDescent="0.2">
      <c r="D356" t="s">
        <v>49</v>
      </c>
      <c r="E356" t="s">
        <v>65</v>
      </c>
      <c r="K356" t="s">
        <v>52</v>
      </c>
      <c r="M356" t="s">
        <v>57</v>
      </c>
      <c r="N356">
        <v>1</v>
      </c>
      <c r="O356">
        <v>1</v>
      </c>
      <c r="P356">
        <v>0</v>
      </c>
      <c r="Q356" t="s">
        <v>304</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0</v>
      </c>
      <c r="AW356">
        <v>0</v>
      </c>
      <c r="AX356">
        <v>0</v>
      </c>
      <c r="AY356">
        <v>0</v>
      </c>
      <c r="AZ356">
        <v>0</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0</v>
      </c>
      <c r="BU356">
        <v>0</v>
      </c>
      <c r="BV356">
        <v>0</v>
      </c>
      <c r="BW356">
        <v>0</v>
      </c>
      <c r="BX356">
        <v>0</v>
      </c>
      <c r="BY356">
        <v>0</v>
      </c>
      <c r="BZ356">
        <v>0</v>
      </c>
      <c r="CA356">
        <v>0</v>
      </c>
      <c r="CB356">
        <v>0</v>
      </c>
      <c r="CC356">
        <v>0</v>
      </c>
      <c r="CD356">
        <v>0</v>
      </c>
      <c r="CE356">
        <v>0</v>
      </c>
      <c r="CF356">
        <v>0</v>
      </c>
      <c r="CG356">
        <v>0</v>
      </c>
      <c r="CH356">
        <v>0</v>
      </c>
      <c r="CI356">
        <v>0</v>
      </c>
      <c r="CJ356">
        <v>0</v>
      </c>
      <c r="CK356">
        <v>0</v>
      </c>
      <c r="CL356">
        <v>0</v>
      </c>
      <c r="CM356">
        <v>0</v>
      </c>
      <c r="CN356">
        <v>0</v>
      </c>
      <c r="CO356">
        <v>0</v>
      </c>
      <c r="CP356">
        <v>0</v>
      </c>
    </row>
    <row r="357" spans="4:94" x14ac:dyDescent="0.2">
      <c r="D357" t="s">
        <v>49</v>
      </c>
      <c r="E357" t="s">
        <v>65</v>
      </c>
      <c r="K357" t="s">
        <v>52</v>
      </c>
      <c r="M357" t="s">
        <v>58</v>
      </c>
      <c r="N357">
        <v>1</v>
      </c>
      <c r="O357">
        <v>1</v>
      </c>
      <c r="P357">
        <v>0</v>
      </c>
      <c r="Q357" t="s">
        <v>305</v>
      </c>
      <c r="S357">
        <v>0</v>
      </c>
      <c r="T357">
        <v>0</v>
      </c>
      <c r="U357">
        <v>0</v>
      </c>
      <c r="V357">
        <v>0</v>
      </c>
      <c r="W357">
        <v>0</v>
      </c>
      <c r="X357">
        <v>0</v>
      </c>
      <c r="Y357">
        <v>0</v>
      </c>
      <c r="Z357">
        <v>0</v>
      </c>
      <c r="AA357">
        <v>0</v>
      </c>
      <c r="AB357">
        <v>0</v>
      </c>
      <c r="AC357">
        <v>0</v>
      </c>
      <c r="AD357">
        <v>0</v>
      </c>
      <c r="AE357">
        <v>0</v>
      </c>
      <c r="AF357">
        <v>0</v>
      </c>
      <c r="AG357">
        <v>0</v>
      </c>
      <c r="AH357">
        <v>0</v>
      </c>
      <c r="AI357">
        <v>0</v>
      </c>
      <c r="AJ357">
        <v>0</v>
      </c>
      <c r="AK357">
        <v>0</v>
      </c>
      <c r="AL357">
        <v>0</v>
      </c>
      <c r="AM357">
        <v>0</v>
      </c>
      <c r="AN357">
        <v>0</v>
      </c>
      <c r="AO357">
        <v>0</v>
      </c>
      <c r="AP357">
        <v>0</v>
      </c>
      <c r="AQ357">
        <v>0</v>
      </c>
      <c r="AR357">
        <v>0</v>
      </c>
      <c r="AS357">
        <v>0</v>
      </c>
      <c r="AT357">
        <v>0</v>
      </c>
      <c r="AU357">
        <v>0</v>
      </c>
      <c r="AV357">
        <v>0</v>
      </c>
      <c r="AW357">
        <v>0</v>
      </c>
      <c r="AX357">
        <v>0</v>
      </c>
      <c r="AY357">
        <v>0</v>
      </c>
      <c r="AZ357">
        <v>0</v>
      </c>
      <c r="BA357">
        <v>0</v>
      </c>
      <c r="BB357">
        <v>0</v>
      </c>
      <c r="BC357">
        <v>0</v>
      </c>
      <c r="BD357">
        <v>0</v>
      </c>
      <c r="BE357">
        <v>0</v>
      </c>
      <c r="BF357">
        <v>0</v>
      </c>
      <c r="BG357">
        <v>0</v>
      </c>
      <c r="BH357">
        <v>0</v>
      </c>
      <c r="BI357">
        <v>0</v>
      </c>
      <c r="BJ357">
        <v>0</v>
      </c>
      <c r="BK357">
        <v>0</v>
      </c>
      <c r="BL357">
        <v>0</v>
      </c>
      <c r="BM357">
        <v>0</v>
      </c>
      <c r="BN357">
        <v>0</v>
      </c>
      <c r="BO357">
        <v>0</v>
      </c>
      <c r="BP357">
        <v>0</v>
      </c>
      <c r="BQ357">
        <v>0</v>
      </c>
      <c r="BR357">
        <v>0</v>
      </c>
      <c r="BS357">
        <v>0</v>
      </c>
      <c r="BT357">
        <v>0</v>
      </c>
      <c r="BU357">
        <v>0</v>
      </c>
      <c r="BV357">
        <v>0</v>
      </c>
      <c r="BW357">
        <v>0</v>
      </c>
      <c r="BX357">
        <v>0</v>
      </c>
      <c r="BY357">
        <v>0</v>
      </c>
      <c r="BZ357">
        <v>0</v>
      </c>
      <c r="CA357">
        <v>0</v>
      </c>
      <c r="CB357">
        <v>0</v>
      </c>
      <c r="CC357">
        <v>0</v>
      </c>
      <c r="CD357">
        <v>0</v>
      </c>
      <c r="CE357">
        <v>0</v>
      </c>
      <c r="CF357">
        <v>0</v>
      </c>
      <c r="CG357">
        <v>0</v>
      </c>
      <c r="CH357">
        <v>0</v>
      </c>
      <c r="CI357">
        <v>0</v>
      </c>
      <c r="CJ357">
        <v>0</v>
      </c>
      <c r="CK357">
        <v>0</v>
      </c>
      <c r="CL357">
        <v>0</v>
      </c>
      <c r="CM357">
        <v>0</v>
      </c>
      <c r="CN357">
        <v>0</v>
      </c>
      <c r="CO357">
        <v>0</v>
      </c>
      <c r="CP357">
        <v>0</v>
      </c>
    </row>
    <row r="358" spans="4:94" x14ac:dyDescent="0.2">
      <c r="D358" t="s">
        <v>49</v>
      </c>
      <c r="E358" t="s">
        <v>65</v>
      </c>
      <c r="K358" t="s">
        <v>52</v>
      </c>
      <c r="M358" t="s">
        <v>59</v>
      </c>
      <c r="N358">
        <v>1</v>
      </c>
      <c r="O358">
        <v>1</v>
      </c>
      <c r="P358">
        <v>0</v>
      </c>
      <c r="Q358" t="s">
        <v>306</v>
      </c>
      <c r="S358">
        <v>0</v>
      </c>
      <c r="T358">
        <v>0</v>
      </c>
      <c r="U358">
        <v>0</v>
      </c>
      <c r="V358">
        <v>0</v>
      </c>
      <c r="W358">
        <v>0</v>
      </c>
      <c r="X358">
        <v>0</v>
      </c>
      <c r="Y358">
        <v>0</v>
      </c>
      <c r="Z358">
        <v>0</v>
      </c>
      <c r="AA358">
        <v>0</v>
      </c>
      <c r="AB358">
        <v>0</v>
      </c>
      <c r="AC358">
        <v>0</v>
      </c>
      <c r="AD358">
        <v>0</v>
      </c>
      <c r="AE358">
        <v>0</v>
      </c>
      <c r="AF358">
        <v>0</v>
      </c>
      <c r="AG358">
        <v>0</v>
      </c>
      <c r="AH358">
        <v>0</v>
      </c>
      <c r="AI358">
        <v>0</v>
      </c>
      <c r="AJ358">
        <v>0</v>
      </c>
      <c r="AK358">
        <v>0</v>
      </c>
      <c r="AL358">
        <v>0</v>
      </c>
      <c r="AM358">
        <v>0</v>
      </c>
      <c r="AN358">
        <v>0</v>
      </c>
      <c r="AO358">
        <v>0</v>
      </c>
      <c r="AP358">
        <v>0</v>
      </c>
      <c r="AQ358">
        <v>0</v>
      </c>
      <c r="AR358">
        <v>0</v>
      </c>
      <c r="AS358">
        <v>0</v>
      </c>
      <c r="AT358">
        <v>0</v>
      </c>
      <c r="AU358">
        <v>0</v>
      </c>
      <c r="AV358">
        <v>0</v>
      </c>
      <c r="AW358">
        <v>0</v>
      </c>
      <c r="AX358">
        <v>0</v>
      </c>
      <c r="AY358">
        <v>0</v>
      </c>
      <c r="AZ358">
        <v>0</v>
      </c>
      <c r="BA358">
        <v>0</v>
      </c>
      <c r="BB358">
        <v>0</v>
      </c>
      <c r="BC358">
        <v>0</v>
      </c>
      <c r="BD358">
        <v>0</v>
      </c>
      <c r="BE358">
        <v>0</v>
      </c>
      <c r="BF358">
        <v>0</v>
      </c>
      <c r="BG358">
        <v>0</v>
      </c>
      <c r="BH358">
        <v>0</v>
      </c>
      <c r="BI358">
        <v>0</v>
      </c>
      <c r="BJ358">
        <v>0</v>
      </c>
      <c r="BK358">
        <v>0</v>
      </c>
      <c r="BL358">
        <v>0</v>
      </c>
      <c r="BM358">
        <v>0</v>
      </c>
      <c r="BN358">
        <v>0</v>
      </c>
      <c r="BO358">
        <v>0</v>
      </c>
      <c r="BP358">
        <v>0</v>
      </c>
      <c r="BQ358">
        <v>0</v>
      </c>
      <c r="BR358">
        <v>0</v>
      </c>
      <c r="BS358">
        <v>0</v>
      </c>
      <c r="BT358">
        <v>0</v>
      </c>
      <c r="BU358">
        <v>0</v>
      </c>
      <c r="BV358">
        <v>0</v>
      </c>
      <c r="BW358">
        <v>0</v>
      </c>
      <c r="BX358">
        <v>0</v>
      </c>
      <c r="BY358">
        <v>0</v>
      </c>
      <c r="BZ358">
        <v>0</v>
      </c>
      <c r="CA358">
        <v>0</v>
      </c>
      <c r="CB358">
        <v>0</v>
      </c>
      <c r="CC358">
        <v>0</v>
      </c>
      <c r="CD358">
        <v>0</v>
      </c>
      <c r="CE358">
        <v>0</v>
      </c>
      <c r="CF358">
        <v>0</v>
      </c>
      <c r="CG358">
        <v>0</v>
      </c>
      <c r="CH358">
        <v>0</v>
      </c>
      <c r="CI358">
        <v>0</v>
      </c>
      <c r="CJ358">
        <v>0</v>
      </c>
      <c r="CK358">
        <v>0</v>
      </c>
      <c r="CL358">
        <v>0</v>
      </c>
      <c r="CM358">
        <v>0</v>
      </c>
      <c r="CN358">
        <v>0</v>
      </c>
      <c r="CO358">
        <v>0</v>
      </c>
      <c r="CP358">
        <v>0</v>
      </c>
    </row>
    <row r="359" spans="4:94" x14ac:dyDescent="0.2">
      <c r="D359" t="s">
        <v>49</v>
      </c>
      <c r="E359" t="s">
        <v>66</v>
      </c>
      <c r="F359" t="s">
        <v>67</v>
      </c>
      <c r="K359" t="s">
        <v>52</v>
      </c>
      <c r="M359" t="s">
        <v>56</v>
      </c>
      <c r="N359">
        <v>1</v>
      </c>
      <c r="O359">
        <v>1</v>
      </c>
      <c r="P359">
        <v>0</v>
      </c>
      <c r="Q359" t="s">
        <v>307</v>
      </c>
      <c r="S359">
        <v>12.494999999999999</v>
      </c>
      <c r="T359">
        <v>15.680999999999999</v>
      </c>
      <c r="U359">
        <v>18.548999999999999</v>
      </c>
      <c r="V359">
        <v>21.16</v>
      </c>
      <c r="W359">
        <v>23.552</v>
      </c>
      <c r="X359">
        <v>25.762</v>
      </c>
      <c r="Y359">
        <v>27.827000000000002</v>
      </c>
      <c r="Z359">
        <v>29.609000000000002</v>
      </c>
      <c r="AA359">
        <v>31.148</v>
      </c>
      <c r="AB359">
        <v>32.484000000000002</v>
      </c>
      <c r="AC359">
        <v>33.648000000000003</v>
      </c>
      <c r="AD359">
        <v>34.668999999999997</v>
      </c>
      <c r="AE359">
        <v>36.191000000000003</v>
      </c>
      <c r="AF359">
        <v>61.344999999999999</v>
      </c>
      <c r="AG359">
        <v>57.152999999999999</v>
      </c>
      <c r="AH359">
        <v>54.966000000000001</v>
      </c>
      <c r="AI359">
        <v>55.043999999999997</v>
      </c>
      <c r="AJ359">
        <v>56.491999999999997</v>
      </c>
      <c r="AK359">
        <v>59.246000000000002</v>
      </c>
      <c r="AL359">
        <v>63.134</v>
      </c>
      <c r="AM359">
        <v>68.143000000000001</v>
      </c>
      <c r="AN359">
        <v>74.992999999999995</v>
      </c>
      <c r="AO359">
        <v>81.099999999999994</v>
      </c>
      <c r="AP359">
        <v>86.685000000000002</v>
      </c>
      <c r="AQ359">
        <v>90.837000000000003</v>
      </c>
      <c r="AR359">
        <v>0</v>
      </c>
      <c r="AS359">
        <v>0</v>
      </c>
      <c r="AT359">
        <v>0</v>
      </c>
      <c r="AU359">
        <v>0</v>
      </c>
      <c r="AV359">
        <v>0</v>
      </c>
      <c r="AW359">
        <v>0</v>
      </c>
      <c r="AX359">
        <v>0</v>
      </c>
      <c r="AY359">
        <v>0</v>
      </c>
      <c r="AZ359">
        <v>0</v>
      </c>
      <c r="BA359">
        <v>0</v>
      </c>
      <c r="BB359">
        <v>0</v>
      </c>
      <c r="BC359">
        <v>0</v>
      </c>
      <c r="BD359">
        <v>0</v>
      </c>
      <c r="BE359">
        <v>0</v>
      </c>
      <c r="BF359">
        <v>0</v>
      </c>
      <c r="BG359">
        <v>0</v>
      </c>
      <c r="BH359">
        <v>0</v>
      </c>
      <c r="BI359">
        <v>0</v>
      </c>
      <c r="BJ359">
        <v>0</v>
      </c>
      <c r="BK359">
        <v>0</v>
      </c>
      <c r="BL359">
        <v>0</v>
      </c>
      <c r="BM359">
        <v>0</v>
      </c>
      <c r="BN359">
        <v>0</v>
      </c>
      <c r="BO359">
        <v>0</v>
      </c>
      <c r="BP359">
        <v>0</v>
      </c>
      <c r="BQ359">
        <v>0</v>
      </c>
      <c r="BR359">
        <v>0</v>
      </c>
      <c r="BS359">
        <v>0</v>
      </c>
      <c r="BT359">
        <v>0</v>
      </c>
      <c r="BU359">
        <v>0</v>
      </c>
      <c r="BV359">
        <v>0</v>
      </c>
      <c r="BW359">
        <v>0</v>
      </c>
      <c r="BX359">
        <v>0</v>
      </c>
      <c r="BY359">
        <v>0</v>
      </c>
      <c r="BZ359">
        <v>0</v>
      </c>
      <c r="CA359">
        <v>0</v>
      </c>
      <c r="CB359">
        <v>0</v>
      </c>
      <c r="CC359">
        <v>0</v>
      </c>
      <c r="CD359">
        <v>0</v>
      </c>
      <c r="CE359">
        <v>0</v>
      </c>
      <c r="CF359">
        <v>0</v>
      </c>
      <c r="CG359">
        <v>0</v>
      </c>
      <c r="CH359">
        <v>0</v>
      </c>
      <c r="CI359">
        <v>0</v>
      </c>
      <c r="CJ359">
        <v>0</v>
      </c>
      <c r="CK359">
        <v>0</v>
      </c>
      <c r="CL359">
        <v>0</v>
      </c>
      <c r="CM359">
        <v>0</v>
      </c>
      <c r="CN359">
        <v>0</v>
      </c>
      <c r="CO359">
        <v>0</v>
      </c>
      <c r="CP359">
        <v>0</v>
      </c>
    </row>
    <row r="360" spans="4:94" x14ac:dyDescent="0.2">
      <c r="D360" t="s">
        <v>49</v>
      </c>
      <c r="E360" t="s">
        <v>66</v>
      </c>
      <c r="F360" t="s">
        <v>68</v>
      </c>
      <c r="K360" t="s">
        <v>52</v>
      </c>
      <c r="M360" t="s">
        <v>56</v>
      </c>
      <c r="N360">
        <v>1</v>
      </c>
      <c r="O360">
        <v>1</v>
      </c>
      <c r="P360">
        <v>0</v>
      </c>
      <c r="Q360" t="s">
        <v>308</v>
      </c>
      <c r="S360">
        <v>1.18</v>
      </c>
      <c r="T360">
        <v>1.4790000000000001</v>
      </c>
      <c r="U360">
        <v>1.748</v>
      </c>
      <c r="V360">
        <v>1.9930000000000001</v>
      </c>
      <c r="W360">
        <v>2.2170000000000001</v>
      </c>
      <c r="X360">
        <v>2.4220000000000002</v>
      </c>
      <c r="Y360">
        <v>2.6150000000000002</v>
      </c>
      <c r="Z360">
        <v>2.7959999999999998</v>
      </c>
      <c r="AA360">
        <v>2.9670000000000001</v>
      </c>
      <c r="AB360">
        <v>3.1309999999999998</v>
      </c>
      <c r="AC360">
        <v>3.2890000000000001</v>
      </c>
      <c r="AD360">
        <v>3.4430000000000001</v>
      </c>
      <c r="AE360">
        <v>3.593</v>
      </c>
      <c r="AF360">
        <v>5.9279999999999999</v>
      </c>
      <c r="AG360">
        <v>5.4420000000000002</v>
      </c>
      <c r="AH360">
        <v>5.0979999999999999</v>
      </c>
      <c r="AI360">
        <v>4.9059999999999997</v>
      </c>
      <c r="AJ360">
        <v>4.8049999999999997</v>
      </c>
      <c r="AK360">
        <v>4.766</v>
      </c>
      <c r="AL360">
        <v>4.774</v>
      </c>
      <c r="AM360">
        <v>4.8239999999999998</v>
      </c>
      <c r="AN360">
        <v>4.9219999999999997</v>
      </c>
      <c r="AO360">
        <v>5.0709999999999997</v>
      </c>
      <c r="AP360">
        <v>5.2190000000000003</v>
      </c>
      <c r="AQ360">
        <v>5.5869999999999997</v>
      </c>
      <c r="AR360">
        <v>0</v>
      </c>
      <c r="AS360">
        <v>0</v>
      </c>
      <c r="AT360">
        <v>0</v>
      </c>
      <c r="AU360">
        <v>0</v>
      </c>
      <c r="AV360">
        <v>0</v>
      </c>
      <c r="AW360">
        <v>0</v>
      </c>
      <c r="AX360">
        <v>0</v>
      </c>
      <c r="AY360">
        <v>0</v>
      </c>
      <c r="AZ360">
        <v>0</v>
      </c>
      <c r="BA360">
        <v>0</v>
      </c>
      <c r="BB360">
        <v>0</v>
      </c>
      <c r="BC360">
        <v>0</v>
      </c>
      <c r="BD360">
        <v>0</v>
      </c>
      <c r="BE360">
        <v>0</v>
      </c>
      <c r="BF360">
        <v>0</v>
      </c>
      <c r="BG360">
        <v>0</v>
      </c>
      <c r="BH360">
        <v>0</v>
      </c>
      <c r="BI360">
        <v>0</v>
      </c>
      <c r="BJ360">
        <v>0</v>
      </c>
      <c r="BK360">
        <v>0</v>
      </c>
      <c r="BL360">
        <v>0</v>
      </c>
      <c r="BM360">
        <v>0</v>
      </c>
      <c r="BN360">
        <v>0</v>
      </c>
      <c r="BO360">
        <v>0</v>
      </c>
      <c r="BP360">
        <v>0</v>
      </c>
      <c r="BQ360">
        <v>0</v>
      </c>
      <c r="BR360">
        <v>0</v>
      </c>
      <c r="BS360">
        <v>0</v>
      </c>
      <c r="BT360">
        <v>0</v>
      </c>
      <c r="BU360">
        <v>0</v>
      </c>
      <c r="BV360">
        <v>0</v>
      </c>
      <c r="BW360">
        <v>0</v>
      </c>
      <c r="BX360">
        <v>0</v>
      </c>
      <c r="BY360">
        <v>0</v>
      </c>
      <c r="BZ360">
        <v>0</v>
      </c>
      <c r="CA360">
        <v>0</v>
      </c>
      <c r="CB360">
        <v>0</v>
      </c>
      <c r="CC360">
        <v>0</v>
      </c>
      <c r="CD360">
        <v>0</v>
      </c>
      <c r="CE360">
        <v>0</v>
      </c>
      <c r="CF360">
        <v>0</v>
      </c>
      <c r="CG360">
        <v>0</v>
      </c>
      <c r="CH360">
        <v>0</v>
      </c>
      <c r="CI360">
        <v>0</v>
      </c>
      <c r="CJ360">
        <v>0</v>
      </c>
      <c r="CK360">
        <v>0</v>
      </c>
      <c r="CL360">
        <v>0</v>
      </c>
      <c r="CM360">
        <v>0</v>
      </c>
      <c r="CN360">
        <v>0</v>
      </c>
      <c r="CO360">
        <v>0</v>
      </c>
      <c r="CP360">
        <v>0</v>
      </c>
    </row>
    <row r="361" spans="4:94" x14ac:dyDescent="0.2">
      <c r="D361" t="s">
        <v>49</v>
      </c>
      <c r="E361" t="s">
        <v>66</v>
      </c>
      <c r="F361" t="s">
        <v>68</v>
      </c>
      <c r="K361" t="s">
        <v>52</v>
      </c>
      <c r="M361" t="s">
        <v>58</v>
      </c>
      <c r="N361">
        <v>1</v>
      </c>
      <c r="O361">
        <v>1</v>
      </c>
      <c r="P361">
        <v>0</v>
      </c>
      <c r="Q361" t="s">
        <v>309</v>
      </c>
      <c r="S361">
        <v>0</v>
      </c>
      <c r="T361">
        <v>0</v>
      </c>
      <c r="U361">
        <v>0</v>
      </c>
      <c r="V361">
        <v>0</v>
      </c>
      <c r="W361">
        <v>0</v>
      </c>
      <c r="X361">
        <v>0</v>
      </c>
      <c r="Y361">
        <v>0</v>
      </c>
      <c r="Z361">
        <v>0</v>
      </c>
      <c r="AA361">
        <v>0</v>
      </c>
      <c r="AB361">
        <v>0</v>
      </c>
      <c r="AC361">
        <v>0</v>
      </c>
      <c r="AD361">
        <v>0</v>
      </c>
      <c r="AE361">
        <v>0</v>
      </c>
      <c r="AF361">
        <v>0</v>
      </c>
      <c r="AG361">
        <v>0</v>
      </c>
      <c r="AH361">
        <v>174.02</v>
      </c>
      <c r="AI361">
        <v>0</v>
      </c>
      <c r="AJ361">
        <v>0</v>
      </c>
      <c r="AK361">
        <v>0</v>
      </c>
      <c r="AL361">
        <v>0</v>
      </c>
      <c r="AM361">
        <v>0</v>
      </c>
      <c r="AN361">
        <v>0</v>
      </c>
      <c r="AO361">
        <v>0</v>
      </c>
      <c r="AP361">
        <v>0</v>
      </c>
      <c r="AQ361">
        <v>0</v>
      </c>
      <c r="AR361">
        <v>0</v>
      </c>
      <c r="AS361">
        <v>0</v>
      </c>
      <c r="AT361">
        <v>0</v>
      </c>
      <c r="AU361">
        <v>0</v>
      </c>
      <c r="AV361">
        <v>0</v>
      </c>
      <c r="AW361">
        <v>0</v>
      </c>
      <c r="AX361">
        <v>0</v>
      </c>
      <c r="AY361">
        <v>0</v>
      </c>
      <c r="AZ361">
        <v>0</v>
      </c>
      <c r="BA361">
        <v>0</v>
      </c>
      <c r="BB361">
        <v>0</v>
      </c>
      <c r="BC361">
        <v>0</v>
      </c>
      <c r="BD361">
        <v>0</v>
      </c>
      <c r="BE361">
        <v>0</v>
      </c>
      <c r="BF361">
        <v>0</v>
      </c>
      <c r="BG361">
        <v>0</v>
      </c>
      <c r="BH361">
        <v>0</v>
      </c>
      <c r="BI361">
        <v>0</v>
      </c>
      <c r="BJ361">
        <v>0</v>
      </c>
      <c r="BK361">
        <v>0</v>
      </c>
      <c r="BL361">
        <v>0</v>
      </c>
      <c r="BM361">
        <v>0</v>
      </c>
      <c r="BN361">
        <v>0</v>
      </c>
      <c r="BO361">
        <v>0</v>
      </c>
      <c r="BP361">
        <v>0</v>
      </c>
      <c r="BQ361">
        <v>0</v>
      </c>
      <c r="BR361">
        <v>0</v>
      </c>
      <c r="BS361">
        <v>0</v>
      </c>
      <c r="BT361">
        <v>0</v>
      </c>
      <c r="BU361">
        <v>0</v>
      </c>
      <c r="BV361">
        <v>0</v>
      </c>
      <c r="BW361">
        <v>0</v>
      </c>
      <c r="BX361">
        <v>0</v>
      </c>
      <c r="BY361">
        <v>0</v>
      </c>
      <c r="BZ361">
        <v>0</v>
      </c>
      <c r="CA361">
        <v>0</v>
      </c>
      <c r="CB361">
        <v>0</v>
      </c>
      <c r="CC361">
        <v>0</v>
      </c>
      <c r="CD361">
        <v>0</v>
      </c>
      <c r="CE361">
        <v>0</v>
      </c>
      <c r="CF361">
        <v>0</v>
      </c>
      <c r="CG361">
        <v>0</v>
      </c>
      <c r="CH361">
        <v>0</v>
      </c>
      <c r="CI361">
        <v>0</v>
      </c>
      <c r="CJ361">
        <v>0</v>
      </c>
      <c r="CK361">
        <v>0</v>
      </c>
      <c r="CL361">
        <v>0</v>
      </c>
      <c r="CM361">
        <v>0</v>
      </c>
      <c r="CN361">
        <v>0</v>
      </c>
      <c r="CO361">
        <v>0</v>
      </c>
      <c r="CP361">
        <v>0</v>
      </c>
    </row>
    <row r="362" spans="4:94" x14ac:dyDescent="0.2">
      <c r="D362" t="s">
        <v>49</v>
      </c>
      <c r="E362" t="s">
        <v>69</v>
      </c>
      <c r="K362" t="s">
        <v>52</v>
      </c>
      <c r="M362" t="s">
        <v>59</v>
      </c>
      <c r="N362">
        <v>1</v>
      </c>
      <c r="O362">
        <v>1</v>
      </c>
      <c r="P362">
        <v>0</v>
      </c>
      <c r="Q362" t="s">
        <v>310</v>
      </c>
      <c r="S362">
        <v>0</v>
      </c>
      <c r="T362">
        <v>0</v>
      </c>
      <c r="U362">
        <v>0</v>
      </c>
      <c r="V362">
        <v>0</v>
      </c>
      <c r="W362">
        <v>0</v>
      </c>
      <c r="X362">
        <v>0</v>
      </c>
      <c r="Y362">
        <v>0</v>
      </c>
      <c r="Z362">
        <v>0</v>
      </c>
      <c r="AA362">
        <v>0</v>
      </c>
      <c r="AB362">
        <v>0</v>
      </c>
      <c r="AC362">
        <v>0</v>
      </c>
      <c r="AD362">
        <v>0</v>
      </c>
      <c r="AE362">
        <v>0</v>
      </c>
      <c r="AF362">
        <v>0</v>
      </c>
      <c r="AG362">
        <v>0</v>
      </c>
      <c r="AH362">
        <v>0</v>
      </c>
      <c r="AI362">
        <v>0</v>
      </c>
      <c r="AJ362">
        <v>0</v>
      </c>
      <c r="AK362">
        <v>0</v>
      </c>
      <c r="AL362">
        <v>0</v>
      </c>
      <c r="AM362">
        <v>0</v>
      </c>
      <c r="AN362">
        <v>0</v>
      </c>
      <c r="AO362">
        <v>0</v>
      </c>
      <c r="AP362">
        <v>0</v>
      </c>
      <c r="AQ362">
        <v>0</v>
      </c>
      <c r="AR362">
        <v>0</v>
      </c>
      <c r="AS362">
        <v>0</v>
      </c>
      <c r="AT362">
        <v>0</v>
      </c>
      <c r="AU362">
        <v>0</v>
      </c>
      <c r="AV362">
        <v>0</v>
      </c>
      <c r="AW362">
        <v>0</v>
      </c>
      <c r="AX362">
        <v>0</v>
      </c>
      <c r="AY362">
        <v>0</v>
      </c>
      <c r="AZ362">
        <v>0</v>
      </c>
      <c r="BA362">
        <v>0</v>
      </c>
      <c r="BB362">
        <v>0</v>
      </c>
      <c r="BC362">
        <v>0</v>
      </c>
      <c r="BD362">
        <v>0</v>
      </c>
      <c r="BE362">
        <v>0</v>
      </c>
      <c r="BF362">
        <v>0</v>
      </c>
      <c r="BG362">
        <v>0</v>
      </c>
      <c r="BH362">
        <v>0</v>
      </c>
      <c r="BI362">
        <v>0</v>
      </c>
      <c r="BJ362">
        <v>0</v>
      </c>
      <c r="BK362">
        <v>0</v>
      </c>
      <c r="BL362">
        <v>0</v>
      </c>
      <c r="BM362">
        <v>0</v>
      </c>
      <c r="BN362">
        <v>0</v>
      </c>
      <c r="BO362">
        <v>0</v>
      </c>
      <c r="BP362">
        <v>0</v>
      </c>
      <c r="BQ362">
        <v>0</v>
      </c>
      <c r="BR362">
        <v>0</v>
      </c>
      <c r="BS362">
        <v>0</v>
      </c>
      <c r="BT362">
        <v>0</v>
      </c>
      <c r="BU362">
        <v>0</v>
      </c>
      <c r="BV362">
        <v>0</v>
      </c>
      <c r="BW362">
        <v>0</v>
      </c>
      <c r="BX362">
        <v>0</v>
      </c>
      <c r="BY362">
        <v>0</v>
      </c>
      <c r="BZ362">
        <v>0</v>
      </c>
      <c r="CA362">
        <v>0</v>
      </c>
      <c r="CB362">
        <v>0</v>
      </c>
      <c r="CC362">
        <v>0</v>
      </c>
      <c r="CD362">
        <v>0</v>
      </c>
      <c r="CE362">
        <v>0</v>
      </c>
      <c r="CF362">
        <v>0</v>
      </c>
      <c r="CG362">
        <v>0</v>
      </c>
      <c r="CH362">
        <v>0</v>
      </c>
      <c r="CI362">
        <v>0</v>
      </c>
      <c r="CJ362">
        <v>0</v>
      </c>
      <c r="CK362">
        <v>0</v>
      </c>
      <c r="CL362">
        <v>0</v>
      </c>
      <c r="CM362">
        <v>0</v>
      </c>
      <c r="CN362">
        <v>0</v>
      </c>
      <c r="CO362">
        <v>0</v>
      </c>
      <c r="CP362">
        <v>0</v>
      </c>
    </row>
    <row r="363" spans="4:94" x14ac:dyDescent="0.2">
      <c r="D363" t="s">
        <v>49</v>
      </c>
      <c r="E363" t="s">
        <v>69</v>
      </c>
      <c r="K363" t="s">
        <v>52</v>
      </c>
      <c r="M363" t="s">
        <v>8</v>
      </c>
      <c r="N363">
        <v>1</v>
      </c>
      <c r="O363">
        <v>1</v>
      </c>
      <c r="P363">
        <v>0</v>
      </c>
      <c r="Q363" t="s">
        <v>311</v>
      </c>
      <c r="S363">
        <v>0</v>
      </c>
      <c r="T363">
        <v>0</v>
      </c>
      <c r="U363">
        <v>0</v>
      </c>
      <c r="V363">
        <v>0</v>
      </c>
      <c r="W363">
        <v>0</v>
      </c>
      <c r="X363">
        <v>0</v>
      </c>
      <c r="Y363">
        <v>0</v>
      </c>
      <c r="Z363">
        <v>0</v>
      </c>
      <c r="AA363">
        <v>0</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0</v>
      </c>
      <c r="AU363">
        <v>0</v>
      </c>
      <c r="AV363">
        <v>0</v>
      </c>
      <c r="AW363">
        <v>0</v>
      </c>
      <c r="AX363">
        <v>0</v>
      </c>
      <c r="AY363">
        <v>0</v>
      </c>
      <c r="AZ363">
        <v>0</v>
      </c>
      <c r="BA363">
        <v>0</v>
      </c>
      <c r="BB363">
        <v>0</v>
      </c>
      <c r="BC363">
        <v>0</v>
      </c>
      <c r="BD363">
        <v>0</v>
      </c>
      <c r="BE363">
        <v>0</v>
      </c>
      <c r="BF363">
        <v>0</v>
      </c>
      <c r="BG363">
        <v>0</v>
      </c>
      <c r="BH363">
        <v>0</v>
      </c>
      <c r="BI363">
        <v>0</v>
      </c>
      <c r="BJ363">
        <v>0</v>
      </c>
      <c r="BK363">
        <v>0</v>
      </c>
      <c r="BL363">
        <v>0</v>
      </c>
      <c r="BM363">
        <v>0</v>
      </c>
      <c r="BN363">
        <v>0</v>
      </c>
      <c r="BO363">
        <v>0</v>
      </c>
      <c r="BP363">
        <v>0</v>
      </c>
      <c r="BQ363">
        <v>0</v>
      </c>
      <c r="BR363">
        <v>0</v>
      </c>
      <c r="BS363">
        <v>0</v>
      </c>
      <c r="BT363">
        <v>0</v>
      </c>
      <c r="BU363">
        <v>0</v>
      </c>
      <c r="BV363">
        <v>0</v>
      </c>
      <c r="BW363">
        <v>0</v>
      </c>
      <c r="BX363">
        <v>0</v>
      </c>
      <c r="BY363">
        <v>0</v>
      </c>
      <c r="BZ363">
        <v>0</v>
      </c>
      <c r="CA363">
        <v>0</v>
      </c>
      <c r="CB363">
        <v>0</v>
      </c>
      <c r="CC363">
        <v>0</v>
      </c>
      <c r="CD363">
        <v>0</v>
      </c>
      <c r="CE363">
        <v>0</v>
      </c>
      <c r="CF363">
        <v>0</v>
      </c>
      <c r="CG363">
        <v>0</v>
      </c>
      <c r="CH363">
        <v>0</v>
      </c>
      <c r="CI363">
        <v>0</v>
      </c>
      <c r="CJ363">
        <v>0</v>
      </c>
      <c r="CK363">
        <v>0</v>
      </c>
      <c r="CL363">
        <v>0</v>
      </c>
      <c r="CM363">
        <v>0</v>
      </c>
      <c r="CN363">
        <v>0</v>
      </c>
      <c r="CO363">
        <v>0</v>
      </c>
      <c r="CP363">
        <v>0</v>
      </c>
    </row>
    <row r="364" spans="4:94" x14ac:dyDescent="0.2">
      <c r="D364" t="s">
        <v>49</v>
      </c>
      <c r="E364" t="s">
        <v>69</v>
      </c>
      <c r="K364" t="s">
        <v>52</v>
      </c>
      <c r="M364" t="s">
        <v>58</v>
      </c>
      <c r="N364">
        <v>1</v>
      </c>
      <c r="O364">
        <v>1</v>
      </c>
      <c r="P364">
        <v>0</v>
      </c>
      <c r="Q364" t="s">
        <v>312</v>
      </c>
      <c r="S364">
        <v>0</v>
      </c>
      <c r="T364">
        <v>0</v>
      </c>
      <c r="U364">
        <v>0</v>
      </c>
      <c r="V364">
        <v>0</v>
      </c>
      <c r="W364">
        <v>0</v>
      </c>
      <c r="X364">
        <v>0</v>
      </c>
      <c r="Y364">
        <v>0</v>
      </c>
      <c r="Z364">
        <v>0</v>
      </c>
      <c r="AA364">
        <v>0</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0</v>
      </c>
      <c r="AU364">
        <v>0</v>
      </c>
      <c r="AV364">
        <v>0</v>
      </c>
      <c r="AW364">
        <v>0</v>
      </c>
      <c r="AX364">
        <v>0</v>
      </c>
      <c r="AY364">
        <v>0</v>
      </c>
      <c r="AZ364">
        <v>0</v>
      </c>
      <c r="BA364">
        <v>0</v>
      </c>
      <c r="BB364">
        <v>0</v>
      </c>
      <c r="BC364">
        <v>0</v>
      </c>
      <c r="BD364">
        <v>0</v>
      </c>
      <c r="BE364">
        <v>0</v>
      </c>
      <c r="BF364">
        <v>0</v>
      </c>
      <c r="BG364">
        <v>0</v>
      </c>
      <c r="BH364">
        <v>0</v>
      </c>
      <c r="BI364">
        <v>0</v>
      </c>
      <c r="BJ364">
        <v>0</v>
      </c>
      <c r="BK364">
        <v>0</v>
      </c>
      <c r="BL364">
        <v>0</v>
      </c>
      <c r="BM364">
        <v>0</v>
      </c>
      <c r="BN364">
        <v>0</v>
      </c>
      <c r="BO364">
        <v>0</v>
      </c>
      <c r="BP364">
        <v>0</v>
      </c>
      <c r="BQ364">
        <v>0</v>
      </c>
      <c r="BR364">
        <v>0</v>
      </c>
      <c r="BS364">
        <v>0</v>
      </c>
      <c r="BT364">
        <v>0</v>
      </c>
      <c r="BU364">
        <v>0</v>
      </c>
      <c r="BV364">
        <v>0</v>
      </c>
      <c r="BW364">
        <v>0</v>
      </c>
      <c r="BX364">
        <v>0</v>
      </c>
      <c r="BY364">
        <v>0</v>
      </c>
      <c r="BZ364">
        <v>0</v>
      </c>
      <c r="CA364">
        <v>0</v>
      </c>
      <c r="CB364">
        <v>0</v>
      </c>
      <c r="CC364">
        <v>0</v>
      </c>
      <c r="CD364">
        <v>0</v>
      </c>
      <c r="CE364">
        <v>0</v>
      </c>
      <c r="CF364">
        <v>0</v>
      </c>
      <c r="CG364">
        <v>0</v>
      </c>
      <c r="CH364">
        <v>0</v>
      </c>
      <c r="CI364">
        <v>0</v>
      </c>
      <c r="CJ364">
        <v>0</v>
      </c>
      <c r="CK364">
        <v>0</v>
      </c>
      <c r="CL364">
        <v>0</v>
      </c>
      <c r="CM364">
        <v>0</v>
      </c>
      <c r="CN364">
        <v>0</v>
      </c>
      <c r="CO364">
        <v>0</v>
      </c>
      <c r="CP364">
        <v>0</v>
      </c>
    </row>
    <row r="365" spans="4:94" x14ac:dyDescent="0.2">
      <c r="D365" t="s">
        <v>49</v>
      </c>
      <c r="E365" t="s">
        <v>70</v>
      </c>
      <c r="F365" t="s">
        <v>71</v>
      </c>
      <c r="K365" t="s">
        <v>52</v>
      </c>
      <c r="M365" t="s">
        <v>6</v>
      </c>
      <c r="N365">
        <v>1</v>
      </c>
      <c r="O365">
        <v>1</v>
      </c>
      <c r="P365">
        <v>0</v>
      </c>
      <c r="Q365" t="s">
        <v>313</v>
      </c>
      <c r="S365">
        <v>0</v>
      </c>
      <c r="T365">
        <v>0</v>
      </c>
      <c r="U365">
        <v>0</v>
      </c>
      <c r="V365">
        <v>0</v>
      </c>
      <c r="W365">
        <v>0</v>
      </c>
      <c r="X365">
        <v>0</v>
      </c>
      <c r="Y365">
        <v>0</v>
      </c>
      <c r="Z365">
        <v>0</v>
      </c>
      <c r="AA365">
        <v>0</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0</v>
      </c>
      <c r="AU365">
        <v>0</v>
      </c>
      <c r="AV365">
        <v>0</v>
      </c>
      <c r="AW365">
        <v>0</v>
      </c>
      <c r="AX365">
        <v>0</v>
      </c>
      <c r="AY365">
        <v>0</v>
      </c>
      <c r="AZ365">
        <v>0</v>
      </c>
      <c r="BA365">
        <v>0</v>
      </c>
      <c r="BB365">
        <v>0</v>
      </c>
      <c r="BC365">
        <v>0</v>
      </c>
      <c r="BD365">
        <v>0</v>
      </c>
      <c r="BE365">
        <v>0</v>
      </c>
      <c r="BF365">
        <v>0</v>
      </c>
      <c r="BG365">
        <v>0</v>
      </c>
      <c r="BH365">
        <v>0</v>
      </c>
      <c r="BI365">
        <v>0</v>
      </c>
      <c r="BJ365">
        <v>0</v>
      </c>
      <c r="BK365">
        <v>0</v>
      </c>
      <c r="BL365">
        <v>0</v>
      </c>
      <c r="BM365">
        <v>0</v>
      </c>
      <c r="BN365">
        <v>0</v>
      </c>
      <c r="BO365">
        <v>0</v>
      </c>
      <c r="BP365">
        <v>0</v>
      </c>
      <c r="BQ365">
        <v>0</v>
      </c>
      <c r="BR365">
        <v>0</v>
      </c>
      <c r="BS365">
        <v>0</v>
      </c>
      <c r="BT365">
        <v>0</v>
      </c>
      <c r="BU365">
        <v>0</v>
      </c>
      <c r="BV365">
        <v>0</v>
      </c>
      <c r="BW365">
        <v>0</v>
      </c>
      <c r="BX365">
        <v>0</v>
      </c>
      <c r="BY365">
        <v>0</v>
      </c>
      <c r="BZ365">
        <v>0</v>
      </c>
      <c r="CA365">
        <v>0</v>
      </c>
      <c r="CB365">
        <v>0</v>
      </c>
      <c r="CC365">
        <v>0</v>
      </c>
      <c r="CD365">
        <v>0</v>
      </c>
      <c r="CE365">
        <v>0</v>
      </c>
      <c r="CF365">
        <v>0</v>
      </c>
      <c r="CG365">
        <v>0</v>
      </c>
      <c r="CH365">
        <v>0</v>
      </c>
      <c r="CI365">
        <v>0</v>
      </c>
      <c r="CJ365">
        <v>0</v>
      </c>
      <c r="CK365">
        <v>0</v>
      </c>
      <c r="CL365">
        <v>0</v>
      </c>
      <c r="CM365">
        <v>0</v>
      </c>
      <c r="CN365">
        <v>0</v>
      </c>
      <c r="CO365">
        <v>0</v>
      </c>
      <c r="CP365">
        <v>0</v>
      </c>
    </row>
    <row r="366" spans="4:94" x14ac:dyDescent="0.2">
      <c r="D366" t="s">
        <v>49</v>
      </c>
      <c r="E366" t="s">
        <v>70</v>
      </c>
      <c r="F366" t="s">
        <v>71</v>
      </c>
      <c r="K366" t="s">
        <v>52</v>
      </c>
      <c r="M366" t="s">
        <v>7</v>
      </c>
      <c r="N366">
        <v>1</v>
      </c>
      <c r="O366">
        <v>1</v>
      </c>
      <c r="P366">
        <v>0</v>
      </c>
      <c r="Q366" t="s">
        <v>314</v>
      </c>
      <c r="S366">
        <v>0</v>
      </c>
      <c r="T366">
        <v>0</v>
      </c>
      <c r="U366">
        <v>0</v>
      </c>
      <c r="V366">
        <v>0</v>
      </c>
      <c r="W366">
        <v>0</v>
      </c>
      <c r="X366">
        <v>0</v>
      </c>
      <c r="Y366">
        <v>0</v>
      </c>
      <c r="Z366">
        <v>0</v>
      </c>
      <c r="AA366">
        <v>0</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0</v>
      </c>
      <c r="AU366">
        <v>0</v>
      </c>
      <c r="AV366">
        <v>0</v>
      </c>
      <c r="AW366">
        <v>0</v>
      </c>
      <c r="AX366">
        <v>0</v>
      </c>
      <c r="AY366">
        <v>0</v>
      </c>
      <c r="AZ366">
        <v>0</v>
      </c>
      <c r="BA366">
        <v>0</v>
      </c>
      <c r="BB366">
        <v>0</v>
      </c>
      <c r="BC366">
        <v>0</v>
      </c>
      <c r="BD366">
        <v>0</v>
      </c>
      <c r="BE366">
        <v>0</v>
      </c>
      <c r="BF366">
        <v>0</v>
      </c>
      <c r="BG366">
        <v>0</v>
      </c>
      <c r="BH366">
        <v>0</v>
      </c>
      <c r="BI366">
        <v>0</v>
      </c>
      <c r="BJ366">
        <v>0</v>
      </c>
      <c r="BK366">
        <v>0</v>
      </c>
      <c r="BL366">
        <v>0</v>
      </c>
      <c r="BM366">
        <v>0</v>
      </c>
      <c r="BN366">
        <v>0</v>
      </c>
      <c r="BO366">
        <v>0</v>
      </c>
      <c r="BP366">
        <v>0</v>
      </c>
      <c r="BQ366">
        <v>0</v>
      </c>
      <c r="BR366">
        <v>0</v>
      </c>
      <c r="BS366">
        <v>0</v>
      </c>
      <c r="BT366">
        <v>0</v>
      </c>
      <c r="BU366">
        <v>0</v>
      </c>
      <c r="BV366">
        <v>0</v>
      </c>
      <c r="BW366">
        <v>0</v>
      </c>
      <c r="BX366">
        <v>0</v>
      </c>
      <c r="BY366">
        <v>0</v>
      </c>
      <c r="BZ366">
        <v>0</v>
      </c>
      <c r="CA366">
        <v>0</v>
      </c>
      <c r="CB366">
        <v>0</v>
      </c>
      <c r="CC366">
        <v>0</v>
      </c>
      <c r="CD366">
        <v>0</v>
      </c>
      <c r="CE366">
        <v>0</v>
      </c>
      <c r="CF366">
        <v>0</v>
      </c>
      <c r="CG366">
        <v>0</v>
      </c>
      <c r="CH366">
        <v>0</v>
      </c>
      <c r="CI366">
        <v>0</v>
      </c>
      <c r="CJ366">
        <v>0</v>
      </c>
      <c r="CK366">
        <v>0</v>
      </c>
      <c r="CL366">
        <v>0</v>
      </c>
      <c r="CM366">
        <v>0</v>
      </c>
      <c r="CN366">
        <v>0</v>
      </c>
      <c r="CO366">
        <v>0</v>
      </c>
      <c r="CP366">
        <v>0</v>
      </c>
    </row>
    <row r="367" spans="4:94" x14ac:dyDescent="0.2">
      <c r="D367" t="s">
        <v>49</v>
      </c>
      <c r="E367" t="s">
        <v>70</v>
      </c>
      <c r="F367" t="s">
        <v>71</v>
      </c>
      <c r="K367" t="s">
        <v>52</v>
      </c>
      <c r="M367" t="s">
        <v>8</v>
      </c>
      <c r="N367">
        <v>1</v>
      </c>
      <c r="O367">
        <v>1</v>
      </c>
      <c r="P367">
        <v>0</v>
      </c>
      <c r="Q367" t="s">
        <v>315</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0</v>
      </c>
      <c r="CP367">
        <v>0</v>
      </c>
    </row>
    <row r="368" spans="4:94" x14ac:dyDescent="0.2">
      <c r="D368" t="s">
        <v>72</v>
      </c>
      <c r="E368" t="s">
        <v>73</v>
      </c>
      <c r="F368" t="s">
        <v>74</v>
      </c>
      <c r="G368" t="s">
        <v>75</v>
      </c>
      <c r="H368" t="s">
        <v>76</v>
      </c>
      <c r="K368" t="s">
        <v>77</v>
      </c>
      <c r="M368" t="s">
        <v>6</v>
      </c>
      <c r="N368">
        <v>1</v>
      </c>
      <c r="O368">
        <v>1</v>
      </c>
      <c r="P368">
        <v>0</v>
      </c>
      <c r="Q368" t="s">
        <v>316</v>
      </c>
      <c r="S368">
        <v>214.27199999999999</v>
      </c>
      <c r="T368">
        <v>214.27199999999999</v>
      </c>
      <c r="U368">
        <v>226.85489999999999</v>
      </c>
      <c r="V368">
        <v>233.13239999999999</v>
      </c>
      <c r="W368">
        <v>239.43780000000001</v>
      </c>
      <c r="X368">
        <v>245.71530000000001</v>
      </c>
      <c r="Y368">
        <v>252.02070000000001</v>
      </c>
      <c r="Z368">
        <v>258.29820000000001</v>
      </c>
      <c r="AA368">
        <v>264.60359999999997</v>
      </c>
      <c r="AB368">
        <v>270.8811</v>
      </c>
      <c r="AC368">
        <v>277.18650000000002</v>
      </c>
      <c r="AD368">
        <v>283.464</v>
      </c>
      <c r="AE368">
        <v>289.76940000000002</v>
      </c>
      <c r="AF368">
        <v>316.86029999999988</v>
      </c>
      <c r="AG368">
        <v>411.02280000000002</v>
      </c>
      <c r="AH368">
        <v>505.21319999999997</v>
      </c>
      <c r="AI368">
        <v>599.34780000000001</v>
      </c>
      <c r="AJ368">
        <v>693.51029999999992</v>
      </c>
      <c r="AK368">
        <v>787.70069999999998</v>
      </c>
      <c r="AL368">
        <v>881.83529999999996</v>
      </c>
      <c r="AM368">
        <v>976.02569999999992</v>
      </c>
      <c r="AN368">
        <v>1070.1603</v>
      </c>
      <c r="AO368">
        <v>1164.3507</v>
      </c>
      <c r="AP368">
        <v>1164.3507</v>
      </c>
      <c r="AQ368">
        <v>1352.6757</v>
      </c>
      <c r="AR368">
        <v>5326.3952154943299</v>
      </c>
      <c r="AS368">
        <v>5256.88546097366</v>
      </c>
      <c r="AT368">
        <v>5246.0540624850901</v>
      </c>
      <c r="AU368">
        <v>5234.8322793852103</v>
      </c>
      <c r="AV368">
        <v>5364.01409622135</v>
      </c>
      <c r="AW368">
        <v>5505.2641209737303</v>
      </c>
      <c r="AX368">
        <v>5687.7014966956604</v>
      </c>
      <c r="AY368">
        <v>5907.5412671328804</v>
      </c>
      <c r="AZ368">
        <v>6162.2228641302299</v>
      </c>
      <c r="BA368">
        <v>6457.4600988170096</v>
      </c>
      <c r="BB368">
        <v>6786.2988016852196</v>
      </c>
      <c r="BC368">
        <v>7140.5639640787904</v>
      </c>
      <c r="BD368">
        <v>7508.73214206179</v>
      </c>
      <c r="BE368">
        <v>7880.7243147601903</v>
      </c>
      <c r="BF368">
        <v>8247.1960941594698</v>
      </c>
      <c r="BG368">
        <v>8600.2972006211003</v>
      </c>
      <c r="BH368">
        <v>8934.2641377016298</v>
      </c>
      <c r="BI368">
        <v>9245.6810400520189</v>
      </c>
      <c r="BJ368">
        <v>9533.4566052361006</v>
      </c>
      <c r="BK368">
        <v>9798.4904923354006</v>
      </c>
      <c r="BL368">
        <v>10041.836739800499</v>
      </c>
      <c r="BM368">
        <v>10264.8173318833</v>
      </c>
      <c r="BN368">
        <v>10468.1651269678</v>
      </c>
      <c r="BO368">
        <v>10653.6687963642</v>
      </c>
      <c r="BP368">
        <v>10801.289188183</v>
      </c>
      <c r="BQ368">
        <v>10862.238872862799</v>
      </c>
      <c r="BR368">
        <v>10981.824326162499</v>
      </c>
      <c r="BS368">
        <v>11124.417628873</v>
      </c>
      <c r="BT368">
        <v>11282.191569537201</v>
      </c>
      <c r="BU368">
        <v>11448.167135989999</v>
      </c>
      <c r="BV368">
        <v>11616.8789436731</v>
      </c>
      <c r="BW368">
        <v>11784.172945426901</v>
      </c>
      <c r="BX368">
        <v>11947.390976943499</v>
      </c>
      <c r="BY368">
        <v>12104.980372155</v>
      </c>
      <c r="BZ368">
        <v>12256.0769614901</v>
      </c>
      <c r="CA368">
        <v>12400.3311732742</v>
      </c>
      <c r="CB368">
        <v>12537.860122890501</v>
      </c>
      <c r="CC368">
        <v>12671.6484781402</v>
      </c>
      <c r="CD368">
        <v>12803.992410327999</v>
      </c>
      <c r="CE368">
        <v>12936.5102411154</v>
      </c>
      <c r="CF368">
        <v>13070.362477483301</v>
      </c>
      <c r="CG368">
        <v>13206.720273265701</v>
      </c>
      <c r="CH368">
        <v>13346.355525307599</v>
      </c>
      <c r="CI368">
        <v>13489.246939903</v>
      </c>
      <c r="CJ368">
        <v>13636.29949956</v>
      </c>
      <c r="CK368">
        <v>13788.132496230201</v>
      </c>
      <c r="CL368">
        <v>13945.235685153</v>
      </c>
      <c r="CM368">
        <v>14107.9195995423</v>
      </c>
      <c r="CN368">
        <v>14281.5963896912</v>
      </c>
      <c r="CO368">
        <v>14470.072305559899</v>
      </c>
      <c r="CP368">
        <v>14675.645292929001</v>
      </c>
    </row>
    <row r="369" spans="4:94" x14ac:dyDescent="0.2">
      <c r="D369" t="s">
        <v>72</v>
      </c>
      <c r="E369" t="s">
        <v>73</v>
      </c>
      <c r="F369" t="s">
        <v>74</v>
      </c>
      <c r="G369" t="s">
        <v>75</v>
      </c>
      <c r="H369" t="s">
        <v>78</v>
      </c>
      <c r="K369" t="s">
        <v>77</v>
      </c>
      <c r="M369" t="s">
        <v>6</v>
      </c>
      <c r="N369">
        <v>1</v>
      </c>
      <c r="O369">
        <v>1</v>
      </c>
      <c r="P369">
        <v>0</v>
      </c>
      <c r="Q369" t="s">
        <v>317</v>
      </c>
      <c r="S369">
        <v>10981.3284</v>
      </c>
      <c r="T369">
        <v>10981.3284</v>
      </c>
      <c r="U369">
        <v>11626.320599999999</v>
      </c>
      <c r="V369">
        <v>11948.816699999999</v>
      </c>
      <c r="W369">
        <v>12271.3128</v>
      </c>
      <c r="X369">
        <v>12593.8089</v>
      </c>
      <c r="Y369">
        <v>12916.305</v>
      </c>
      <c r="Z369">
        <v>13238.801100000001</v>
      </c>
      <c r="AA369">
        <v>13561.297200000001</v>
      </c>
      <c r="AB369">
        <v>13883.793299999999</v>
      </c>
      <c r="AC369">
        <v>14206.2894</v>
      </c>
      <c r="AD369">
        <v>14528.7855</v>
      </c>
      <c r="AE369">
        <v>14851.253699999999</v>
      </c>
      <c r="AF369">
        <v>16240.5342</v>
      </c>
      <c r="AG369">
        <v>16525.895400000001</v>
      </c>
      <c r="AH369">
        <v>16811.2287</v>
      </c>
      <c r="AI369">
        <v>17096.589899999999</v>
      </c>
      <c r="AJ369">
        <v>17381.951099999998</v>
      </c>
      <c r="AK369">
        <v>17667.2844</v>
      </c>
      <c r="AL369">
        <v>17952.6456</v>
      </c>
      <c r="AM369">
        <v>18237.978899999998</v>
      </c>
      <c r="AN369">
        <v>18523.340100000001</v>
      </c>
      <c r="AO369">
        <v>18808.6734</v>
      </c>
      <c r="AP369">
        <v>18808.6734</v>
      </c>
      <c r="AQ369">
        <v>19379.367900000001</v>
      </c>
      <c r="AR369">
        <v>13985.6751413935</v>
      </c>
      <c r="AS369">
        <v>13815.4404601525</v>
      </c>
      <c r="AT369">
        <v>13793.3290010527</v>
      </c>
      <c r="AU369">
        <v>13770.803528799301</v>
      </c>
      <c r="AV369">
        <v>14118.387604125901</v>
      </c>
      <c r="AW369">
        <v>14498.4358956215</v>
      </c>
      <c r="AX369">
        <v>14987.877146503901</v>
      </c>
      <c r="AY369">
        <v>15577.8908126066</v>
      </c>
      <c r="AZ369">
        <v>16260.894746879299</v>
      </c>
      <c r="BA369">
        <v>17051.854128592098</v>
      </c>
      <c r="BB369">
        <v>17931.770489043301</v>
      </c>
      <c r="BC369">
        <v>18877.463948091601</v>
      </c>
      <c r="BD369">
        <v>19860.351814647202</v>
      </c>
      <c r="BE369">
        <v>20853.778197839401</v>
      </c>
      <c r="BF369">
        <v>21832.976369457399</v>
      </c>
      <c r="BG369">
        <v>22777.108476847301</v>
      </c>
      <c r="BH369">
        <v>23670.818395767201</v>
      </c>
      <c r="BI369">
        <v>24504.980839230899</v>
      </c>
      <c r="BJ369">
        <v>25276.5993718629</v>
      </c>
      <c r="BK369">
        <v>25987.995381198802</v>
      </c>
      <c r="BL369">
        <v>26641.220721284099</v>
      </c>
      <c r="BM369">
        <v>27239.723478207401</v>
      </c>
      <c r="BN369">
        <v>27784.564788321401</v>
      </c>
      <c r="BO369">
        <v>28281.27737286</v>
      </c>
      <c r="BP369">
        <v>28676.561591230398</v>
      </c>
      <c r="BQ369">
        <v>28840.7900464575</v>
      </c>
      <c r="BR369">
        <v>29167.924785872699</v>
      </c>
      <c r="BS369">
        <v>29555.887891879102</v>
      </c>
      <c r="BT369">
        <v>29983.922857516001</v>
      </c>
      <c r="BU369">
        <v>30433.4695095317</v>
      </c>
      <c r="BV369">
        <v>30890.0082487951</v>
      </c>
      <c r="BW369">
        <v>31342.511270397201</v>
      </c>
      <c r="BX369">
        <v>31783.895428478801</v>
      </c>
      <c r="BY369">
        <v>32210.026662077998</v>
      </c>
      <c r="BZ369">
        <v>32618.553230788999</v>
      </c>
      <c r="CA369">
        <v>33008.505056870403</v>
      </c>
      <c r="CB369">
        <v>33380.169885534699</v>
      </c>
      <c r="CC369">
        <v>33741.857118609099</v>
      </c>
      <c r="CD369">
        <v>34099.685894786002</v>
      </c>
      <c r="CE369">
        <v>34457.935968805301</v>
      </c>
      <c r="CF369">
        <v>34819.700905228201</v>
      </c>
      <c r="CG369">
        <v>35188.130117897497</v>
      </c>
      <c r="CH369">
        <v>35565.300957269901</v>
      </c>
      <c r="CI369">
        <v>35951.128435308303</v>
      </c>
      <c r="CJ369">
        <v>36348.041995766798</v>
      </c>
      <c r="CK369">
        <v>36757.691620686201</v>
      </c>
      <c r="CL369">
        <v>37181.399481105</v>
      </c>
      <c r="CM369">
        <v>37620.013029167603</v>
      </c>
      <c r="CN369">
        <v>38087.969304197199</v>
      </c>
      <c r="CO369">
        <v>38595.420734317799</v>
      </c>
      <c r="CP369">
        <v>39148.547163962699</v>
      </c>
    </row>
    <row r="370" spans="4:94" x14ac:dyDescent="0.2">
      <c r="D370" t="s">
        <v>72</v>
      </c>
      <c r="E370" t="s">
        <v>73</v>
      </c>
      <c r="F370" t="s">
        <v>74</v>
      </c>
      <c r="G370" t="s">
        <v>79</v>
      </c>
      <c r="K370" t="s">
        <v>77</v>
      </c>
      <c r="M370" t="s">
        <v>6</v>
      </c>
      <c r="N370">
        <v>1</v>
      </c>
      <c r="O370">
        <v>1</v>
      </c>
      <c r="P370">
        <v>0</v>
      </c>
      <c r="Q370" t="s">
        <v>318</v>
      </c>
      <c r="S370">
        <v>0</v>
      </c>
      <c r="T370">
        <v>0</v>
      </c>
      <c r="U370">
        <v>0</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v>0</v>
      </c>
      <c r="CL370">
        <v>0</v>
      </c>
      <c r="CM370">
        <v>0</v>
      </c>
      <c r="CN370">
        <v>0</v>
      </c>
      <c r="CO370">
        <v>0</v>
      </c>
      <c r="CP370">
        <v>0</v>
      </c>
    </row>
    <row r="371" spans="4:94" x14ac:dyDescent="0.2">
      <c r="D371" t="s">
        <v>72</v>
      </c>
      <c r="E371" t="s">
        <v>73</v>
      </c>
      <c r="F371" t="s">
        <v>74</v>
      </c>
      <c r="G371" t="s">
        <v>80</v>
      </c>
      <c r="K371" t="s">
        <v>77</v>
      </c>
      <c r="M371" t="s">
        <v>6</v>
      </c>
      <c r="N371">
        <v>1</v>
      </c>
      <c r="O371">
        <v>1</v>
      </c>
      <c r="P371">
        <v>0</v>
      </c>
      <c r="Q371" t="s">
        <v>319</v>
      </c>
      <c r="S371">
        <v>344.45339999999999</v>
      </c>
      <c r="T371">
        <v>344.45339999999999</v>
      </c>
      <c r="U371">
        <v>365.04360000000003</v>
      </c>
      <c r="V371">
        <v>375.31079999999997</v>
      </c>
      <c r="W371">
        <v>385.60590000000002</v>
      </c>
      <c r="X371">
        <v>395.87310000000002</v>
      </c>
      <c r="Y371">
        <v>406.16820000000001</v>
      </c>
      <c r="Z371">
        <v>416.43540000000002</v>
      </c>
      <c r="AA371">
        <v>426.73049999999989</v>
      </c>
      <c r="AB371">
        <v>436.99770000000001</v>
      </c>
      <c r="AC371">
        <v>447.2928</v>
      </c>
      <c r="AD371">
        <v>457.55999999999989</v>
      </c>
      <c r="AE371">
        <v>467.85509999999988</v>
      </c>
      <c r="AF371">
        <v>478.56869999999992</v>
      </c>
      <c r="AG371">
        <v>489.22649999999999</v>
      </c>
      <c r="AH371">
        <v>499.91219999999993</v>
      </c>
      <c r="AI371">
        <v>510.57</v>
      </c>
      <c r="AJ371">
        <v>521.25569999999993</v>
      </c>
      <c r="AK371">
        <v>531.94139999999993</v>
      </c>
      <c r="AL371">
        <v>542.5992</v>
      </c>
      <c r="AM371">
        <v>553.28489999999999</v>
      </c>
      <c r="AN371">
        <v>563.94269999999995</v>
      </c>
      <c r="AO371">
        <v>574.62839999999994</v>
      </c>
      <c r="AP371">
        <v>574.62839999999994</v>
      </c>
      <c r="AQ371">
        <v>595.97190000000001</v>
      </c>
      <c r="AR371">
        <v>770.66073612924004</v>
      </c>
      <c r="AS371">
        <v>830.25042542384597</v>
      </c>
      <c r="AT371">
        <v>838.89027661743</v>
      </c>
      <c r="AU371">
        <v>848.14106104903692</v>
      </c>
      <c r="AV371">
        <v>881.12475492241606</v>
      </c>
      <c r="AW371">
        <v>917.27474350425393</v>
      </c>
      <c r="AX371">
        <v>961.84034561178703</v>
      </c>
      <c r="AY371">
        <v>1015.25058739531</v>
      </c>
      <c r="AZ371">
        <v>1076.8291602034301</v>
      </c>
      <c r="BA371">
        <v>1147.8198312756699</v>
      </c>
      <c r="BB371">
        <v>1226.8341902703901</v>
      </c>
      <c r="BC371">
        <v>1311.3634556992099</v>
      </c>
      <c r="BD371">
        <v>1400.8883833413499</v>
      </c>
      <c r="BE371">
        <v>1493.6907438946901</v>
      </c>
      <c r="BF371">
        <v>1588.07878509953</v>
      </c>
      <c r="BG371">
        <v>1682.5459305545601</v>
      </c>
      <c r="BH371">
        <v>1775.9010402280201</v>
      </c>
      <c r="BI371">
        <v>1867.35470600336</v>
      </c>
      <c r="BJ371">
        <v>1956.544911529</v>
      </c>
      <c r="BK371">
        <v>2043.5085939135099</v>
      </c>
      <c r="BL371">
        <v>2127.7480828225098</v>
      </c>
      <c r="BM371">
        <v>2209.3750067743899</v>
      </c>
      <c r="BN371">
        <v>2288.53253792442</v>
      </c>
      <c r="BO371">
        <v>2365.3354101230698</v>
      </c>
      <c r="BP371">
        <v>2435.1421324590201</v>
      </c>
      <c r="BQ371">
        <v>2486.46085133004</v>
      </c>
      <c r="BR371">
        <v>2516.46326291481</v>
      </c>
      <c r="BS371">
        <v>2551.5280196345698</v>
      </c>
      <c r="BT371">
        <v>2589.87870806927</v>
      </c>
      <c r="BU371">
        <v>2629.9286669362</v>
      </c>
      <c r="BV371">
        <v>2670.4285720857201</v>
      </c>
      <c r="BW371">
        <v>2710.42443279808</v>
      </c>
      <c r="BX371">
        <v>2749.3056427123502</v>
      </c>
      <c r="BY371">
        <v>2786.71868428066</v>
      </c>
      <c r="BZ371">
        <v>2822.4715172262299</v>
      </c>
      <c r="CA371">
        <v>2856.49108452459</v>
      </c>
      <c r="CB371">
        <v>2888.8092566897699</v>
      </c>
      <c r="CC371">
        <v>2920.2742797103701</v>
      </c>
      <c r="CD371">
        <v>2951.4124256640598</v>
      </c>
      <c r="CE371">
        <v>2982.5943731447301</v>
      </c>
      <c r="CF371">
        <v>3014.0876710316102</v>
      </c>
      <c r="CG371">
        <v>3046.1562725562198</v>
      </c>
      <c r="CH371">
        <v>3078.9762010190798</v>
      </c>
      <c r="CI371">
        <v>3112.5418995100699</v>
      </c>
      <c r="CJ371">
        <v>3147.0588102657098</v>
      </c>
      <c r="CK371">
        <v>3182.6671635477001</v>
      </c>
      <c r="CL371">
        <v>3219.4777706817299</v>
      </c>
      <c r="CM371">
        <v>3257.5594392903799</v>
      </c>
      <c r="CN371">
        <v>3298.15953226089</v>
      </c>
      <c r="CO371">
        <v>3342.1532629398998</v>
      </c>
      <c r="CP371">
        <v>3390.0711528069601</v>
      </c>
    </row>
    <row r="372" spans="4:94" x14ac:dyDescent="0.2">
      <c r="D372" t="s">
        <v>72</v>
      </c>
      <c r="E372" t="s">
        <v>73</v>
      </c>
      <c r="F372" t="s">
        <v>74</v>
      </c>
      <c r="G372" t="s">
        <v>81</v>
      </c>
      <c r="K372" t="s">
        <v>77</v>
      </c>
      <c r="M372" t="s">
        <v>6</v>
      </c>
      <c r="N372">
        <v>1</v>
      </c>
      <c r="O372">
        <v>1</v>
      </c>
      <c r="P372">
        <v>0</v>
      </c>
      <c r="Q372" t="s">
        <v>320</v>
      </c>
      <c r="S372">
        <v>1056.7125000000001</v>
      </c>
      <c r="T372">
        <v>1056.7125000000001</v>
      </c>
      <c r="U372">
        <v>1163.5137</v>
      </c>
      <c r="V372">
        <v>1216.9142999999999</v>
      </c>
      <c r="W372">
        <v>1270.3149000000001</v>
      </c>
      <c r="X372">
        <v>1323.7155</v>
      </c>
      <c r="Y372">
        <v>1377.1161</v>
      </c>
      <c r="Z372">
        <v>1430.5445999999999</v>
      </c>
      <c r="AA372">
        <v>1483.9452000000001</v>
      </c>
      <c r="AB372">
        <v>1537.3458000000001</v>
      </c>
      <c r="AC372">
        <v>1590.7464</v>
      </c>
      <c r="AD372">
        <v>1644.1469999999999</v>
      </c>
      <c r="AE372">
        <v>1697.5476000000001</v>
      </c>
      <c r="AF372">
        <v>1750.9482</v>
      </c>
      <c r="AG372">
        <v>1806.7203</v>
      </c>
      <c r="AH372">
        <v>1862.4924000000001</v>
      </c>
      <c r="AI372">
        <v>1918.2645</v>
      </c>
      <c r="AJ372">
        <v>1974.0645</v>
      </c>
      <c r="AK372">
        <v>2029.8366000000001</v>
      </c>
      <c r="AL372">
        <v>2085.6087000000002</v>
      </c>
      <c r="AM372">
        <v>2141.3807999999999</v>
      </c>
      <c r="AN372">
        <v>2197.1529</v>
      </c>
      <c r="AO372">
        <v>2252.9529000000002</v>
      </c>
      <c r="AP372">
        <v>2252.9529000000002</v>
      </c>
      <c r="AQ372">
        <v>2364.4971</v>
      </c>
      <c r="AR372">
        <v>2929.35214617359</v>
      </c>
      <c r="AS372">
        <v>2982.9318737162898</v>
      </c>
      <c r="AT372">
        <v>3013.9142627476299</v>
      </c>
      <c r="AU372">
        <v>3047.0849303032601</v>
      </c>
      <c r="AV372">
        <v>3165.5106938147501</v>
      </c>
      <c r="AW372">
        <v>3295.3044245201199</v>
      </c>
      <c r="AX372">
        <v>3455.3194110065401</v>
      </c>
      <c r="AY372">
        <v>3647.0875626480401</v>
      </c>
      <c r="AZ372">
        <v>3868.1842688009001</v>
      </c>
      <c r="BA372">
        <v>4123.0784292851804</v>
      </c>
      <c r="BB372">
        <v>4406.7887644784814</v>
      </c>
      <c r="BC372">
        <v>4710.3183099916396</v>
      </c>
      <c r="BD372">
        <v>5031.7842539193598</v>
      </c>
      <c r="BE372">
        <v>5365.0143400460302</v>
      </c>
      <c r="BF372">
        <v>5703.9325774522385</v>
      </c>
      <c r="BG372">
        <v>6043.1284969267799</v>
      </c>
      <c r="BH372">
        <v>6378.3244217337397</v>
      </c>
      <c r="BI372">
        <v>6706.6855105104996</v>
      </c>
      <c r="BJ372">
        <v>7026.9130806703006</v>
      </c>
      <c r="BK372">
        <v>7339.1396808637401</v>
      </c>
      <c r="BL372">
        <v>7641.5853020230898</v>
      </c>
      <c r="BM372">
        <v>7934.6513491864698</v>
      </c>
      <c r="BN372">
        <v>8218.8551053122483</v>
      </c>
      <c r="BO372">
        <v>8494.6058204881811</v>
      </c>
      <c r="BP372">
        <v>8745.2368502660393</v>
      </c>
      <c r="BQ372">
        <v>8929.4778402496413</v>
      </c>
      <c r="BR372">
        <v>9037.1732102862297</v>
      </c>
      <c r="BS372">
        <v>9163.0507902916797</v>
      </c>
      <c r="BT372">
        <v>9300.7307571129113</v>
      </c>
      <c r="BU372">
        <v>9444.5154800354285</v>
      </c>
      <c r="BV372">
        <v>9589.9174272464006</v>
      </c>
      <c r="BW372">
        <v>9733.5120711545205</v>
      </c>
      <c r="BX372">
        <v>9873.1054128868091</v>
      </c>
      <c r="BY372">
        <v>10007.4276984769</v>
      </c>
      <c r="BZ372">
        <v>10135.7906882605</v>
      </c>
      <c r="CA372">
        <v>10257.931573075801</v>
      </c>
      <c r="CB372">
        <v>10373.964923334601</v>
      </c>
      <c r="CC372">
        <v>10486.933964530001</v>
      </c>
      <c r="CD372">
        <v>10598.730007370799</v>
      </c>
      <c r="CE372">
        <v>10710.6832780806</v>
      </c>
      <c r="CF372">
        <v>10823.7543049209</v>
      </c>
      <c r="CG372">
        <v>10938.891358262401</v>
      </c>
      <c r="CH372">
        <v>11056.726291475399</v>
      </c>
      <c r="CI372">
        <v>11177.240145690201</v>
      </c>
      <c r="CJ372">
        <v>11301.169374938399</v>
      </c>
      <c r="CK372">
        <v>11429.018350534299</v>
      </c>
      <c r="CL372">
        <v>11561.1842281142</v>
      </c>
      <c r="CM372">
        <v>11697.914780494501</v>
      </c>
      <c r="CN372">
        <v>11843.6887138077</v>
      </c>
      <c r="CO372">
        <v>12001.649768244301</v>
      </c>
      <c r="CP372">
        <v>12173.7021661575</v>
      </c>
    </row>
    <row r="373" spans="4:94" x14ac:dyDescent="0.2">
      <c r="D373" t="s">
        <v>72</v>
      </c>
      <c r="E373" t="s">
        <v>73</v>
      </c>
      <c r="F373" t="s">
        <v>74</v>
      </c>
      <c r="G373" t="s">
        <v>82</v>
      </c>
      <c r="K373" t="s">
        <v>77</v>
      </c>
      <c r="M373" t="s">
        <v>6</v>
      </c>
      <c r="N373">
        <v>1</v>
      </c>
      <c r="O373">
        <v>1</v>
      </c>
      <c r="P373">
        <v>0</v>
      </c>
      <c r="Q373" t="s">
        <v>321</v>
      </c>
      <c r="S373">
        <v>42.184800000000003</v>
      </c>
      <c r="T373">
        <v>42.184800000000003</v>
      </c>
      <c r="U373">
        <v>42.184800000000003</v>
      </c>
      <c r="V373">
        <v>42.184800000000003</v>
      </c>
      <c r="W373">
        <v>42.184800000000003</v>
      </c>
      <c r="X373">
        <v>42.184800000000003</v>
      </c>
      <c r="Y373">
        <v>42.184800000000003</v>
      </c>
      <c r="Z373">
        <v>42.184800000000003</v>
      </c>
      <c r="AA373">
        <v>42.184800000000003</v>
      </c>
      <c r="AB373">
        <v>42.184800000000003</v>
      </c>
      <c r="AC373">
        <v>42.184800000000003</v>
      </c>
      <c r="AD373">
        <v>42.184800000000003</v>
      </c>
      <c r="AE373">
        <v>42.184800000000003</v>
      </c>
      <c r="AF373">
        <v>42.993899999999996</v>
      </c>
      <c r="AG373">
        <v>41.5152</v>
      </c>
      <c r="AH373">
        <v>39.980699999999999</v>
      </c>
      <c r="AI373">
        <v>38.446199999999997</v>
      </c>
      <c r="AJ373">
        <v>36.883800000000001</v>
      </c>
      <c r="AK373">
        <v>35.377200000000002</v>
      </c>
      <c r="AL373">
        <v>33.842700000000001</v>
      </c>
      <c r="AM373">
        <v>32.280299999999997</v>
      </c>
      <c r="AN373">
        <v>30.745799999999999</v>
      </c>
      <c r="AO373">
        <v>29.211300000000001</v>
      </c>
      <c r="AP373">
        <v>29.211300000000001</v>
      </c>
      <c r="AQ373">
        <v>26.142299999999999</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v>
      </c>
      <c r="BT373">
        <v>0</v>
      </c>
      <c r="BU373">
        <v>0</v>
      </c>
      <c r="BV373">
        <v>0</v>
      </c>
      <c r="BW373">
        <v>0</v>
      </c>
      <c r="BX373">
        <v>0</v>
      </c>
      <c r="BY373">
        <v>0</v>
      </c>
      <c r="BZ373">
        <v>0</v>
      </c>
      <c r="CA373">
        <v>0</v>
      </c>
      <c r="CB373">
        <v>0</v>
      </c>
      <c r="CC373">
        <v>0</v>
      </c>
      <c r="CD373">
        <v>0</v>
      </c>
      <c r="CE373">
        <v>0</v>
      </c>
      <c r="CF373">
        <v>0</v>
      </c>
      <c r="CG373">
        <v>0</v>
      </c>
      <c r="CH373">
        <v>0</v>
      </c>
      <c r="CI373">
        <v>0</v>
      </c>
      <c r="CJ373">
        <v>0</v>
      </c>
      <c r="CK373">
        <v>0</v>
      </c>
      <c r="CL373">
        <v>0</v>
      </c>
      <c r="CM373">
        <v>0</v>
      </c>
      <c r="CN373">
        <v>0</v>
      </c>
      <c r="CO373">
        <v>0</v>
      </c>
      <c r="CP373">
        <v>0</v>
      </c>
    </row>
    <row r="374" spans="4:94" x14ac:dyDescent="0.2">
      <c r="D374" t="s">
        <v>72</v>
      </c>
      <c r="E374" t="s">
        <v>73</v>
      </c>
      <c r="F374" t="s">
        <v>74</v>
      </c>
      <c r="G374" t="s">
        <v>83</v>
      </c>
      <c r="K374" t="s">
        <v>77</v>
      </c>
      <c r="M374" t="s">
        <v>6</v>
      </c>
      <c r="N374">
        <v>1</v>
      </c>
      <c r="O374">
        <v>1</v>
      </c>
      <c r="P374">
        <v>0</v>
      </c>
      <c r="Q374" t="s">
        <v>322</v>
      </c>
      <c r="S374">
        <v>0</v>
      </c>
      <c r="T374">
        <v>0</v>
      </c>
      <c r="U374">
        <v>0</v>
      </c>
      <c r="V374">
        <v>0</v>
      </c>
      <c r="W374">
        <v>0</v>
      </c>
      <c r="X374">
        <v>0</v>
      </c>
      <c r="Y374">
        <v>0</v>
      </c>
      <c r="Z374">
        <v>0</v>
      </c>
      <c r="AA374">
        <v>0</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v>
      </c>
      <c r="BT374">
        <v>0</v>
      </c>
      <c r="BU374">
        <v>0</v>
      </c>
      <c r="BV374">
        <v>0</v>
      </c>
      <c r="BW374">
        <v>0</v>
      </c>
      <c r="BX374">
        <v>0</v>
      </c>
      <c r="BY374">
        <v>0</v>
      </c>
      <c r="BZ374">
        <v>0</v>
      </c>
      <c r="CA374">
        <v>0</v>
      </c>
      <c r="CB374">
        <v>0</v>
      </c>
      <c r="CC374">
        <v>0</v>
      </c>
      <c r="CD374">
        <v>0</v>
      </c>
      <c r="CE374">
        <v>0</v>
      </c>
      <c r="CF374">
        <v>0</v>
      </c>
      <c r="CG374">
        <v>0</v>
      </c>
      <c r="CH374">
        <v>0</v>
      </c>
      <c r="CI374">
        <v>0</v>
      </c>
      <c r="CJ374">
        <v>0</v>
      </c>
      <c r="CK374">
        <v>0</v>
      </c>
      <c r="CL374">
        <v>0</v>
      </c>
      <c r="CM374">
        <v>0</v>
      </c>
      <c r="CN374">
        <v>0</v>
      </c>
      <c r="CO374">
        <v>0</v>
      </c>
      <c r="CP374">
        <v>0</v>
      </c>
    </row>
    <row r="375" spans="4:94" x14ac:dyDescent="0.2">
      <c r="D375" t="s">
        <v>72</v>
      </c>
      <c r="E375" t="s">
        <v>73</v>
      </c>
      <c r="F375" t="s">
        <v>74</v>
      </c>
      <c r="G375" t="s">
        <v>84</v>
      </c>
      <c r="K375" t="s">
        <v>77</v>
      </c>
      <c r="M375" t="s">
        <v>6</v>
      </c>
      <c r="N375">
        <v>1</v>
      </c>
      <c r="O375">
        <v>1</v>
      </c>
      <c r="P375">
        <v>0</v>
      </c>
      <c r="Q375" t="s">
        <v>323</v>
      </c>
      <c r="S375">
        <v>33.145200000000003</v>
      </c>
      <c r="T375">
        <v>33.145200000000003</v>
      </c>
      <c r="U375">
        <v>31.415399999999991</v>
      </c>
      <c r="V375">
        <v>30.5505</v>
      </c>
      <c r="W375">
        <v>29.685600000000001</v>
      </c>
      <c r="X375">
        <v>28.820699999999999</v>
      </c>
      <c r="Y375">
        <v>28.011600000000001</v>
      </c>
      <c r="Z375">
        <v>28.1511</v>
      </c>
      <c r="AA375">
        <v>30.0762</v>
      </c>
      <c r="AB375">
        <v>32.894100000000002</v>
      </c>
      <c r="AC375">
        <v>36.855899999999998</v>
      </c>
      <c r="AD375">
        <v>42.212699999999998</v>
      </c>
      <c r="AE375">
        <v>48.1554</v>
      </c>
      <c r="AF375">
        <v>54.767699999999998</v>
      </c>
      <c r="AG375">
        <v>61.38</v>
      </c>
      <c r="AH375">
        <v>68.020200000000003</v>
      </c>
      <c r="AI375">
        <v>74.632499999999993</v>
      </c>
      <c r="AJ375">
        <v>81.272699999999986</v>
      </c>
      <c r="AK375">
        <v>87.884999999999991</v>
      </c>
      <c r="AL375">
        <v>94.497299999999996</v>
      </c>
      <c r="AM375">
        <v>101.1375</v>
      </c>
      <c r="AN375">
        <v>107.74979999999999</v>
      </c>
      <c r="AO375">
        <v>114.39</v>
      </c>
      <c r="AP375">
        <v>114.39</v>
      </c>
      <c r="AQ375">
        <v>127.6146</v>
      </c>
      <c r="AR375">
        <v>193.17436510908101</v>
      </c>
      <c r="AS375">
        <v>182.94252920628099</v>
      </c>
      <c r="AT375">
        <v>189.74953982616199</v>
      </c>
      <c r="AU375">
        <v>197.52889297824001</v>
      </c>
      <c r="AV375">
        <v>206.37611264822499</v>
      </c>
      <c r="AW375">
        <v>216.13523177848501</v>
      </c>
      <c r="AX375">
        <v>227.135579013914</v>
      </c>
      <c r="AY375">
        <v>240.59296193063901</v>
      </c>
      <c r="AZ375">
        <v>255.74003661413099</v>
      </c>
      <c r="BA375">
        <v>272.48282590765501</v>
      </c>
      <c r="BB375">
        <v>289.98519578537201</v>
      </c>
      <c r="BC375">
        <v>305.94750771078498</v>
      </c>
      <c r="BD375">
        <v>322.66592715155502</v>
      </c>
      <c r="BE375">
        <v>340.16858888379801</v>
      </c>
      <c r="BF375">
        <v>358.48429894903001</v>
      </c>
      <c r="BG375">
        <v>377.646066093922</v>
      </c>
      <c r="BH375">
        <v>397.68435993077702</v>
      </c>
      <c r="BI375">
        <v>418.63037970821199</v>
      </c>
      <c r="BJ375">
        <v>440.51587919844201</v>
      </c>
      <c r="BK375">
        <v>463.37313751182103</v>
      </c>
      <c r="BL375">
        <v>486.01669994271901</v>
      </c>
      <c r="BM375">
        <v>508.29850869110402</v>
      </c>
      <c r="BN375">
        <v>529.57131797907698</v>
      </c>
      <c r="BO375">
        <v>550.14493138387297</v>
      </c>
      <c r="BP375">
        <v>569.85197033597501</v>
      </c>
      <c r="BQ375">
        <v>588.51942347354804</v>
      </c>
      <c r="BR375">
        <v>606.01318364280803</v>
      </c>
      <c r="BS375">
        <v>623.38022057774106</v>
      </c>
      <c r="BT375">
        <v>640.571269234694</v>
      </c>
      <c r="BU375">
        <v>657.51377457900094</v>
      </c>
      <c r="BV375">
        <v>674.16451295565309</v>
      </c>
      <c r="BW375">
        <v>690.49675049025007</v>
      </c>
      <c r="BX375">
        <v>706.47908363600993</v>
      </c>
      <c r="BY375">
        <v>722.07587695555094</v>
      </c>
      <c r="BZ375">
        <v>737.22163829368503</v>
      </c>
      <c r="CA375">
        <v>751.85820104377399</v>
      </c>
      <c r="CB375">
        <v>765.95095125927401</v>
      </c>
      <c r="CC375">
        <v>780.20229522312002</v>
      </c>
      <c r="CD375">
        <v>794.61377976429299</v>
      </c>
      <c r="CE375">
        <v>809.16818546587297</v>
      </c>
      <c r="CF375">
        <v>823.84414857670401</v>
      </c>
      <c r="CG375">
        <v>838.68165316657689</v>
      </c>
      <c r="CH375">
        <v>853.69158540923399</v>
      </c>
      <c r="CI375">
        <v>868.82911644979004</v>
      </c>
      <c r="CJ375">
        <v>884.10936435258805</v>
      </c>
      <c r="CK375">
        <v>899.523135700122</v>
      </c>
      <c r="CL375">
        <v>915.07329066672503</v>
      </c>
      <c r="CM375">
        <v>930.772057956955</v>
      </c>
      <c r="CN375">
        <v>946.60790931711404</v>
      </c>
      <c r="CO375">
        <v>962.57766353288901</v>
      </c>
      <c r="CP375">
        <v>978.71047687123007</v>
      </c>
    </row>
    <row r="376" spans="4:94" x14ac:dyDescent="0.2">
      <c r="D376" t="s">
        <v>72</v>
      </c>
      <c r="E376" t="s">
        <v>73</v>
      </c>
      <c r="F376" t="s">
        <v>74</v>
      </c>
      <c r="G376" t="s">
        <v>85</v>
      </c>
      <c r="K376" t="s">
        <v>77</v>
      </c>
      <c r="M376" t="s">
        <v>6</v>
      </c>
      <c r="N376">
        <v>1</v>
      </c>
      <c r="O376">
        <v>1</v>
      </c>
      <c r="P376">
        <v>0</v>
      </c>
      <c r="Q376" t="s">
        <v>324</v>
      </c>
      <c r="S376">
        <v>0</v>
      </c>
      <c r="T376">
        <v>0</v>
      </c>
      <c r="U376">
        <v>0</v>
      </c>
      <c r="V376">
        <v>0</v>
      </c>
      <c r="W376">
        <v>0</v>
      </c>
      <c r="X376">
        <v>0</v>
      </c>
      <c r="Y376">
        <v>0</v>
      </c>
      <c r="Z376">
        <v>0</v>
      </c>
      <c r="AA376">
        <v>0</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v>
      </c>
      <c r="BT376">
        <v>0</v>
      </c>
      <c r="BU376">
        <v>0</v>
      </c>
      <c r="BV376">
        <v>0</v>
      </c>
      <c r="BW376">
        <v>0</v>
      </c>
      <c r="BX376">
        <v>0</v>
      </c>
      <c r="BY376">
        <v>0</v>
      </c>
      <c r="BZ376">
        <v>0</v>
      </c>
      <c r="CA376">
        <v>0</v>
      </c>
      <c r="CB376">
        <v>0</v>
      </c>
      <c r="CC376">
        <v>0</v>
      </c>
      <c r="CD376">
        <v>0</v>
      </c>
      <c r="CE376">
        <v>0</v>
      </c>
      <c r="CF376">
        <v>0</v>
      </c>
      <c r="CG376">
        <v>0</v>
      </c>
      <c r="CH376">
        <v>0</v>
      </c>
      <c r="CI376">
        <v>0</v>
      </c>
      <c r="CJ376">
        <v>0</v>
      </c>
      <c r="CK376">
        <v>0</v>
      </c>
      <c r="CL376">
        <v>0</v>
      </c>
      <c r="CM376">
        <v>0</v>
      </c>
      <c r="CN376">
        <v>0</v>
      </c>
      <c r="CO376">
        <v>0</v>
      </c>
      <c r="CP376">
        <v>0</v>
      </c>
    </row>
    <row r="377" spans="4:94" x14ac:dyDescent="0.2">
      <c r="D377" t="s">
        <v>72</v>
      </c>
      <c r="E377" t="s">
        <v>73</v>
      </c>
      <c r="F377" t="s">
        <v>74</v>
      </c>
      <c r="G377" t="s">
        <v>86</v>
      </c>
      <c r="K377" t="s">
        <v>77</v>
      </c>
      <c r="M377" t="s">
        <v>6</v>
      </c>
      <c r="N377">
        <v>1</v>
      </c>
      <c r="O377">
        <v>1</v>
      </c>
      <c r="P377">
        <v>0</v>
      </c>
      <c r="Q377" t="s">
        <v>325</v>
      </c>
      <c r="S377">
        <v>315.04680000000002</v>
      </c>
      <c r="T377">
        <v>315.04680000000002</v>
      </c>
      <c r="U377">
        <v>330.7824</v>
      </c>
      <c r="V377">
        <v>338.67809999999997</v>
      </c>
      <c r="W377">
        <v>346.68540000000002</v>
      </c>
      <c r="X377">
        <v>354.69269999999989</v>
      </c>
      <c r="Y377">
        <v>362.75580000000002</v>
      </c>
      <c r="Z377">
        <v>371.43270000000001</v>
      </c>
      <c r="AA377">
        <v>381.30930000000001</v>
      </c>
      <c r="AB377">
        <v>391.79969999999997</v>
      </c>
      <c r="AC377">
        <v>403.07130000000001</v>
      </c>
      <c r="AD377">
        <v>415.23570000000001</v>
      </c>
      <c r="AE377">
        <v>427.79070000000002</v>
      </c>
      <c r="AF377">
        <v>461.68919999999991</v>
      </c>
      <c r="AG377">
        <v>475.16489999999988</v>
      </c>
      <c r="AH377">
        <v>488.61270000000002</v>
      </c>
      <c r="AI377">
        <v>502.06049999999999</v>
      </c>
      <c r="AJ377">
        <v>515.53620000000001</v>
      </c>
      <c r="AK377">
        <v>528.98400000000004</v>
      </c>
      <c r="AL377">
        <v>542.43179999999995</v>
      </c>
      <c r="AM377">
        <v>555.87959999999998</v>
      </c>
      <c r="AN377">
        <v>569.35529999999994</v>
      </c>
      <c r="AO377">
        <v>582.80309999999997</v>
      </c>
      <c r="AP377">
        <v>583.30529999999999</v>
      </c>
      <c r="AQ377">
        <v>609.72659999999996</v>
      </c>
      <c r="AR377">
        <v>1183.2561696631869</v>
      </c>
      <c r="AS377">
        <v>1160.2033131146</v>
      </c>
      <c r="AT377">
        <v>1184.095979729188</v>
      </c>
      <c r="AU377">
        <v>1211.406733358031</v>
      </c>
      <c r="AV377">
        <v>1256.0812898932991</v>
      </c>
      <c r="AW377">
        <v>1305.219344884189</v>
      </c>
      <c r="AX377">
        <v>1362.8270379924361</v>
      </c>
      <c r="AY377">
        <v>1432.891276239455</v>
      </c>
      <c r="AZ377">
        <v>1512.4491692727231</v>
      </c>
      <c r="BA377">
        <v>1601.74800058342</v>
      </c>
      <c r="BB377">
        <v>1697.162681779062</v>
      </c>
      <c r="BC377">
        <v>1789.745734430199</v>
      </c>
      <c r="BD377">
        <v>1886.547680075488</v>
      </c>
      <c r="BE377">
        <v>1986.686054186981</v>
      </c>
      <c r="BF377">
        <v>2089.343026091562</v>
      </c>
      <c r="BG377">
        <v>2193.8552296352268</v>
      </c>
      <c r="BH377">
        <v>2299.749402015128</v>
      </c>
      <c r="BI377">
        <v>2406.78416097952</v>
      </c>
      <c r="BJ377">
        <v>2514.9479524366538</v>
      </c>
      <c r="BK377">
        <v>2624.431307797081</v>
      </c>
      <c r="BL377">
        <v>2731.1265615962488</v>
      </c>
      <c r="BM377">
        <v>2834.6348240667348</v>
      </c>
      <c r="BN377">
        <v>2932.7427314739739</v>
      </c>
      <c r="BO377">
        <v>3026.7140326127751</v>
      </c>
      <c r="BP377">
        <v>3113.908170285858</v>
      </c>
      <c r="BQ377">
        <v>3188.7037569452968</v>
      </c>
      <c r="BR377">
        <v>3262.67929132474</v>
      </c>
      <c r="BS377">
        <v>3338.5448920755261</v>
      </c>
      <c r="BT377">
        <v>3415.3298379822172</v>
      </c>
      <c r="BU377">
        <v>3492.0664558697031</v>
      </c>
      <c r="BV377">
        <v>3568.0451063377359</v>
      </c>
      <c r="BW377">
        <v>3642.7472195477849</v>
      </c>
      <c r="BX377">
        <v>3715.7907801636152</v>
      </c>
      <c r="BY377">
        <v>3786.892442603953</v>
      </c>
      <c r="BZ377">
        <v>3855.7338940154841</v>
      </c>
      <c r="CA377">
        <v>3922.0755021561959</v>
      </c>
      <c r="CB377">
        <v>3985.8081831961622</v>
      </c>
      <c r="CC377">
        <v>4049.7132245994362</v>
      </c>
      <c r="CD377">
        <v>4114.0313147264387</v>
      </c>
      <c r="CE377">
        <v>4178.8671884912719</v>
      </c>
      <c r="CF377">
        <v>4244.2649311199621</v>
      </c>
      <c r="CG377">
        <v>4310.485041953646</v>
      </c>
      <c r="CH377">
        <v>4377.6448996677982</v>
      </c>
      <c r="CI377">
        <v>4445.5847865524529</v>
      </c>
      <c r="CJ377">
        <v>4514.4504971858914</v>
      </c>
      <c r="CK377">
        <v>4584.273094154828</v>
      </c>
      <c r="CL377">
        <v>4655.1131480883332</v>
      </c>
      <c r="CM377">
        <v>4727.045450237757</v>
      </c>
      <c r="CN377">
        <v>4800.5848976718398</v>
      </c>
      <c r="CO377">
        <v>4876.1106647358984</v>
      </c>
      <c r="CP377">
        <v>4953.9618157034756</v>
      </c>
    </row>
    <row r="378" spans="4:94" x14ac:dyDescent="0.2">
      <c r="D378" t="s">
        <v>72</v>
      </c>
      <c r="E378" t="s">
        <v>73</v>
      </c>
      <c r="F378" t="s">
        <v>74</v>
      </c>
      <c r="G378" t="s">
        <v>86</v>
      </c>
      <c r="K378" t="s">
        <v>77</v>
      </c>
      <c r="M378" t="s">
        <v>8</v>
      </c>
      <c r="N378">
        <v>1</v>
      </c>
      <c r="O378">
        <v>1</v>
      </c>
      <c r="P378">
        <v>0</v>
      </c>
      <c r="Q378" t="s">
        <v>326</v>
      </c>
      <c r="S378">
        <v>1623.8040000000001</v>
      </c>
      <c r="T378">
        <v>1623.8040000000001</v>
      </c>
      <c r="U378">
        <v>1717.989</v>
      </c>
      <c r="V378">
        <v>1765.491</v>
      </c>
      <c r="W378">
        <v>1814.085</v>
      </c>
      <c r="X378">
        <v>1862.6790000000001</v>
      </c>
      <c r="Y378">
        <v>1911.2729999999999</v>
      </c>
      <c r="Z378">
        <v>1959.867</v>
      </c>
      <c r="AA378">
        <v>2008.461</v>
      </c>
      <c r="AB378">
        <v>2057.0549999999998</v>
      </c>
      <c r="AC378">
        <v>2105.922</v>
      </c>
      <c r="AD378">
        <v>2154.7890000000002</v>
      </c>
      <c r="AE378">
        <v>2203.3829999999998</v>
      </c>
      <c r="AF378">
        <v>2404.038</v>
      </c>
      <c r="AG378">
        <v>2444.7150000000001</v>
      </c>
      <c r="AH378">
        <v>2485.3919999999998</v>
      </c>
      <c r="AI378">
        <v>2526.069</v>
      </c>
      <c r="AJ378">
        <v>2566.7460000000001</v>
      </c>
      <c r="AK378">
        <v>2607.4229999999998</v>
      </c>
      <c r="AL378">
        <v>2648.1</v>
      </c>
      <c r="AM378">
        <v>2688.777</v>
      </c>
      <c r="AN378">
        <v>2729.4540000000002</v>
      </c>
      <c r="AO378">
        <v>2770.1309999999999</v>
      </c>
      <c r="AP378">
        <v>2772.3150000000001</v>
      </c>
      <c r="AQ378">
        <v>2851.4850000000001</v>
      </c>
      <c r="AR378">
        <v>2866.5790269059612</v>
      </c>
      <c r="AS378">
        <v>2828.68529956161</v>
      </c>
      <c r="AT378">
        <v>2842.882057493151</v>
      </c>
      <c r="AU378">
        <v>2859.281526195864</v>
      </c>
      <c r="AV378">
        <v>2943.758263340625</v>
      </c>
      <c r="AW378">
        <v>3036.3300460621131</v>
      </c>
      <c r="AX378">
        <v>3151.4854046624132</v>
      </c>
      <c r="AY378">
        <v>3290.556801773344</v>
      </c>
      <c r="AZ378">
        <v>3450.5400436274422</v>
      </c>
      <c r="BA378">
        <v>3634.0109547759648</v>
      </c>
      <c r="BB378">
        <v>3835.7869933583761</v>
      </c>
      <c r="BC378">
        <v>4046.5595489123971</v>
      </c>
      <c r="BD378">
        <v>4266.5292237505664</v>
      </c>
      <c r="BE378">
        <v>4491.0177564978467</v>
      </c>
      <c r="BF378">
        <v>4715.6500512566117</v>
      </c>
      <c r="BG378">
        <v>4936.7342292255262</v>
      </c>
      <c r="BH378">
        <v>5151.5341012950676</v>
      </c>
      <c r="BI378">
        <v>5358.4226248272826</v>
      </c>
      <c r="BJ378">
        <v>5556.8755119089574</v>
      </c>
      <c r="BK378">
        <v>5747.3349986502772</v>
      </c>
      <c r="BL378">
        <v>5927.4447786136388</v>
      </c>
      <c r="BM378">
        <v>6097.4629820862037</v>
      </c>
      <c r="BN378">
        <v>6256.2573951982667</v>
      </c>
      <c r="BO378">
        <v>6405.35385109864</v>
      </c>
      <c r="BP378">
        <v>6534.4745354754832</v>
      </c>
      <c r="BQ378">
        <v>6619.0370903426256</v>
      </c>
      <c r="BR378">
        <v>6717.4096566620456</v>
      </c>
      <c r="BS378">
        <v>6826.7659212725976</v>
      </c>
      <c r="BT378">
        <v>6943.14669000709</v>
      </c>
      <c r="BU378">
        <v>7062.9521598996089</v>
      </c>
      <c r="BV378">
        <v>7183.3930560238668</v>
      </c>
      <c r="BW378">
        <v>7302.3611127048598</v>
      </c>
      <c r="BX378">
        <v>7418.4743943106296</v>
      </c>
      <c r="BY378">
        <v>7530.8901307065717</v>
      </c>
      <c r="BZ378">
        <v>7639.0378664706304</v>
      </c>
      <c r="CA378">
        <v>7742.6188701657202</v>
      </c>
      <c r="CB378">
        <v>7841.6169374531009</v>
      </c>
      <c r="CC378">
        <v>7939.1025310098976</v>
      </c>
      <c r="CD378">
        <v>8036.2150181503312</v>
      </c>
      <c r="CE378">
        <v>8133.7143587486498</v>
      </c>
      <c r="CF378">
        <v>8232.1292740770241</v>
      </c>
      <c r="CG378">
        <v>8332.1266421518685</v>
      </c>
      <c r="CH378">
        <v>8434.1132148800953</v>
      </c>
      <c r="CI378">
        <v>8537.9792560698988</v>
      </c>
      <c r="CJ378">
        <v>8644.2058261786624</v>
      </c>
      <c r="CK378">
        <v>8753.0788335489233</v>
      </c>
      <c r="CL378">
        <v>8864.8481534527637</v>
      </c>
      <c r="CM378">
        <v>8979.694849493746</v>
      </c>
      <c r="CN378">
        <v>9100.2755117774832</v>
      </c>
      <c r="CO378">
        <v>9228.4682806098626</v>
      </c>
      <c r="CP378">
        <v>9365.4801359056637</v>
      </c>
    </row>
    <row r="379" spans="4:94" x14ac:dyDescent="0.2">
      <c r="D379" t="s">
        <v>72</v>
      </c>
      <c r="E379" t="s">
        <v>87</v>
      </c>
      <c r="F379" t="s">
        <v>88</v>
      </c>
      <c r="G379" t="s">
        <v>89</v>
      </c>
      <c r="J379" t="s">
        <v>90</v>
      </c>
      <c r="K379" t="s">
        <v>90</v>
      </c>
      <c r="M379" t="s">
        <v>7</v>
      </c>
      <c r="N379">
        <v>1</v>
      </c>
      <c r="O379">
        <v>1</v>
      </c>
      <c r="P379">
        <v>1</v>
      </c>
      <c r="Q379" t="s">
        <v>327</v>
      </c>
      <c r="S379">
        <v>-5899.6840000000002</v>
      </c>
      <c r="T379">
        <v>-3804.1480000000001</v>
      </c>
      <c r="U379">
        <v>-5827.3909999999996</v>
      </c>
      <c r="V379">
        <v>-1027.9469999999999</v>
      </c>
      <c r="W379">
        <v>2092.018</v>
      </c>
      <c r="X379">
        <v>5333.9579999999996</v>
      </c>
      <c r="Y379">
        <v>8704.9060000000009</v>
      </c>
      <c r="Z379">
        <v>5930.1890000000003</v>
      </c>
      <c r="AA379">
        <v>8684.5650000000005</v>
      </c>
      <c r="AB379">
        <v>11593.858</v>
      </c>
      <c r="AC379">
        <v>22733.442999999999</v>
      </c>
      <c r="AD379">
        <v>25062.136999999999</v>
      </c>
      <c r="AE379">
        <v>30893.936000000002</v>
      </c>
      <c r="AF379">
        <v>33340.254999999997</v>
      </c>
      <c r="AG379">
        <v>35825.004000000001</v>
      </c>
      <c r="AH379">
        <v>38348.031999999999</v>
      </c>
      <c r="AI379">
        <v>40902.154000000002</v>
      </c>
      <c r="AJ379">
        <v>43486.574000000001</v>
      </c>
      <c r="AK379">
        <v>51094.434999999998</v>
      </c>
      <c r="AL379">
        <v>53805.942999999999</v>
      </c>
      <c r="AM379">
        <v>56406.758000000002</v>
      </c>
      <c r="AN379">
        <v>58900.826000000001</v>
      </c>
      <c r="AO379">
        <v>60287.247000000003</v>
      </c>
      <c r="AP379">
        <v>62360.968999999997</v>
      </c>
      <c r="AQ379">
        <v>63581.68</v>
      </c>
      <c r="AR379">
        <v>50271.264729985131</v>
      </c>
      <c r="AS379">
        <v>48788.529313923493</v>
      </c>
      <c r="AT379">
        <v>49811.879694003634</v>
      </c>
      <c r="AU379">
        <v>50894.530593685056</v>
      </c>
      <c r="AV379">
        <v>52790.101354365353</v>
      </c>
      <c r="AW379">
        <v>54953.072750568041</v>
      </c>
      <c r="AX379">
        <v>57410.92345839506</v>
      </c>
      <c r="AY379">
        <v>59929.697881096828</v>
      </c>
      <c r="AZ379">
        <v>62603.492990160157</v>
      </c>
      <c r="BA379">
        <v>65230.273389987167</v>
      </c>
      <c r="BB379">
        <v>67268.882176009618</v>
      </c>
      <c r="BC379">
        <v>67732.497655528903</v>
      </c>
      <c r="BD379">
        <v>66862.241281601993</v>
      </c>
      <c r="BE379">
        <v>64288.681351503059</v>
      </c>
      <c r="BF379">
        <v>59813.341952282681</v>
      </c>
      <c r="BG379">
        <v>53547.274024048078</v>
      </c>
      <c r="BH379">
        <v>45993.825732057921</v>
      </c>
      <c r="BI379">
        <v>37939.371203595387</v>
      </c>
      <c r="BJ379">
        <v>30204.87062907733</v>
      </c>
      <c r="BK379">
        <v>23403.766211714708</v>
      </c>
      <c r="BL379">
        <v>17780.479915872649</v>
      </c>
      <c r="BM379">
        <v>13375.59171467641</v>
      </c>
      <c r="BN379">
        <v>10071.87236328393</v>
      </c>
      <c r="BO379">
        <v>7675.3759301458977</v>
      </c>
      <c r="BP379">
        <v>5979.5820869711333</v>
      </c>
      <c r="BQ379">
        <v>4803.292548418669</v>
      </c>
      <c r="BR379">
        <v>4940.1010245378257</v>
      </c>
      <c r="BS379">
        <v>5079.8209545220952</v>
      </c>
      <c r="BT379">
        <v>5222.5758196078932</v>
      </c>
      <c r="BU379">
        <v>5378.531492759409</v>
      </c>
      <c r="BV379">
        <v>5556.7592587841646</v>
      </c>
      <c r="BW379">
        <v>5681.1233253998462</v>
      </c>
      <c r="BX379">
        <v>5795.1979712180173</v>
      </c>
      <c r="BY379">
        <v>5899.5475150996363</v>
      </c>
      <c r="BZ379">
        <v>5993.7949579703691</v>
      </c>
      <c r="CA379">
        <v>6077.0687821132806</v>
      </c>
      <c r="CB379">
        <v>6148.690556794686</v>
      </c>
      <c r="CC379">
        <v>6216.8354668456677</v>
      </c>
      <c r="CD379">
        <v>6281.6064343605267</v>
      </c>
      <c r="CE379">
        <v>6343.0836094448323</v>
      </c>
      <c r="CF379">
        <v>6400.598593738845</v>
      </c>
      <c r="CG379">
        <v>6456.1423996202348</v>
      </c>
      <c r="CH379">
        <v>6507.1576151639156</v>
      </c>
      <c r="CI379">
        <v>6554.1752346374096</v>
      </c>
      <c r="CJ379">
        <v>6595.6676225740039</v>
      </c>
      <c r="CK379">
        <v>6631.165510311067</v>
      </c>
      <c r="CL379">
        <v>6660.1946082185423</v>
      </c>
      <c r="CM379">
        <v>6682.2775360970554</v>
      </c>
      <c r="CN379">
        <v>6696.911292049097</v>
      </c>
      <c r="CO379">
        <v>6703.612709014119</v>
      </c>
      <c r="CP379">
        <v>6701.9714660240434</v>
      </c>
    </row>
    <row r="380" spans="4:94" x14ac:dyDescent="0.2">
      <c r="D380" t="s">
        <v>72</v>
      </c>
      <c r="E380" t="s">
        <v>87</v>
      </c>
      <c r="F380" t="s">
        <v>88</v>
      </c>
      <c r="G380" t="s">
        <v>89</v>
      </c>
      <c r="J380" t="s">
        <v>91</v>
      </c>
      <c r="K380" t="s">
        <v>91</v>
      </c>
      <c r="M380" t="s">
        <v>7</v>
      </c>
      <c r="N380">
        <v>1</v>
      </c>
      <c r="O380">
        <v>0</v>
      </c>
      <c r="P380">
        <v>1</v>
      </c>
      <c r="Q380" t="s">
        <v>328</v>
      </c>
      <c r="S380">
        <v>-99999</v>
      </c>
      <c r="T380">
        <v>-99999</v>
      </c>
      <c r="U380">
        <v>-99999</v>
      </c>
      <c r="V380">
        <v>-99999</v>
      </c>
      <c r="W380">
        <v>-99999</v>
      </c>
      <c r="X380">
        <v>-99999</v>
      </c>
      <c r="Y380">
        <v>-99999</v>
      </c>
      <c r="Z380">
        <v>-99999</v>
      </c>
      <c r="AA380">
        <v>-99999</v>
      </c>
      <c r="AB380">
        <v>-99999</v>
      </c>
      <c r="AC380">
        <v>-99999</v>
      </c>
      <c r="AD380">
        <v>-99999</v>
      </c>
      <c r="AE380">
        <v>-99999</v>
      </c>
      <c r="AF380">
        <v>-99999</v>
      </c>
      <c r="AG380">
        <v>-99999</v>
      </c>
      <c r="AH380">
        <v>-99999</v>
      </c>
      <c r="AI380">
        <v>-99999</v>
      </c>
      <c r="AJ380">
        <v>-99999</v>
      </c>
      <c r="AK380">
        <v>-99999</v>
      </c>
      <c r="AL380">
        <v>-99999</v>
      </c>
      <c r="AM380">
        <v>-99999</v>
      </c>
      <c r="AN380">
        <v>-99999</v>
      </c>
      <c r="AO380">
        <v>-99999</v>
      </c>
      <c r="AP380">
        <v>-99999</v>
      </c>
      <c r="AQ380">
        <v>-99999</v>
      </c>
      <c r="AR380">
        <v>-11017.434656431989</v>
      </c>
      <c r="AS380">
        <v>-10951.007584877199</v>
      </c>
      <c r="AT380">
        <v>-10883.98850147727</v>
      </c>
      <c r="AU380">
        <v>-10816.525401813309</v>
      </c>
      <c r="AV380">
        <v>-10744.296033205859</v>
      </c>
      <c r="AW380">
        <v>-10681.205301955401</v>
      </c>
      <c r="AX380">
        <v>-10628.08223541</v>
      </c>
      <c r="AY380">
        <v>-10582.954090374589</v>
      </c>
      <c r="AZ380">
        <v>-10548.320936333301</v>
      </c>
      <c r="BA380">
        <v>-10513.890837278041</v>
      </c>
      <c r="BB380">
        <v>-10482.569132922739</v>
      </c>
      <c r="BC380">
        <v>-10458.281577560279</v>
      </c>
      <c r="BD380">
        <v>-10443.016092289759</v>
      </c>
      <c r="BE380">
        <v>-10438.47915067149</v>
      </c>
      <c r="BF380">
        <v>-10445.096006477561</v>
      </c>
      <c r="BG380">
        <v>-10461.907646580819</v>
      </c>
      <c r="BH380">
        <v>-10486.60870037787</v>
      </c>
      <c r="BI380">
        <v>-10515.691247709339</v>
      </c>
      <c r="BJ380">
        <v>-10544.661426095079</v>
      </c>
      <c r="BK380">
        <v>-10568.29345690538</v>
      </c>
      <c r="BL380">
        <v>-10582.24800459459</v>
      </c>
      <c r="BM380">
        <v>-10582.282808145261</v>
      </c>
      <c r="BN380">
        <v>-10566.14854108384</v>
      </c>
      <c r="BO380">
        <v>-10530.544297405389</v>
      </c>
      <c r="BP380">
        <v>-10471.354903859299</v>
      </c>
      <c r="BQ380">
        <v>-10382.011985343321</v>
      </c>
      <c r="BR380">
        <v>-10277.276982113941</v>
      </c>
      <c r="BS380">
        <v>-10151.449931185671</v>
      </c>
      <c r="BT380">
        <v>-10009.268303196341</v>
      </c>
      <c r="BU380">
        <v>-9849.7228079972174</v>
      </c>
      <c r="BV380">
        <v>-9673.2414563670918</v>
      </c>
      <c r="BW380">
        <v>-9480.8779970293817</v>
      </c>
      <c r="BX380">
        <v>-9274.1949233842824</v>
      </c>
      <c r="BY380">
        <v>-9054.8880490230258</v>
      </c>
      <c r="BZ380">
        <v>-8824.7791467962943</v>
      </c>
      <c r="CA380">
        <v>-8585.941502395719</v>
      </c>
      <c r="CB380">
        <v>-8340.4160821719724</v>
      </c>
      <c r="CC380">
        <v>-8089.2870761131908</v>
      </c>
      <c r="CD380">
        <v>-7833.6544326687654</v>
      </c>
      <c r="CE380">
        <v>-7574.7359391106274</v>
      </c>
      <c r="CF380">
        <v>-7313.8654721487264</v>
      </c>
      <c r="CG380">
        <v>-7052.7630607417104</v>
      </c>
      <c r="CH380">
        <v>-6793.8419772993211</v>
      </c>
      <c r="CI380">
        <v>-6536.6513453453208</v>
      </c>
      <c r="CJ380">
        <v>-6282.4580602312317</v>
      </c>
      <c r="CK380">
        <v>-6032.5101584627218</v>
      </c>
      <c r="CL380">
        <v>-5787.9789214809507</v>
      </c>
      <c r="CM380">
        <v>-5507.9194997828317</v>
      </c>
      <c r="CN380">
        <v>-5186.5275003655815</v>
      </c>
      <c r="CO380">
        <v>-4822.8543665547013</v>
      </c>
      <c r="CP380">
        <v>-4417.2334968311716</v>
      </c>
    </row>
    <row r="381" spans="4:94" x14ac:dyDescent="0.2">
      <c r="D381" t="s">
        <v>72</v>
      </c>
      <c r="E381" t="s">
        <v>87</v>
      </c>
      <c r="F381" t="s">
        <v>88</v>
      </c>
      <c r="J381" t="s">
        <v>92</v>
      </c>
      <c r="K381" t="s">
        <v>92</v>
      </c>
      <c r="M381" t="s">
        <v>6</v>
      </c>
      <c r="N381">
        <v>0</v>
      </c>
      <c r="O381">
        <v>0</v>
      </c>
      <c r="P381">
        <v>1</v>
      </c>
      <c r="Q381" t="s">
        <v>329</v>
      </c>
      <c r="S381">
        <v>-99999</v>
      </c>
      <c r="T381">
        <v>-99999</v>
      </c>
      <c r="U381">
        <v>-99999</v>
      </c>
      <c r="V381">
        <v>-99999</v>
      </c>
      <c r="W381">
        <v>-99999</v>
      </c>
      <c r="X381">
        <v>-99999</v>
      </c>
      <c r="Y381">
        <v>-99999</v>
      </c>
      <c r="Z381">
        <v>-99999</v>
      </c>
      <c r="AA381">
        <v>-99999</v>
      </c>
      <c r="AB381">
        <v>-99999</v>
      </c>
      <c r="AC381">
        <v>-99999</v>
      </c>
      <c r="AD381">
        <v>-99999</v>
      </c>
      <c r="AE381">
        <v>-99999</v>
      </c>
      <c r="AF381">
        <v>-99999</v>
      </c>
      <c r="AG381">
        <v>-99999</v>
      </c>
      <c r="AH381">
        <v>-99999</v>
      </c>
      <c r="AI381">
        <v>-99999</v>
      </c>
      <c r="AJ381">
        <v>-99999</v>
      </c>
      <c r="AK381">
        <v>-99999</v>
      </c>
      <c r="AL381">
        <v>-99999</v>
      </c>
      <c r="AM381">
        <v>-99999</v>
      </c>
      <c r="AN381">
        <v>-99999</v>
      </c>
      <c r="AO381">
        <v>-99999</v>
      </c>
      <c r="AP381">
        <v>-99999</v>
      </c>
      <c r="AQ381">
        <v>-99999</v>
      </c>
      <c r="AR381">
        <v>67.882259060734597</v>
      </c>
      <c r="AS381">
        <v>67.43640165691869</v>
      </c>
      <c r="AT381">
        <v>66.988035796025201</v>
      </c>
      <c r="AU381">
        <v>66.538002643286305</v>
      </c>
      <c r="AV381">
        <v>66.061335954640398</v>
      </c>
      <c r="AW381">
        <v>65.638299434236501</v>
      </c>
      <c r="AX381">
        <v>65.273666594727302</v>
      </c>
      <c r="AY381">
        <v>64.95605134603511</v>
      </c>
      <c r="AZ381">
        <v>64.700060152118695</v>
      </c>
      <c r="BA381">
        <v>64.446056656507409</v>
      </c>
      <c r="BB381">
        <v>64.210803703215404</v>
      </c>
      <c r="BC381">
        <v>64.016955744573096</v>
      </c>
      <c r="BD381">
        <v>63.87597900079291</v>
      </c>
      <c r="BE381">
        <v>63.797714557322003</v>
      </c>
      <c r="BF381">
        <v>63.784606210186503</v>
      </c>
      <c r="BG381">
        <v>63.831105568925793</v>
      </c>
      <c r="BH381">
        <v>63.923890991688509</v>
      </c>
      <c r="BI381">
        <v>64.042697937762</v>
      </c>
      <c r="BJ381">
        <v>64.161569629568802</v>
      </c>
      <c r="BK381">
        <v>64.2503237474846</v>
      </c>
      <c r="BL381">
        <v>64.283896247799404</v>
      </c>
      <c r="BM381">
        <v>64.237783835537797</v>
      </c>
      <c r="BN381">
        <v>64.098989986338609</v>
      </c>
      <c r="BO381">
        <v>63.848446935512897</v>
      </c>
      <c r="BP381">
        <v>63.462386225019692</v>
      </c>
      <c r="BQ381">
        <v>62.902876559934697</v>
      </c>
      <c r="BR381">
        <v>62.255129709261801</v>
      </c>
      <c r="BS381">
        <v>61.486207900038202</v>
      </c>
      <c r="BT381">
        <v>60.623421758977599</v>
      </c>
      <c r="BU381">
        <v>59.660917837741103</v>
      </c>
      <c r="BV381">
        <v>58.6011588260031</v>
      </c>
      <c r="BW381">
        <v>57.450222847980193</v>
      </c>
      <c r="BX381">
        <v>56.2171258483842</v>
      </c>
      <c r="BY381">
        <v>54.9116536990987</v>
      </c>
      <c r="BZ381">
        <v>53.5443049069697</v>
      </c>
      <c r="CA381">
        <v>52.126977414142488</v>
      </c>
      <c r="CB381">
        <v>50.671435216866001</v>
      </c>
      <c r="CC381">
        <v>49.183931365588712</v>
      </c>
      <c r="CD381">
        <v>47.670711414726902</v>
      </c>
      <c r="CE381">
        <v>46.138738198604102</v>
      </c>
      <c r="CF381">
        <v>44.595714681547598</v>
      </c>
      <c r="CG381">
        <v>43.059621603994302</v>
      </c>
      <c r="CH381">
        <v>41.564780063578198</v>
      </c>
      <c r="CI381">
        <v>40.079929021943101</v>
      </c>
      <c r="CJ381">
        <v>38.6123827069366</v>
      </c>
      <c r="CK381">
        <v>37.169346467724587</v>
      </c>
      <c r="CL381">
        <v>35.757582519768498</v>
      </c>
      <c r="CM381">
        <v>34.140701994732403</v>
      </c>
      <c r="CN381">
        <v>32.285194111407698</v>
      </c>
      <c r="CO381">
        <v>30.185582521937601</v>
      </c>
      <c r="CP381">
        <v>27.843792051802499</v>
      </c>
    </row>
    <row r="382" spans="4:94" x14ac:dyDescent="0.2">
      <c r="D382" t="s">
        <v>72</v>
      </c>
      <c r="E382" t="s">
        <v>87</v>
      </c>
      <c r="F382" t="s">
        <v>93</v>
      </c>
      <c r="G382" t="s">
        <v>94</v>
      </c>
      <c r="J382" t="s">
        <v>95</v>
      </c>
      <c r="K382" t="s">
        <v>96</v>
      </c>
      <c r="M382" t="s">
        <v>7</v>
      </c>
      <c r="N382">
        <v>1</v>
      </c>
      <c r="O382">
        <v>1</v>
      </c>
      <c r="P382">
        <v>1</v>
      </c>
      <c r="Q382" t="s">
        <v>330</v>
      </c>
      <c r="S382">
        <v>6958.0140000000001</v>
      </c>
      <c r="T382">
        <v>6958.0140000000001</v>
      </c>
      <c r="U382">
        <v>6958.0140000000001</v>
      </c>
      <c r="V382">
        <v>6957.317</v>
      </c>
      <c r="W382">
        <v>6956.1949999999997</v>
      </c>
      <c r="X382">
        <v>6953.7550000000001</v>
      </c>
      <c r="Y382">
        <v>6953.567</v>
      </c>
      <c r="Z382">
        <v>6958.8069999999998</v>
      </c>
      <c r="AA382">
        <v>6959.6009999999997</v>
      </c>
      <c r="AB382">
        <v>417.49799999999999</v>
      </c>
      <c r="AC382">
        <v>414.6</v>
      </c>
      <c r="AD382">
        <v>6914.9939999999997</v>
      </c>
      <c r="AE382">
        <v>330.49</v>
      </c>
      <c r="AF382">
        <v>287.97199999999998</v>
      </c>
      <c r="AG382">
        <v>246.53899999999999</v>
      </c>
      <c r="AH382">
        <v>204.37299999999999</v>
      </c>
      <c r="AI382">
        <v>203.65299999999999</v>
      </c>
      <c r="AJ382">
        <v>278.17200000000003</v>
      </c>
      <c r="AK382">
        <v>278.60599999999999</v>
      </c>
      <c r="AL382">
        <v>493.57</v>
      </c>
      <c r="AM382">
        <v>396.42500000000001</v>
      </c>
      <c r="AN382">
        <v>533.36800000000005</v>
      </c>
      <c r="AO382">
        <v>169.512</v>
      </c>
      <c r="AP382">
        <v>61.962000000000003</v>
      </c>
      <c r="AQ382">
        <v>6.2290000000000001</v>
      </c>
      <c r="AR382">
        <v>25.996402034732959</v>
      </c>
      <c r="AS382">
        <v>26.75635076611897</v>
      </c>
      <c r="AT382">
        <v>27.581984575257859</v>
      </c>
      <c r="AU382">
        <v>28.470680084033109</v>
      </c>
      <c r="AV382">
        <v>29.43808333767495</v>
      </c>
      <c r="AW382">
        <v>30.51395459622864</v>
      </c>
      <c r="AX382">
        <v>31.698600304600141</v>
      </c>
      <c r="AY382">
        <v>33.006564089165387</v>
      </c>
      <c r="AZ382">
        <v>34.477259461808437</v>
      </c>
      <c r="BA382">
        <v>35.966548836564257</v>
      </c>
      <c r="BB382">
        <v>37.432321707019739</v>
      </c>
      <c r="BC382">
        <v>38.838574640558797</v>
      </c>
      <c r="BD382">
        <v>40.158624949033907</v>
      </c>
      <c r="BE382">
        <v>41.37211160450412</v>
      </c>
      <c r="BF382">
        <v>42.469127686248449</v>
      </c>
      <c r="BG382">
        <v>43.451967407041352</v>
      </c>
      <c r="BH382">
        <v>44.336335684123277</v>
      </c>
      <c r="BI382">
        <v>45.152000997326738</v>
      </c>
      <c r="BJ382">
        <v>45.942726782923472</v>
      </c>
      <c r="BK382">
        <v>46.765236903938707</v>
      </c>
      <c r="BL382">
        <v>47.673426365899807</v>
      </c>
      <c r="BM382">
        <v>48.724102654861568</v>
      </c>
      <c r="BN382">
        <v>49.951413841723458</v>
      </c>
      <c r="BO382">
        <v>51.40253701516658</v>
      </c>
      <c r="BP382">
        <v>53.116738843178801</v>
      </c>
      <c r="BQ382">
        <v>55.120551331870431</v>
      </c>
      <c r="BR382">
        <v>57.467508314073612</v>
      </c>
      <c r="BS382">
        <v>60.696996808396847</v>
      </c>
      <c r="BT382">
        <v>64.579123379670818</v>
      </c>
      <c r="BU382">
        <v>68.707088606215009</v>
      </c>
      <c r="BV382">
        <v>73.074360049650736</v>
      </c>
      <c r="BW382">
        <v>77.669831883395275</v>
      </c>
      <c r="BX382">
        <v>82.47901269581601</v>
      </c>
      <c r="BY382">
        <v>87.48533368327648</v>
      </c>
      <c r="BZ382">
        <v>92.669361556415652</v>
      </c>
      <c r="CA382">
        <v>98.010406225985946</v>
      </c>
      <c r="CB382">
        <v>103.48750395352241</v>
      </c>
      <c r="CC382">
        <v>109.0977422277992</v>
      </c>
      <c r="CD382">
        <v>114.8408316663903</v>
      </c>
      <c r="CE382">
        <v>120.7167988033946</v>
      </c>
      <c r="CF382">
        <v>126.7253687826651</v>
      </c>
      <c r="CG382">
        <v>132.8801109151259</v>
      </c>
      <c r="CH382">
        <v>139.21144970598459</v>
      </c>
      <c r="CI382">
        <v>145.69687062486341</v>
      </c>
      <c r="CJ382">
        <v>152.3457413594615</v>
      </c>
      <c r="CK382">
        <v>159.16796558419961</v>
      </c>
      <c r="CL382">
        <v>166.17479145164589</v>
      </c>
      <c r="CM382">
        <v>173.60862748922361</v>
      </c>
      <c r="CN382">
        <v>181.61689737091771</v>
      </c>
      <c r="CO382">
        <v>190.31622520392659</v>
      </c>
      <c r="CP382">
        <v>199.82458229417031</v>
      </c>
    </row>
    <row r="383" spans="4:94" x14ac:dyDescent="0.2">
      <c r="D383" t="s">
        <v>72</v>
      </c>
      <c r="E383" t="s">
        <v>87</v>
      </c>
      <c r="F383" t="s">
        <v>93</v>
      </c>
      <c r="G383" t="s">
        <v>97</v>
      </c>
      <c r="H383" t="s">
        <v>98</v>
      </c>
      <c r="J383" t="s">
        <v>90</v>
      </c>
      <c r="K383" t="s">
        <v>90</v>
      </c>
      <c r="L383" t="s">
        <v>99</v>
      </c>
      <c r="M383" t="s">
        <v>7</v>
      </c>
      <c r="N383">
        <v>1</v>
      </c>
      <c r="O383">
        <v>1</v>
      </c>
      <c r="P383">
        <v>1</v>
      </c>
      <c r="Q383" t="s">
        <v>331</v>
      </c>
      <c r="S383">
        <v>12953.932000000001</v>
      </c>
      <c r="T383">
        <v>13194.951999999999</v>
      </c>
      <c r="U383">
        <v>19136.535</v>
      </c>
      <c r="V383">
        <v>14014.99</v>
      </c>
      <c r="W383">
        <v>19148.171999999999</v>
      </c>
      <c r="X383">
        <v>13299.499</v>
      </c>
      <c r="Y383">
        <v>15928.290999999999</v>
      </c>
      <c r="Z383">
        <v>12321.385</v>
      </c>
      <c r="AA383">
        <v>11881.502</v>
      </c>
      <c r="AB383">
        <v>13500.647000000001</v>
      </c>
      <c r="AC383">
        <v>2623.8510000000001</v>
      </c>
      <c r="AD383">
        <v>4537.7309999999998</v>
      </c>
      <c r="AE383">
        <v>2920.7640000000001</v>
      </c>
      <c r="AF383">
        <v>3220.5709999999999</v>
      </c>
      <c r="AG383">
        <v>2830.2460000000001</v>
      </c>
      <c r="AH383">
        <v>2906.971</v>
      </c>
      <c r="AI383">
        <v>2941.8429999999998</v>
      </c>
      <c r="AJ383">
        <v>3097.0369999999998</v>
      </c>
      <c r="AK383">
        <v>2976.232</v>
      </c>
      <c r="AL383">
        <v>2799.462</v>
      </c>
      <c r="AM383">
        <v>-759.32299999999998</v>
      </c>
      <c r="AN383">
        <v>2197.69</v>
      </c>
      <c r="AO383">
        <v>1826.1010000000001</v>
      </c>
      <c r="AP383">
        <v>1882.3050000000001</v>
      </c>
      <c r="AQ383">
        <v>1491.104</v>
      </c>
      <c r="AR383">
        <v>4538.2590386914044</v>
      </c>
      <c r="AS383">
        <v>4506.7854357738252</v>
      </c>
      <c r="AT383">
        <v>4475.1959995171846</v>
      </c>
      <c r="AU383">
        <v>4571.8316466769511</v>
      </c>
      <c r="AV383">
        <v>4845.691013401266</v>
      </c>
      <c r="AW383">
        <v>5114.2183659429811</v>
      </c>
      <c r="AX383">
        <v>5539.1944465280094</v>
      </c>
      <c r="AY383">
        <v>5665.9224459842681</v>
      </c>
      <c r="AZ383">
        <v>5546.9850563573764</v>
      </c>
      <c r="BA383">
        <v>5322.6143936496728</v>
      </c>
      <c r="BB383">
        <v>4965.4479413632307</v>
      </c>
      <c r="BC383">
        <v>4521.2390975858279</v>
      </c>
      <c r="BD383">
        <v>4020.1349098136302</v>
      </c>
      <c r="BE383">
        <v>3506.4820745900629</v>
      </c>
      <c r="BF383">
        <v>3026.6985856175061</v>
      </c>
      <c r="BG383">
        <v>2626.6886820204882</v>
      </c>
      <c r="BH383">
        <v>2349.5455886969421</v>
      </c>
      <c r="BI383">
        <v>2233.4503787517451</v>
      </c>
      <c r="BJ383">
        <v>2309.5488909203941</v>
      </c>
      <c r="BK383">
        <v>2557.0470028021218</v>
      </c>
      <c r="BL383">
        <v>2975.6611190661729</v>
      </c>
      <c r="BM383">
        <v>3489.30912429706</v>
      </c>
      <c r="BN383">
        <v>4133.9365378068687</v>
      </c>
      <c r="BO383">
        <v>4882.9335776480657</v>
      </c>
      <c r="BP383">
        <v>5698.8463044033524</v>
      </c>
      <c r="BQ383">
        <v>6645.7313341463923</v>
      </c>
      <c r="BR383">
        <v>8098.9253492286616</v>
      </c>
      <c r="BS383">
        <v>8693.8552381294885</v>
      </c>
      <c r="BT383">
        <v>9451.3059764166483</v>
      </c>
      <c r="BU383">
        <v>10183.01676348657</v>
      </c>
      <c r="BV383">
        <v>10838.77115340875</v>
      </c>
      <c r="BW383">
        <v>11403.083079591081</v>
      </c>
      <c r="BX383">
        <v>11868.607913870181</v>
      </c>
      <c r="BY383">
        <v>12220.90473708583</v>
      </c>
      <c r="BZ383">
        <v>12434.141074595171</v>
      </c>
      <c r="CA383">
        <v>12537.381172880459</v>
      </c>
      <c r="CB383">
        <v>12585.63853940363</v>
      </c>
      <c r="CC383">
        <v>12536.581077635959</v>
      </c>
      <c r="CD383">
        <v>12405.74189245243</v>
      </c>
      <c r="CE383">
        <v>12224.5330362489</v>
      </c>
      <c r="CF383">
        <v>11633.03294674971</v>
      </c>
      <c r="CG383">
        <v>10065.7108145804</v>
      </c>
      <c r="CH383">
        <v>9781.5364390486902</v>
      </c>
      <c r="CI383">
        <v>9469.2885619305398</v>
      </c>
      <c r="CJ383">
        <v>9132.7273491575907</v>
      </c>
      <c r="CK383">
        <v>8777.0171285018605</v>
      </c>
      <c r="CL383">
        <v>10094.1267739388</v>
      </c>
      <c r="CM383">
        <v>11747.4238084343</v>
      </c>
      <c r="CN383">
        <v>13457.2427985498</v>
      </c>
      <c r="CO383">
        <v>15172.6949839715</v>
      </c>
      <c r="CP383">
        <v>13835.4793071114</v>
      </c>
    </row>
    <row r="384" spans="4:94" x14ac:dyDescent="0.2">
      <c r="D384" t="s">
        <v>72</v>
      </c>
      <c r="E384" t="s">
        <v>87</v>
      </c>
      <c r="F384" t="s">
        <v>93</v>
      </c>
      <c r="G384" t="s">
        <v>97</v>
      </c>
      <c r="H384" t="s">
        <v>100</v>
      </c>
      <c r="J384" t="s">
        <v>101</v>
      </c>
      <c r="K384" t="s">
        <v>102</v>
      </c>
      <c r="L384" t="s">
        <v>102</v>
      </c>
      <c r="M384" t="s">
        <v>7</v>
      </c>
      <c r="N384">
        <v>1</v>
      </c>
      <c r="O384">
        <v>0</v>
      </c>
      <c r="P384">
        <v>1</v>
      </c>
      <c r="Q384" t="s">
        <v>332</v>
      </c>
      <c r="S384">
        <v>-99999</v>
      </c>
      <c r="T384">
        <v>-99999</v>
      </c>
      <c r="U384">
        <v>-99999</v>
      </c>
      <c r="V384">
        <v>-99999</v>
      </c>
      <c r="W384">
        <v>-99999</v>
      </c>
      <c r="X384">
        <v>-99999</v>
      </c>
      <c r="Y384">
        <v>-99999</v>
      </c>
      <c r="Z384">
        <v>-99999</v>
      </c>
      <c r="AA384">
        <v>-99999</v>
      </c>
      <c r="AB384">
        <v>-99999</v>
      </c>
      <c r="AC384">
        <v>-99999</v>
      </c>
      <c r="AD384">
        <v>-99999</v>
      </c>
      <c r="AE384">
        <v>-99999</v>
      </c>
      <c r="AF384">
        <v>-99999</v>
      </c>
      <c r="AG384">
        <v>-99999</v>
      </c>
      <c r="AH384">
        <v>-99999</v>
      </c>
      <c r="AI384">
        <v>-99999</v>
      </c>
      <c r="AJ384">
        <v>-99999</v>
      </c>
      <c r="AK384">
        <v>-99999</v>
      </c>
      <c r="AL384">
        <v>-99999</v>
      </c>
      <c r="AM384">
        <v>-99999</v>
      </c>
      <c r="AN384">
        <v>-99999</v>
      </c>
      <c r="AO384">
        <v>-99999</v>
      </c>
      <c r="AP384">
        <v>-99999</v>
      </c>
      <c r="AQ384">
        <v>-99999</v>
      </c>
      <c r="AR384">
        <v>68.933732862074493</v>
      </c>
      <c r="AS384">
        <v>68.099612582769097</v>
      </c>
      <c r="AT384">
        <v>67.3455770949124</v>
      </c>
      <c r="AU384">
        <v>67.254804754474208</v>
      </c>
      <c r="AV384">
        <v>68.306159578939699</v>
      </c>
      <c r="AW384">
        <v>69.334615187731998</v>
      </c>
      <c r="AX384">
        <v>69.500058697495803</v>
      </c>
      <c r="AY384">
        <v>68.342255166487405</v>
      </c>
      <c r="AZ384">
        <v>67.192047591427894</v>
      </c>
      <c r="BA384">
        <v>65.440953448328898</v>
      </c>
      <c r="BB384">
        <v>62.887000773501313</v>
      </c>
      <c r="BC384">
        <v>59.714889015969902</v>
      </c>
      <c r="BD384">
        <v>56.244892488078897</v>
      </c>
      <c r="BE384">
        <v>52.764964403863097</v>
      </c>
      <c r="BF384">
        <v>49.582479755707503</v>
      </c>
      <c r="BG384">
        <v>46.989426378182912</v>
      </c>
      <c r="BH384">
        <v>45.242006324459297</v>
      </c>
      <c r="BI384">
        <v>44.547257253701602</v>
      </c>
      <c r="BJ384">
        <v>45.056275416292301</v>
      </c>
      <c r="BK384">
        <v>46.606333718419293</v>
      </c>
      <c r="BL384">
        <v>49.175382762890507</v>
      </c>
      <c r="BM384">
        <v>52.313013026765603</v>
      </c>
      <c r="BN384">
        <v>56.259365246526599</v>
      </c>
      <c r="BO384">
        <v>60.794336144879999</v>
      </c>
      <c r="BP384">
        <v>65.6188198777173</v>
      </c>
      <c r="BQ384">
        <v>69.761715027019193</v>
      </c>
      <c r="BR384">
        <v>75.244110216917505</v>
      </c>
      <c r="BS384">
        <v>85.251160348412</v>
      </c>
      <c r="BT384">
        <v>96.804051754134207</v>
      </c>
      <c r="BU384">
        <v>108.48689176834969</v>
      </c>
      <c r="BV384">
        <v>120.3660639896338</v>
      </c>
      <c r="BW384">
        <v>132.2641937202533</v>
      </c>
      <c r="BX384">
        <v>144.07627213507959</v>
      </c>
      <c r="BY384">
        <v>155.67017650138891</v>
      </c>
      <c r="BZ384">
        <v>166.97425319900569</v>
      </c>
      <c r="CA384">
        <v>177.9672349037937</v>
      </c>
      <c r="CB384">
        <v>189.34784491299101</v>
      </c>
      <c r="CC384">
        <v>201.2292855004923</v>
      </c>
      <c r="CD384">
        <v>213.63398376082159</v>
      </c>
      <c r="CE384">
        <v>226.5640361023847</v>
      </c>
      <c r="CF384">
        <v>240.530929893353</v>
      </c>
      <c r="CG384">
        <v>256.14780817573552</v>
      </c>
      <c r="CH384">
        <v>271.513450591447</v>
      </c>
      <c r="CI384">
        <v>287.75058613988898</v>
      </c>
      <c r="CJ384">
        <v>304.83798819919309</v>
      </c>
      <c r="CK384">
        <v>322.76440882840012</v>
      </c>
      <c r="CL384">
        <v>327.88089597584309</v>
      </c>
      <c r="CM384">
        <v>331.13509227444331</v>
      </c>
      <c r="CN384">
        <v>334.14411157166512</v>
      </c>
      <c r="CO384">
        <v>337.11322137216422</v>
      </c>
      <c r="CP384">
        <v>336.6260708926269</v>
      </c>
    </row>
    <row r="385" spans="4:94" x14ac:dyDescent="0.2">
      <c r="D385" t="s">
        <v>72</v>
      </c>
      <c r="E385" t="s">
        <v>87</v>
      </c>
      <c r="F385" t="s">
        <v>93</v>
      </c>
      <c r="G385" t="s">
        <v>97</v>
      </c>
      <c r="H385" t="s">
        <v>103</v>
      </c>
      <c r="J385" t="s">
        <v>101</v>
      </c>
      <c r="K385" t="s">
        <v>102</v>
      </c>
      <c r="L385" t="s">
        <v>102</v>
      </c>
      <c r="M385" t="s">
        <v>7</v>
      </c>
      <c r="N385">
        <v>1</v>
      </c>
      <c r="O385">
        <v>0</v>
      </c>
      <c r="P385">
        <v>1</v>
      </c>
      <c r="Q385" t="s">
        <v>333</v>
      </c>
      <c r="S385">
        <v>-99999</v>
      </c>
      <c r="T385">
        <v>-99999</v>
      </c>
      <c r="U385">
        <v>-99999</v>
      </c>
      <c r="V385">
        <v>-99999</v>
      </c>
      <c r="W385">
        <v>-99999</v>
      </c>
      <c r="X385">
        <v>-99999</v>
      </c>
      <c r="Y385">
        <v>-99999</v>
      </c>
      <c r="Z385">
        <v>-99999</v>
      </c>
      <c r="AA385">
        <v>-99999</v>
      </c>
      <c r="AB385">
        <v>-99999</v>
      </c>
      <c r="AC385">
        <v>-99999</v>
      </c>
      <c r="AD385">
        <v>-99999</v>
      </c>
      <c r="AE385">
        <v>-99999</v>
      </c>
      <c r="AF385">
        <v>-99999</v>
      </c>
      <c r="AG385">
        <v>-99999</v>
      </c>
      <c r="AH385">
        <v>-99999</v>
      </c>
      <c r="AI385">
        <v>-99999</v>
      </c>
      <c r="AJ385">
        <v>-99999</v>
      </c>
      <c r="AK385">
        <v>-99999</v>
      </c>
      <c r="AL385">
        <v>-99999</v>
      </c>
      <c r="AM385">
        <v>-99999</v>
      </c>
      <c r="AN385">
        <v>-99999</v>
      </c>
      <c r="AO385">
        <v>-99999</v>
      </c>
      <c r="AP385">
        <v>-99999</v>
      </c>
      <c r="AQ385">
        <v>-99999</v>
      </c>
      <c r="AR385">
        <v>3.1098369226379998</v>
      </c>
      <c r="AS385">
        <v>3.3341391666022999</v>
      </c>
      <c r="AT385">
        <v>3.5517576640680999</v>
      </c>
      <c r="AU385">
        <v>3.8191840112617998</v>
      </c>
      <c r="AV385">
        <v>4.1813823909051999</v>
      </c>
      <c r="AW385">
        <v>4.5469159074882004</v>
      </c>
      <c r="AX385">
        <v>4.9802077389116004</v>
      </c>
      <c r="AY385">
        <v>5.5775186096286999</v>
      </c>
      <c r="AZ385">
        <v>5.6424713699062998</v>
      </c>
      <c r="BA385">
        <v>5.5732147939558008</v>
      </c>
      <c r="BB385">
        <v>5.3964766479117996</v>
      </c>
      <c r="BC385">
        <v>5.1407751551921992</v>
      </c>
      <c r="BD385">
        <v>4.8236093810603986</v>
      </c>
      <c r="BE385">
        <v>4.4757818078243004</v>
      </c>
      <c r="BF385">
        <v>4.1332270564840004</v>
      </c>
      <c r="BG385">
        <v>3.8362177013093</v>
      </c>
      <c r="BH385">
        <v>3.6282407438728002</v>
      </c>
      <c r="BI385">
        <v>3.5540620695065002</v>
      </c>
      <c r="BJ385">
        <v>3.6565809701862002</v>
      </c>
      <c r="BK385">
        <v>3.9300917366674</v>
      </c>
      <c r="BL385">
        <v>4.3860963442193004</v>
      </c>
      <c r="BM385">
        <v>4.9548217720657002</v>
      </c>
      <c r="BN385">
        <v>5.6765270709636004</v>
      </c>
      <c r="BO385">
        <v>6.5244762789913002</v>
      </c>
      <c r="BP385">
        <v>7.4556825048423994</v>
      </c>
      <c r="BQ385">
        <v>8.5895677174355001</v>
      </c>
      <c r="BR385">
        <v>11.6387285077304</v>
      </c>
      <c r="BS385">
        <v>13.6804783170872</v>
      </c>
      <c r="BT385">
        <v>14.1612215224674</v>
      </c>
      <c r="BU385">
        <v>14.5853290670298</v>
      </c>
      <c r="BV385">
        <v>14.9268466909393</v>
      </c>
      <c r="BW385">
        <v>15.1794414528365</v>
      </c>
      <c r="BX385">
        <v>15.3406332126614</v>
      </c>
      <c r="BY385">
        <v>15.4077492157412</v>
      </c>
      <c r="BZ385">
        <v>15.383359069747099</v>
      </c>
      <c r="CA385">
        <v>15.273038601489</v>
      </c>
      <c r="CB385">
        <v>15.1161918930153</v>
      </c>
      <c r="CC385">
        <v>14.917539025278</v>
      </c>
      <c r="CD385">
        <v>14.678396186812201</v>
      </c>
      <c r="CE385">
        <v>14.399722686635799</v>
      </c>
      <c r="CF385">
        <v>14.103448735221701</v>
      </c>
      <c r="CG385">
        <v>13.810056789417199</v>
      </c>
      <c r="CH385">
        <v>13.445480434703599</v>
      </c>
      <c r="CI385">
        <v>13.059033980745699</v>
      </c>
      <c r="CJ385">
        <v>12.652830534846901</v>
      </c>
      <c r="CK385">
        <v>12.230396560857701</v>
      </c>
      <c r="CL385">
        <v>13.5662288362855</v>
      </c>
      <c r="CM385">
        <v>15.3457709831063</v>
      </c>
      <c r="CN385">
        <v>17.3323053809277</v>
      </c>
      <c r="CO385">
        <v>19.543562517247899</v>
      </c>
      <c r="CP385">
        <v>18.200960173905699</v>
      </c>
    </row>
    <row r="386" spans="4:94" x14ac:dyDescent="0.2">
      <c r="D386" t="s">
        <v>72</v>
      </c>
      <c r="E386" t="s">
        <v>87</v>
      </c>
      <c r="F386" t="s">
        <v>93</v>
      </c>
      <c r="G386" t="s">
        <v>97</v>
      </c>
      <c r="H386" t="s">
        <v>104</v>
      </c>
      <c r="J386" t="s">
        <v>101</v>
      </c>
      <c r="K386" t="s">
        <v>102</v>
      </c>
      <c r="L386" t="s">
        <v>102</v>
      </c>
      <c r="M386" t="s">
        <v>7</v>
      </c>
      <c r="N386">
        <v>1</v>
      </c>
      <c r="O386">
        <v>0</v>
      </c>
      <c r="P386">
        <v>1</v>
      </c>
      <c r="Q386" t="s">
        <v>334</v>
      </c>
      <c r="S386">
        <v>-99999</v>
      </c>
      <c r="T386">
        <v>-99999</v>
      </c>
      <c r="U386">
        <v>-99999</v>
      </c>
      <c r="V386">
        <v>-99999</v>
      </c>
      <c r="W386">
        <v>-99999</v>
      </c>
      <c r="X386">
        <v>-99999</v>
      </c>
      <c r="Y386">
        <v>-99999</v>
      </c>
      <c r="Z386">
        <v>-99999</v>
      </c>
      <c r="AA386">
        <v>-99999</v>
      </c>
      <c r="AB386">
        <v>-99999</v>
      </c>
      <c r="AC386">
        <v>-99999</v>
      </c>
      <c r="AD386">
        <v>-99999</v>
      </c>
      <c r="AE386">
        <v>-99999</v>
      </c>
      <c r="AF386">
        <v>-99999</v>
      </c>
      <c r="AG386">
        <v>-99999</v>
      </c>
      <c r="AH386">
        <v>-99999</v>
      </c>
      <c r="AI386">
        <v>-99999</v>
      </c>
      <c r="AJ386">
        <v>-99999</v>
      </c>
      <c r="AK386">
        <v>-99999</v>
      </c>
      <c r="AL386">
        <v>-99999</v>
      </c>
      <c r="AM386">
        <v>-99999</v>
      </c>
      <c r="AN386">
        <v>-99999</v>
      </c>
      <c r="AO386">
        <v>-99999</v>
      </c>
      <c r="AP386">
        <v>-99999</v>
      </c>
      <c r="AQ386">
        <v>-99999</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v>
      </c>
      <c r="BO386">
        <v>0</v>
      </c>
      <c r="BP386">
        <v>0</v>
      </c>
      <c r="BQ386">
        <v>0</v>
      </c>
      <c r="BR386">
        <v>0</v>
      </c>
      <c r="BS386">
        <v>0</v>
      </c>
      <c r="BT386">
        <v>0</v>
      </c>
      <c r="BU386">
        <v>0</v>
      </c>
      <c r="BV386">
        <v>0</v>
      </c>
      <c r="BW386">
        <v>0</v>
      </c>
      <c r="BX386">
        <v>0</v>
      </c>
      <c r="BY386">
        <v>0</v>
      </c>
      <c r="BZ386">
        <v>0</v>
      </c>
      <c r="CA386">
        <v>0</v>
      </c>
      <c r="CB386">
        <v>0</v>
      </c>
      <c r="CC386">
        <v>0</v>
      </c>
      <c r="CD386">
        <v>0</v>
      </c>
      <c r="CE386">
        <v>0</v>
      </c>
      <c r="CF386">
        <v>0</v>
      </c>
      <c r="CG386">
        <v>0</v>
      </c>
      <c r="CH386">
        <v>0</v>
      </c>
      <c r="CI386">
        <v>0</v>
      </c>
      <c r="CJ386">
        <v>0</v>
      </c>
      <c r="CK386">
        <v>0</v>
      </c>
      <c r="CL386">
        <v>0</v>
      </c>
      <c r="CM386">
        <v>0</v>
      </c>
      <c r="CN386">
        <v>0</v>
      </c>
      <c r="CO386">
        <v>0</v>
      </c>
      <c r="CP386">
        <v>0</v>
      </c>
    </row>
    <row r="387" spans="4:94" x14ac:dyDescent="0.2">
      <c r="D387" t="s">
        <v>72</v>
      </c>
      <c r="E387" t="s">
        <v>87</v>
      </c>
      <c r="F387" t="s">
        <v>93</v>
      </c>
      <c r="G387" t="s">
        <v>97</v>
      </c>
      <c r="H387" t="s">
        <v>105</v>
      </c>
      <c r="J387" t="s">
        <v>101</v>
      </c>
      <c r="K387" t="s">
        <v>102</v>
      </c>
      <c r="L387" t="s">
        <v>102</v>
      </c>
      <c r="M387" t="s">
        <v>7</v>
      </c>
      <c r="N387">
        <v>1</v>
      </c>
      <c r="O387">
        <v>0</v>
      </c>
      <c r="P387">
        <v>1</v>
      </c>
      <c r="Q387" t="s">
        <v>335</v>
      </c>
      <c r="S387">
        <v>-99999</v>
      </c>
      <c r="T387">
        <v>-99999</v>
      </c>
      <c r="U387">
        <v>-99999</v>
      </c>
      <c r="V387">
        <v>-99999</v>
      </c>
      <c r="W387">
        <v>-99999</v>
      </c>
      <c r="X387">
        <v>-99999</v>
      </c>
      <c r="Y387">
        <v>-99999</v>
      </c>
      <c r="Z387">
        <v>-99999</v>
      </c>
      <c r="AA387">
        <v>-99999</v>
      </c>
      <c r="AB387">
        <v>-99999</v>
      </c>
      <c r="AC387">
        <v>-99999</v>
      </c>
      <c r="AD387">
        <v>-99999</v>
      </c>
      <c r="AE387">
        <v>-99999</v>
      </c>
      <c r="AF387">
        <v>-99999</v>
      </c>
      <c r="AG387">
        <v>-99999</v>
      </c>
      <c r="AH387">
        <v>-99999</v>
      </c>
      <c r="AI387">
        <v>-99999</v>
      </c>
      <c r="AJ387">
        <v>-99999</v>
      </c>
      <c r="AK387">
        <v>-99999</v>
      </c>
      <c r="AL387">
        <v>-99999</v>
      </c>
      <c r="AM387">
        <v>-99999</v>
      </c>
      <c r="AN387">
        <v>-99999</v>
      </c>
      <c r="AO387">
        <v>-99999</v>
      </c>
      <c r="AP387">
        <v>-99999</v>
      </c>
      <c r="AQ387">
        <v>-99999</v>
      </c>
      <c r="AR387">
        <v>63.282336711149988</v>
      </c>
      <c r="AS387">
        <v>60.181671711300098</v>
      </c>
      <c r="AT387">
        <v>57.234775786023903</v>
      </c>
      <c r="AU387">
        <v>54.5488200438677</v>
      </c>
      <c r="AV387">
        <v>52.423928165045098</v>
      </c>
      <c r="AW387">
        <v>50.801004172270702</v>
      </c>
      <c r="AX387">
        <v>49.771915489797202</v>
      </c>
      <c r="AY387">
        <v>54.512499933849902</v>
      </c>
      <c r="AZ387">
        <v>53.842785370609398</v>
      </c>
      <c r="BA387">
        <v>53.1053268651672</v>
      </c>
      <c r="BB387">
        <v>52.360676596686098</v>
      </c>
      <c r="BC387">
        <v>51.771800600846497</v>
      </c>
      <c r="BD387">
        <v>51.508057013328212</v>
      </c>
      <c r="BE387">
        <v>51.631173466113999</v>
      </c>
      <c r="BF387">
        <v>52.154694917233613</v>
      </c>
      <c r="BG387">
        <v>53.045777604963902</v>
      </c>
      <c r="BH387">
        <v>54.233709528255901</v>
      </c>
      <c r="BI387">
        <v>55.618813648744002</v>
      </c>
      <c r="BJ387">
        <v>57.078028484551602</v>
      </c>
      <c r="BK387">
        <v>58.425978635129297</v>
      </c>
      <c r="BL387">
        <v>59.525672004757602</v>
      </c>
      <c r="BM387">
        <v>60.162466144022197</v>
      </c>
      <c r="BN387">
        <v>60.289518887764203</v>
      </c>
      <c r="BO387">
        <v>59.747582835975301</v>
      </c>
      <c r="BP387">
        <v>58.447145108716498</v>
      </c>
      <c r="BQ387">
        <v>56.640263111852803</v>
      </c>
      <c r="BR387">
        <v>56.190134008338198</v>
      </c>
      <c r="BS387">
        <v>57.7850261075886</v>
      </c>
      <c r="BT387">
        <v>60.142415056859498</v>
      </c>
      <c r="BU387">
        <v>61.848484205481803</v>
      </c>
      <c r="BV387">
        <v>62.333237242654903</v>
      </c>
      <c r="BW387">
        <v>62.322780044949297</v>
      </c>
      <c r="BX387">
        <v>61.879974818969103</v>
      </c>
      <c r="BY387">
        <v>61.050423661045002</v>
      </c>
      <c r="BZ387">
        <v>59.901293876677997</v>
      </c>
      <c r="CA387">
        <v>58.489602175840403</v>
      </c>
      <c r="CB387">
        <v>56.994892574392487</v>
      </c>
      <c r="CC387">
        <v>55.4365392936718</v>
      </c>
      <c r="CD387">
        <v>53.815816231567602</v>
      </c>
      <c r="CE387">
        <v>52.131887778657898</v>
      </c>
      <c r="CF387">
        <v>50.449045786132601</v>
      </c>
      <c r="CG387">
        <v>48.561329227487398</v>
      </c>
      <c r="CH387">
        <v>46.5565676638385</v>
      </c>
      <c r="CI387">
        <v>44.572260617763703</v>
      </c>
      <c r="CJ387">
        <v>42.6068507290301</v>
      </c>
      <c r="CK387">
        <v>40.662061405700797</v>
      </c>
      <c r="CL387">
        <v>41.669628558122199</v>
      </c>
      <c r="CM387">
        <v>40.171690732220299</v>
      </c>
      <c r="CN387">
        <v>38.828732056358298</v>
      </c>
      <c r="CO387">
        <v>37.672931371376798</v>
      </c>
      <c r="CP387">
        <v>35.597614105448301</v>
      </c>
    </row>
    <row r="388" spans="4:94" x14ac:dyDescent="0.2">
      <c r="D388" t="s">
        <v>72</v>
      </c>
      <c r="E388" t="s">
        <v>87</v>
      </c>
      <c r="F388" t="s">
        <v>106</v>
      </c>
      <c r="G388" t="s">
        <v>107</v>
      </c>
      <c r="J388" t="s">
        <v>108</v>
      </c>
      <c r="K388" t="s">
        <v>96</v>
      </c>
      <c r="M388" t="s">
        <v>7</v>
      </c>
      <c r="N388">
        <v>1</v>
      </c>
      <c r="O388">
        <v>1</v>
      </c>
      <c r="P388">
        <v>1</v>
      </c>
      <c r="Q388" t="s">
        <v>336</v>
      </c>
      <c r="S388">
        <v>348.714</v>
      </c>
      <c r="T388">
        <v>348.714</v>
      </c>
      <c r="U388">
        <v>348.714</v>
      </c>
      <c r="V388">
        <v>348.714</v>
      </c>
      <c r="W388">
        <v>348.714</v>
      </c>
      <c r="X388">
        <v>350.34399999999999</v>
      </c>
      <c r="Y388">
        <v>350.23099999999999</v>
      </c>
      <c r="Z388">
        <v>349.52100000000002</v>
      </c>
      <c r="AA388">
        <v>348.714</v>
      </c>
      <c r="AB388">
        <v>348.714</v>
      </c>
      <c r="AC388">
        <v>348.714</v>
      </c>
      <c r="AD388">
        <v>348.714</v>
      </c>
      <c r="AE388">
        <v>348.714</v>
      </c>
      <c r="AF388">
        <v>34.865000000000002</v>
      </c>
      <c r="AG388">
        <v>34.865000000000002</v>
      </c>
      <c r="AH388">
        <v>34.865000000000002</v>
      </c>
      <c r="AI388">
        <v>34.865000000000002</v>
      </c>
      <c r="AJ388">
        <v>34.865000000000002</v>
      </c>
      <c r="AK388">
        <v>34.865000000000002</v>
      </c>
      <c r="AL388">
        <v>34.865000000000002</v>
      </c>
      <c r="AM388">
        <v>34.865000000000002</v>
      </c>
      <c r="AN388">
        <v>34.865000000000002</v>
      </c>
      <c r="AO388">
        <v>34.865000000000002</v>
      </c>
      <c r="AP388">
        <v>3.484</v>
      </c>
      <c r="AQ388">
        <v>3.484</v>
      </c>
      <c r="AR388">
        <v>0.86273713221769999</v>
      </c>
      <c r="AS388">
        <v>0.97932241566610001</v>
      </c>
      <c r="AT388">
        <v>1.0917807873479</v>
      </c>
      <c r="AU388">
        <v>1.2004261662355999</v>
      </c>
      <c r="AV388">
        <v>1.3079545388281999</v>
      </c>
      <c r="AW388">
        <v>1.4107007405920999</v>
      </c>
      <c r="AX388">
        <v>1.5072801095960999</v>
      </c>
      <c r="AY388">
        <v>1.6070263383814001</v>
      </c>
      <c r="AZ388">
        <v>1.7302133626645</v>
      </c>
      <c r="BA388">
        <v>1.839736265694</v>
      </c>
      <c r="BB388">
        <v>1.935152675221</v>
      </c>
      <c r="BC388">
        <v>2.0201225869321999</v>
      </c>
      <c r="BD388">
        <v>2.0979585071799001</v>
      </c>
      <c r="BE388">
        <v>2.1712682435578001</v>
      </c>
      <c r="BF388">
        <v>2.2421460096199</v>
      </c>
      <c r="BG388">
        <v>2.3121643255477</v>
      </c>
      <c r="BH388">
        <v>2.3823388505550001</v>
      </c>
      <c r="BI388">
        <v>2.4531004887218</v>
      </c>
      <c r="BJ388">
        <v>2.5242934409483002</v>
      </c>
      <c r="BK388">
        <v>2.5952132397843002</v>
      </c>
      <c r="BL388">
        <v>2.6645320799004</v>
      </c>
      <c r="BM388">
        <v>2.7307008467706999</v>
      </c>
      <c r="BN388">
        <v>2.7923178759652001</v>
      </c>
      <c r="BO388">
        <v>2.8479401877758002</v>
      </c>
      <c r="BP388">
        <v>2.8972243645427</v>
      </c>
      <c r="BQ388">
        <v>2.9424514307449998</v>
      </c>
      <c r="BR388">
        <v>3.0115416254961</v>
      </c>
      <c r="BS388">
        <v>3.2591159036328001</v>
      </c>
      <c r="BT388">
        <v>3.5885696836026</v>
      </c>
      <c r="BU388">
        <v>3.8778629486881999</v>
      </c>
      <c r="BV388">
        <v>4.1346730535345992</v>
      </c>
      <c r="BW388">
        <v>4.3656571178327006</v>
      </c>
      <c r="BX388">
        <v>4.5761231260985999</v>
      </c>
      <c r="BY388">
        <v>4.7704139347982997</v>
      </c>
      <c r="BZ388">
        <v>4.9519537951935986</v>
      </c>
      <c r="CA388">
        <v>5.1234514576915</v>
      </c>
      <c r="CB388">
        <v>5.2870323295402999</v>
      </c>
      <c r="CC388">
        <v>5.4464643282837004</v>
      </c>
      <c r="CD388">
        <v>5.6047916257837</v>
      </c>
      <c r="CE388">
        <v>5.7644856162653992</v>
      </c>
      <c r="CF388">
        <v>5.9275523979817999</v>
      </c>
      <c r="CG388">
        <v>6.0962930402589999</v>
      </c>
      <c r="CH388">
        <v>6.2734394683303014</v>
      </c>
      <c r="CI388">
        <v>6.4591395640054001</v>
      </c>
      <c r="CJ388">
        <v>6.6546632304664</v>
      </c>
      <c r="CK388">
        <v>6.8610147093120997</v>
      </c>
      <c r="CL388">
        <v>7.0790143645945003</v>
      </c>
      <c r="CM388">
        <v>7.3797814914359998</v>
      </c>
      <c r="CN388">
        <v>7.7721594345006997</v>
      </c>
      <c r="CO388">
        <v>8.2527717226105004</v>
      </c>
      <c r="CP388">
        <v>8.820146104884401</v>
      </c>
    </row>
    <row r="389" spans="4:94" x14ac:dyDescent="0.2">
      <c r="D389" t="s">
        <v>72</v>
      </c>
      <c r="E389" t="s">
        <v>87</v>
      </c>
      <c r="F389" t="s">
        <v>106</v>
      </c>
      <c r="G389" t="s">
        <v>109</v>
      </c>
      <c r="H389" t="s">
        <v>110</v>
      </c>
      <c r="J389" t="s">
        <v>90</v>
      </c>
      <c r="K389" t="s">
        <v>90</v>
      </c>
      <c r="L389" t="s">
        <v>99</v>
      </c>
      <c r="M389" t="s">
        <v>7</v>
      </c>
      <c r="N389">
        <v>1</v>
      </c>
      <c r="O389">
        <v>1</v>
      </c>
      <c r="P389">
        <v>1</v>
      </c>
      <c r="Q389" t="s">
        <v>337</v>
      </c>
      <c r="S389">
        <v>28.158000000000001</v>
      </c>
      <c r="T389">
        <v>90.897000000000006</v>
      </c>
      <c r="U389">
        <v>90.897000000000006</v>
      </c>
      <c r="V389">
        <v>90.897000000000006</v>
      </c>
      <c r="W389">
        <v>90.897000000000006</v>
      </c>
      <c r="X389">
        <v>90.897000000000006</v>
      </c>
      <c r="Y389">
        <v>90.897000000000006</v>
      </c>
      <c r="Z389">
        <v>90.897000000000006</v>
      </c>
      <c r="AA389">
        <v>90.897000000000006</v>
      </c>
      <c r="AB389">
        <v>90.897000000000006</v>
      </c>
      <c r="AC389">
        <v>90.897000000000006</v>
      </c>
      <c r="AD389">
        <v>90.897000000000006</v>
      </c>
      <c r="AE389">
        <v>90.897000000000006</v>
      </c>
      <c r="AF389">
        <v>90.897000000000006</v>
      </c>
      <c r="AG389">
        <v>90.897000000000006</v>
      </c>
      <c r="AH389">
        <v>90.897000000000006</v>
      </c>
      <c r="AI389">
        <v>90.897000000000006</v>
      </c>
      <c r="AJ389">
        <v>90.897000000000006</v>
      </c>
      <c r="AK389">
        <v>90.897000000000006</v>
      </c>
      <c r="AL389">
        <v>90.897000000000006</v>
      </c>
      <c r="AM389">
        <v>0</v>
      </c>
      <c r="AN389">
        <v>0</v>
      </c>
      <c r="AO389">
        <v>0</v>
      </c>
      <c r="AP389">
        <v>0</v>
      </c>
      <c r="AQ389">
        <v>0</v>
      </c>
      <c r="AR389">
        <v>3823.656304128273</v>
      </c>
      <c r="AS389">
        <v>3798.9182602346032</v>
      </c>
      <c r="AT389">
        <v>3774.0272037556419</v>
      </c>
      <c r="AU389">
        <v>3783.7132325814259</v>
      </c>
      <c r="AV389">
        <v>3713.5297812410222</v>
      </c>
      <c r="AW389">
        <v>3644.3984274598761</v>
      </c>
      <c r="AX389">
        <v>4202.1405855845614</v>
      </c>
      <c r="AY389">
        <v>4598.0450489802779</v>
      </c>
      <c r="AZ389">
        <v>4638.8890019393139</v>
      </c>
      <c r="BA389">
        <v>4724.5743607514323</v>
      </c>
      <c r="BB389">
        <v>4866.9652976536972</v>
      </c>
      <c r="BC389">
        <v>5050.6319201531342</v>
      </c>
      <c r="BD389">
        <v>5263.7596930607824</v>
      </c>
      <c r="BE389">
        <v>5488.879330899028</v>
      </c>
      <c r="BF389">
        <v>5706.9823539941408</v>
      </c>
      <c r="BG389">
        <v>5898.4121588343532</v>
      </c>
      <c r="BH389">
        <v>6043.8507434246667</v>
      </c>
      <c r="BI389">
        <v>6125.2900561867937</v>
      </c>
      <c r="BJ389">
        <v>6127.0406696994532</v>
      </c>
      <c r="BK389">
        <v>6053.1170850974386</v>
      </c>
      <c r="BL389">
        <v>5900.5244560032688</v>
      </c>
      <c r="BM389">
        <v>5697.8908230284824</v>
      </c>
      <c r="BN389">
        <v>5428.2079086364784</v>
      </c>
      <c r="BO389">
        <v>5104.272339687629</v>
      </c>
      <c r="BP389">
        <v>4752.179964449846</v>
      </c>
      <c r="BQ389">
        <v>4497.2229427995844</v>
      </c>
      <c r="BR389">
        <v>4317.6435771692477</v>
      </c>
      <c r="BS389">
        <v>4670.3889990375956</v>
      </c>
      <c r="BT389">
        <v>5174.83153193812</v>
      </c>
      <c r="BU389">
        <v>5685.2081855315873</v>
      </c>
      <c r="BV389">
        <v>6188.9352387788495</v>
      </c>
      <c r="BW389">
        <v>6678.4387565756988</v>
      </c>
      <c r="BX389">
        <v>7148.7790822997968</v>
      </c>
      <c r="BY389">
        <v>7585.21696625799</v>
      </c>
      <c r="BZ389">
        <v>8026.0715757060389</v>
      </c>
      <c r="CA389">
        <v>8427.9471157258504</v>
      </c>
      <c r="CB389">
        <v>8809.0380261704304</v>
      </c>
      <c r="CC389">
        <v>9162.3269757481485</v>
      </c>
      <c r="CD389">
        <v>9478.62543867368</v>
      </c>
      <c r="CE389">
        <v>9748.8109752957498</v>
      </c>
      <c r="CF389">
        <v>9977.1376145709201</v>
      </c>
      <c r="CG389">
        <v>10170.0764346957</v>
      </c>
      <c r="CH389">
        <v>10278.5502629763</v>
      </c>
      <c r="CI389">
        <v>10323.760096899199</v>
      </c>
      <c r="CJ389">
        <v>10303.2167307706</v>
      </c>
      <c r="CK389">
        <v>10217.3281728805</v>
      </c>
      <c r="CL389">
        <v>11486.455809787099</v>
      </c>
      <c r="CM389">
        <v>13020.3947511511</v>
      </c>
      <c r="CN389">
        <v>14571.214111732001</v>
      </c>
      <c r="CO389">
        <v>16090.9539712403</v>
      </c>
      <c r="CP389">
        <v>14672.8093417788</v>
      </c>
    </row>
    <row r="390" spans="4:94" x14ac:dyDescent="0.2">
      <c r="D390" t="s">
        <v>72</v>
      </c>
      <c r="E390" t="s">
        <v>87</v>
      </c>
      <c r="F390" t="s">
        <v>106</v>
      </c>
      <c r="G390" t="s">
        <v>109</v>
      </c>
      <c r="H390" t="s">
        <v>111</v>
      </c>
      <c r="J390" t="s">
        <v>101</v>
      </c>
      <c r="K390" t="s">
        <v>102</v>
      </c>
      <c r="L390" t="s">
        <v>102</v>
      </c>
      <c r="M390" t="s">
        <v>7</v>
      </c>
      <c r="N390">
        <v>1</v>
      </c>
      <c r="O390">
        <v>0</v>
      </c>
      <c r="P390">
        <v>1</v>
      </c>
      <c r="Q390" t="s">
        <v>338</v>
      </c>
      <c r="S390">
        <v>-99999</v>
      </c>
      <c r="T390">
        <v>-99999</v>
      </c>
      <c r="U390">
        <v>-99999</v>
      </c>
      <c r="V390">
        <v>-99999</v>
      </c>
      <c r="W390">
        <v>-99999</v>
      </c>
      <c r="X390">
        <v>-99999</v>
      </c>
      <c r="Y390">
        <v>-99999</v>
      </c>
      <c r="Z390">
        <v>-99999</v>
      </c>
      <c r="AA390">
        <v>-99999</v>
      </c>
      <c r="AB390">
        <v>-99999</v>
      </c>
      <c r="AC390">
        <v>-99999</v>
      </c>
      <c r="AD390">
        <v>-99999</v>
      </c>
      <c r="AE390">
        <v>-99999</v>
      </c>
      <c r="AF390">
        <v>-99999</v>
      </c>
      <c r="AG390">
        <v>-99999</v>
      </c>
      <c r="AH390">
        <v>-99999</v>
      </c>
      <c r="AI390">
        <v>-99999</v>
      </c>
      <c r="AJ390">
        <v>-99999</v>
      </c>
      <c r="AK390">
        <v>-99999</v>
      </c>
      <c r="AL390">
        <v>-99999</v>
      </c>
      <c r="AM390">
        <v>-99999</v>
      </c>
      <c r="AN390">
        <v>-99999</v>
      </c>
      <c r="AO390">
        <v>-99999</v>
      </c>
      <c r="AP390">
        <v>-99999</v>
      </c>
      <c r="AQ390">
        <v>-99999</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v>
      </c>
      <c r="BT390">
        <v>0</v>
      </c>
      <c r="BU390">
        <v>0</v>
      </c>
      <c r="BV390">
        <v>0</v>
      </c>
      <c r="BW390">
        <v>0</v>
      </c>
      <c r="BX390">
        <v>0</v>
      </c>
      <c r="BY390">
        <v>0</v>
      </c>
      <c r="BZ390">
        <v>0</v>
      </c>
      <c r="CA390">
        <v>0</v>
      </c>
      <c r="CB390">
        <v>0</v>
      </c>
      <c r="CC390">
        <v>0</v>
      </c>
      <c r="CD390">
        <v>0</v>
      </c>
      <c r="CE390">
        <v>0</v>
      </c>
      <c r="CF390">
        <v>0</v>
      </c>
      <c r="CG390">
        <v>0</v>
      </c>
      <c r="CH390">
        <v>0</v>
      </c>
      <c r="CI390">
        <v>0</v>
      </c>
      <c r="CJ390">
        <v>0</v>
      </c>
      <c r="CK390">
        <v>0</v>
      </c>
      <c r="CL390">
        <v>0</v>
      </c>
      <c r="CM390">
        <v>0</v>
      </c>
      <c r="CN390">
        <v>0</v>
      </c>
      <c r="CO390">
        <v>0</v>
      </c>
      <c r="CP390">
        <v>0</v>
      </c>
    </row>
    <row r="391" spans="4:94" x14ac:dyDescent="0.2">
      <c r="D391" t="s">
        <v>72</v>
      </c>
      <c r="E391" t="s">
        <v>87</v>
      </c>
      <c r="F391" t="s">
        <v>106</v>
      </c>
      <c r="G391" t="s">
        <v>109</v>
      </c>
      <c r="H391" t="s">
        <v>112</v>
      </c>
      <c r="J391" t="s">
        <v>101</v>
      </c>
      <c r="K391" t="s">
        <v>102</v>
      </c>
      <c r="L391" t="s">
        <v>102</v>
      </c>
      <c r="M391" t="s">
        <v>7</v>
      </c>
      <c r="N391">
        <v>1</v>
      </c>
      <c r="O391">
        <v>0</v>
      </c>
      <c r="P391">
        <v>1</v>
      </c>
      <c r="Q391" t="s">
        <v>339</v>
      </c>
      <c r="S391">
        <v>-99999</v>
      </c>
      <c r="T391">
        <v>-99999</v>
      </c>
      <c r="U391">
        <v>-99999</v>
      </c>
      <c r="V391">
        <v>-99999</v>
      </c>
      <c r="W391">
        <v>-99999</v>
      </c>
      <c r="X391">
        <v>-99999</v>
      </c>
      <c r="Y391">
        <v>-99999</v>
      </c>
      <c r="Z391">
        <v>-99999</v>
      </c>
      <c r="AA391">
        <v>-99999</v>
      </c>
      <c r="AB391">
        <v>-99999</v>
      </c>
      <c r="AC391">
        <v>-99999</v>
      </c>
      <c r="AD391">
        <v>-99999</v>
      </c>
      <c r="AE391">
        <v>-99999</v>
      </c>
      <c r="AF391">
        <v>-99999</v>
      </c>
      <c r="AG391">
        <v>-99999</v>
      </c>
      <c r="AH391">
        <v>-99999</v>
      </c>
      <c r="AI391">
        <v>-99999</v>
      </c>
      <c r="AJ391">
        <v>-99999</v>
      </c>
      <c r="AK391">
        <v>-99999</v>
      </c>
      <c r="AL391">
        <v>-99999</v>
      </c>
      <c r="AM391">
        <v>-99999</v>
      </c>
      <c r="AN391">
        <v>-99999</v>
      </c>
      <c r="AO391">
        <v>-99999</v>
      </c>
      <c r="AP391">
        <v>-99999</v>
      </c>
      <c r="AQ391">
        <v>-99999</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0</v>
      </c>
      <c r="BT391">
        <v>0</v>
      </c>
      <c r="BU391">
        <v>0</v>
      </c>
      <c r="BV391">
        <v>0</v>
      </c>
      <c r="BW391">
        <v>0</v>
      </c>
      <c r="BX391">
        <v>0</v>
      </c>
      <c r="BY391">
        <v>0</v>
      </c>
      <c r="BZ391">
        <v>0</v>
      </c>
      <c r="CA391">
        <v>0</v>
      </c>
      <c r="CB391">
        <v>0</v>
      </c>
      <c r="CC391">
        <v>0</v>
      </c>
      <c r="CD391">
        <v>0</v>
      </c>
      <c r="CE391">
        <v>0</v>
      </c>
      <c r="CF391">
        <v>0</v>
      </c>
      <c r="CG391">
        <v>0</v>
      </c>
      <c r="CH391">
        <v>0</v>
      </c>
      <c r="CI391">
        <v>0</v>
      </c>
      <c r="CJ391">
        <v>0</v>
      </c>
      <c r="CK391">
        <v>0</v>
      </c>
      <c r="CL391">
        <v>0</v>
      </c>
      <c r="CM391">
        <v>0</v>
      </c>
      <c r="CN391">
        <v>0</v>
      </c>
      <c r="CO391">
        <v>0</v>
      </c>
      <c r="CP391">
        <v>0</v>
      </c>
    </row>
    <row r="392" spans="4:94" x14ac:dyDescent="0.2">
      <c r="D392" t="s">
        <v>72</v>
      </c>
      <c r="E392" t="s">
        <v>87</v>
      </c>
      <c r="F392" t="s">
        <v>106</v>
      </c>
      <c r="G392" t="s">
        <v>109</v>
      </c>
      <c r="H392" t="s">
        <v>113</v>
      </c>
      <c r="J392" t="s">
        <v>101</v>
      </c>
      <c r="K392" t="s">
        <v>102</v>
      </c>
      <c r="L392" t="s">
        <v>102</v>
      </c>
      <c r="M392" t="s">
        <v>7</v>
      </c>
      <c r="N392">
        <v>1</v>
      </c>
      <c r="O392">
        <v>0</v>
      </c>
      <c r="P392">
        <v>1</v>
      </c>
      <c r="Q392" t="s">
        <v>340</v>
      </c>
      <c r="S392">
        <v>-99999</v>
      </c>
      <c r="T392">
        <v>-99999</v>
      </c>
      <c r="U392">
        <v>-99999</v>
      </c>
      <c r="V392">
        <v>-99999</v>
      </c>
      <c r="W392">
        <v>-99999</v>
      </c>
      <c r="X392">
        <v>-99999</v>
      </c>
      <c r="Y392">
        <v>-99999</v>
      </c>
      <c r="Z392">
        <v>-99999</v>
      </c>
      <c r="AA392">
        <v>-99999</v>
      </c>
      <c r="AB392">
        <v>-99999</v>
      </c>
      <c r="AC392">
        <v>-99999</v>
      </c>
      <c r="AD392">
        <v>-99999</v>
      </c>
      <c r="AE392">
        <v>-99999</v>
      </c>
      <c r="AF392">
        <v>-99999</v>
      </c>
      <c r="AG392">
        <v>-99999</v>
      </c>
      <c r="AH392">
        <v>-99999</v>
      </c>
      <c r="AI392">
        <v>-99999</v>
      </c>
      <c r="AJ392">
        <v>-99999</v>
      </c>
      <c r="AK392">
        <v>-99999</v>
      </c>
      <c r="AL392">
        <v>-99999</v>
      </c>
      <c r="AM392">
        <v>-99999</v>
      </c>
      <c r="AN392">
        <v>-99999</v>
      </c>
      <c r="AO392">
        <v>-99999</v>
      </c>
      <c r="AP392">
        <v>-99999</v>
      </c>
      <c r="AQ392">
        <v>-99999</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v>
      </c>
      <c r="BT392">
        <v>0</v>
      </c>
      <c r="BU392">
        <v>0</v>
      </c>
      <c r="BV392">
        <v>0</v>
      </c>
      <c r="BW392">
        <v>0</v>
      </c>
      <c r="BX392">
        <v>0</v>
      </c>
      <c r="BY392">
        <v>0</v>
      </c>
      <c r="BZ392">
        <v>0</v>
      </c>
      <c r="CA392">
        <v>0</v>
      </c>
      <c r="CB392">
        <v>0</v>
      </c>
      <c r="CC392">
        <v>0</v>
      </c>
      <c r="CD392">
        <v>0</v>
      </c>
      <c r="CE392">
        <v>0</v>
      </c>
      <c r="CF392">
        <v>0</v>
      </c>
      <c r="CG392">
        <v>0</v>
      </c>
      <c r="CH392">
        <v>0</v>
      </c>
      <c r="CI392">
        <v>0</v>
      </c>
      <c r="CJ392">
        <v>0</v>
      </c>
      <c r="CK392">
        <v>0</v>
      </c>
      <c r="CL392">
        <v>0</v>
      </c>
      <c r="CM392">
        <v>0</v>
      </c>
      <c r="CN392">
        <v>0</v>
      </c>
      <c r="CO392">
        <v>0</v>
      </c>
      <c r="CP392">
        <v>0</v>
      </c>
    </row>
    <row r="393" spans="4:94" x14ac:dyDescent="0.2">
      <c r="D393" t="s">
        <v>72</v>
      </c>
      <c r="E393" t="s">
        <v>87</v>
      </c>
      <c r="F393" t="s">
        <v>106</v>
      </c>
      <c r="G393" t="s">
        <v>109</v>
      </c>
      <c r="H393" t="s">
        <v>114</v>
      </c>
      <c r="J393" t="s">
        <v>101</v>
      </c>
      <c r="K393" t="s">
        <v>102</v>
      </c>
      <c r="L393" t="s">
        <v>102</v>
      </c>
      <c r="M393" t="s">
        <v>7</v>
      </c>
      <c r="N393">
        <v>1</v>
      </c>
      <c r="O393">
        <v>0</v>
      </c>
      <c r="P393">
        <v>1</v>
      </c>
      <c r="Q393" t="s">
        <v>341</v>
      </c>
      <c r="S393">
        <v>-99999</v>
      </c>
      <c r="T393">
        <v>-99999</v>
      </c>
      <c r="U393">
        <v>-99999</v>
      </c>
      <c r="V393">
        <v>-99999</v>
      </c>
      <c r="W393">
        <v>-99999</v>
      </c>
      <c r="X393">
        <v>-99999</v>
      </c>
      <c r="Y393">
        <v>-99999</v>
      </c>
      <c r="Z393">
        <v>-99999</v>
      </c>
      <c r="AA393">
        <v>-99999</v>
      </c>
      <c r="AB393">
        <v>-99999</v>
      </c>
      <c r="AC393">
        <v>-99999</v>
      </c>
      <c r="AD393">
        <v>-99999</v>
      </c>
      <c r="AE393">
        <v>-99999</v>
      </c>
      <c r="AF393">
        <v>-99999</v>
      </c>
      <c r="AG393">
        <v>-99999</v>
      </c>
      <c r="AH393">
        <v>-99999</v>
      </c>
      <c r="AI393">
        <v>-99999</v>
      </c>
      <c r="AJ393">
        <v>-99999</v>
      </c>
      <c r="AK393">
        <v>-99999</v>
      </c>
      <c r="AL393">
        <v>-99999</v>
      </c>
      <c r="AM393">
        <v>-99999</v>
      </c>
      <c r="AN393">
        <v>-99999</v>
      </c>
      <c r="AO393">
        <v>-99999</v>
      </c>
      <c r="AP393">
        <v>-99999</v>
      </c>
      <c r="AQ393">
        <v>-99999</v>
      </c>
      <c r="AR393">
        <v>72.349294356187599</v>
      </c>
      <c r="AS393">
        <v>68.804372720654783</v>
      </c>
      <c r="AT393">
        <v>65.435251909370905</v>
      </c>
      <c r="AU393">
        <v>62.262999470819899</v>
      </c>
      <c r="AV393">
        <v>59.514566787195697</v>
      </c>
      <c r="AW393">
        <v>57.382668913106599</v>
      </c>
      <c r="AX393">
        <v>56.26384032611</v>
      </c>
      <c r="AY393">
        <v>65.913067483621205</v>
      </c>
      <c r="AZ393">
        <v>65.231878760545399</v>
      </c>
      <c r="BA393">
        <v>64.584731984017992</v>
      </c>
      <c r="BB393">
        <v>64.071207589958718</v>
      </c>
      <c r="BC393">
        <v>63.841277089405501</v>
      </c>
      <c r="BD393">
        <v>64.082919495537595</v>
      </c>
      <c r="BE393">
        <v>64.846334043314002</v>
      </c>
      <c r="BF393">
        <v>66.119106524269611</v>
      </c>
      <c r="BG393">
        <v>67.819340047425996</v>
      </c>
      <c r="BH393">
        <v>69.798704539221106</v>
      </c>
      <c r="BI393">
        <v>71.851730111103009</v>
      </c>
      <c r="BJ393">
        <v>73.730371688126297</v>
      </c>
      <c r="BK393">
        <v>75.176668833175796</v>
      </c>
      <c r="BL393">
        <v>75.986969977336003</v>
      </c>
      <c r="BM393">
        <v>76.007251100564005</v>
      </c>
      <c r="BN393">
        <v>75.158603147355393</v>
      </c>
      <c r="BO393">
        <v>73.347904872040402</v>
      </c>
      <c r="BP393">
        <v>70.612020802591402</v>
      </c>
      <c r="BQ393">
        <v>67.382077419023801</v>
      </c>
      <c r="BR393">
        <v>64.81312448920761</v>
      </c>
      <c r="BS393">
        <v>63.054654853441498</v>
      </c>
      <c r="BT393">
        <v>61.667127998553703</v>
      </c>
      <c r="BU393">
        <v>60.021708997563302</v>
      </c>
      <c r="BV393">
        <v>57.223594178053503</v>
      </c>
      <c r="BW393">
        <v>54.5429103326477</v>
      </c>
      <c r="BX393">
        <v>51.975608658436087</v>
      </c>
      <c r="BY393">
        <v>49.516686774158899</v>
      </c>
      <c r="BZ393">
        <v>47.169366397971608</v>
      </c>
      <c r="CA393">
        <v>44.929650757516299</v>
      </c>
      <c r="CB393">
        <v>42.796756840124701</v>
      </c>
      <c r="CC393">
        <v>40.764437835372213</v>
      </c>
      <c r="CD393">
        <v>38.826610573518003</v>
      </c>
      <c r="CE393">
        <v>36.9774975147402</v>
      </c>
      <c r="CF393">
        <v>35.213126143301999</v>
      </c>
      <c r="CG393">
        <v>34.045878377822604</v>
      </c>
      <c r="CH393">
        <v>32.8648026354441</v>
      </c>
      <c r="CI393">
        <v>31.6587895854768</v>
      </c>
      <c r="CJ393">
        <v>30.427384691695</v>
      </c>
      <c r="CK393">
        <v>29.1733892367481</v>
      </c>
      <c r="CL393">
        <v>30.561923040479201</v>
      </c>
      <c r="CM393">
        <v>29.585737314883598</v>
      </c>
      <c r="CN393">
        <v>28.738042452862398</v>
      </c>
      <c r="CO393">
        <v>28.0501962060148</v>
      </c>
      <c r="CP393">
        <v>26.504973830692698</v>
      </c>
    </row>
    <row r="394" spans="4:94" x14ac:dyDescent="0.2">
      <c r="D394" t="s">
        <v>72</v>
      </c>
      <c r="E394" t="s">
        <v>87</v>
      </c>
      <c r="F394" t="s">
        <v>115</v>
      </c>
      <c r="G394" t="s">
        <v>116</v>
      </c>
      <c r="H394" t="s">
        <v>117</v>
      </c>
      <c r="J394" t="s">
        <v>118</v>
      </c>
      <c r="K394" t="s">
        <v>118</v>
      </c>
      <c r="M394" t="s">
        <v>7</v>
      </c>
      <c r="N394">
        <v>1</v>
      </c>
      <c r="O394">
        <v>0</v>
      </c>
      <c r="P394">
        <v>1</v>
      </c>
      <c r="Q394" t="s">
        <v>342</v>
      </c>
      <c r="S394">
        <v>-99999</v>
      </c>
      <c r="T394">
        <v>-99999</v>
      </c>
      <c r="U394">
        <v>-99999</v>
      </c>
      <c r="V394">
        <v>-99999</v>
      </c>
      <c r="W394">
        <v>-99999</v>
      </c>
      <c r="X394">
        <v>-99999</v>
      </c>
      <c r="Y394">
        <v>-99999</v>
      </c>
      <c r="Z394">
        <v>-99999</v>
      </c>
      <c r="AA394">
        <v>-99999</v>
      </c>
      <c r="AB394">
        <v>-99999</v>
      </c>
      <c r="AC394">
        <v>-99999</v>
      </c>
      <c r="AD394">
        <v>-99999</v>
      </c>
      <c r="AE394">
        <v>-99999</v>
      </c>
      <c r="AF394">
        <v>-99999</v>
      </c>
      <c r="AG394">
        <v>-99999</v>
      </c>
      <c r="AH394">
        <v>-99999</v>
      </c>
      <c r="AI394">
        <v>-99999</v>
      </c>
      <c r="AJ394">
        <v>-99999</v>
      </c>
      <c r="AK394">
        <v>-99999</v>
      </c>
      <c r="AL394">
        <v>-99999</v>
      </c>
      <c r="AM394">
        <v>-99999</v>
      </c>
      <c r="AN394">
        <v>-99999</v>
      </c>
      <c r="AO394">
        <v>-99999</v>
      </c>
      <c r="AP394">
        <v>-99999</v>
      </c>
      <c r="AQ394">
        <v>-99999</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v>
      </c>
      <c r="BO394">
        <v>0</v>
      </c>
      <c r="BP394">
        <v>0</v>
      </c>
      <c r="BQ394">
        <v>0</v>
      </c>
      <c r="BR394">
        <v>0</v>
      </c>
      <c r="BS394">
        <v>0</v>
      </c>
      <c r="BT394">
        <v>0</v>
      </c>
      <c r="BU394">
        <v>0</v>
      </c>
      <c r="BV394">
        <v>0</v>
      </c>
      <c r="BW394">
        <v>0</v>
      </c>
      <c r="BX394">
        <v>0</v>
      </c>
      <c r="BY394">
        <v>0</v>
      </c>
      <c r="BZ394">
        <v>0</v>
      </c>
      <c r="CA394">
        <v>0</v>
      </c>
      <c r="CB394">
        <v>0</v>
      </c>
      <c r="CC394">
        <v>0</v>
      </c>
      <c r="CD394">
        <v>0</v>
      </c>
      <c r="CE394">
        <v>0</v>
      </c>
      <c r="CF394">
        <v>0</v>
      </c>
      <c r="CG394">
        <v>0</v>
      </c>
      <c r="CH394">
        <v>0</v>
      </c>
      <c r="CI394">
        <v>0</v>
      </c>
      <c r="CJ394">
        <v>0</v>
      </c>
      <c r="CK394">
        <v>0</v>
      </c>
      <c r="CL394">
        <v>0</v>
      </c>
      <c r="CM394">
        <v>0</v>
      </c>
      <c r="CN394">
        <v>0</v>
      </c>
      <c r="CO394">
        <v>0</v>
      </c>
      <c r="CP394">
        <v>0</v>
      </c>
    </row>
    <row r="395" spans="4:94" x14ac:dyDescent="0.2">
      <c r="D395" t="s">
        <v>72</v>
      </c>
      <c r="E395" t="s">
        <v>87</v>
      </c>
      <c r="F395" t="s">
        <v>115</v>
      </c>
      <c r="G395" t="s">
        <v>116</v>
      </c>
      <c r="H395" t="s">
        <v>119</v>
      </c>
      <c r="J395" t="s">
        <v>118</v>
      </c>
      <c r="K395" t="s">
        <v>118</v>
      </c>
      <c r="M395" t="s">
        <v>7</v>
      </c>
      <c r="N395">
        <v>1</v>
      </c>
      <c r="O395">
        <v>0</v>
      </c>
      <c r="P395">
        <v>1</v>
      </c>
      <c r="Q395" t="s">
        <v>343</v>
      </c>
      <c r="S395">
        <v>-99999</v>
      </c>
      <c r="T395">
        <v>-99999</v>
      </c>
      <c r="U395">
        <v>-99999</v>
      </c>
      <c r="V395">
        <v>-99999</v>
      </c>
      <c r="W395">
        <v>-99999</v>
      </c>
      <c r="X395">
        <v>-99999</v>
      </c>
      <c r="Y395">
        <v>-99999</v>
      </c>
      <c r="Z395">
        <v>-99999</v>
      </c>
      <c r="AA395">
        <v>-99999</v>
      </c>
      <c r="AB395">
        <v>-99999</v>
      </c>
      <c r="AC395">
        <v>-99999</v>
      </c>
      <c r="AD395">
        <v>-99999</v>
      </c>
      <c r="AE395">
        <v>-99999</v>
      </c>
      <c r="AF395">
        <v>-99999</v>
      </c>
      <c r="AG395">
        <v>-99999</v>
      </c>
      <c r="AH395">
        <v>-99999</v>
      </c>
      <c r="AI395">
        <v>-99999</v>
      </c>
      <c r="AJ395">
        <v>-99999</v>
      </c>
      <c r="AK395">
        <v>-99999</v>
      </c>
      <c r="AL395">
        <v>-99999</v>
      </c>
      <c r="AM395">
        <v>-99999</v>
      </c>
      <c r="AN395">
        <v>-99999</v>
      </c>
      <c r="AO395">
        <v>-99999</v>
      </c>
      <c r="AP395">
        <v>-99999</v>
      </c>
      <c r="AQ395">
        <v>-99999</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0</v>
      </c>
      <c r="BT395">
        <v>0</v>
      </c>
      <c r="BU395">
        <v>0</v>
      </c>
      <c r="BV395">
        <v>0</v>
      </c>
      <c r="BW395">
        <v>0</v>
      </c>
      <c r="BX395">
        <v>0</v>
      </c>
      <c r="BY395">
        <v>0</v>
      </c>
      <c r="BZ395">
        <v>0</v>
      </c>
      <c r="CA395">
        <v>0</v>
      </c>
      <c r="CB395">
        <v>0</v>
      </c>
      <c r="CC395">
        <v>0</v>
      </c>
      <c r="CD395">
        <v>0</v>
      </c>
      <c r="CE395">
        <v>0</v>
      </c>
      <c r="CF395">
        <v>0</v>
      </c>
      <c r="CG395">
        <v>0</v>
      </c>
      <c r="CH395">
        <v>0</v>
      </c>
      <c r="CI395">
        <v>0</v>
      </c>
      <c r="CJ395">
        <v>0</v>
      </c>
      <c r="CK395">
        <v>0</v>
      </c>
      <c r="CL395">
        <v>0</v>
      </c>
      <c r="CM395">
        <v>0</v>
      </c>
      <c r="CN395">
        <v>0</v>
      </c>
      <c r="CO395">
        <v>0</v>
      </c>
      <c r="CP395">
        <v>0</v>
      </c>
    </row>
    <row r="396" spans="4:94" x14ac:dyDescent="0.2">
      <c r="D396" t="s">
        <v>72</v>
      </c>
      <c r="E396" t="s">
        <v>87</v>
      </c>
      <c r="F396" t="s">
        <v>115</v>
      </c>
      <c r="G396" t="s">
        <v>120</v>
      </c>
      <c r="H396" t="s">
        <v>121</v>
      </c>
      <c r="J396" t="s">
        <v>101</v>
      </c>
      <c r="K396" t="s">
        <v>102</v>
      </c>
      <c r="L396" t="s">
        <v>102</v>
      </c>
      <c r="M396" t="s">
        <v>7</v>
      </c>
      <c r="N396">
        <v>1</v>
      </c>
      <c r="O396">
        <v>0</v>
      </c>
      <c r="P396">
        <v>1</v>
      </c>
      <c r="Q396" t="s">
        <v>344</v>
      </c>
      <c r="S396">
        <v>-99999</v>
      </c>
      <c r="T396">
        <v>-99999</v>
      </c>
      <c r="U396">
        <v>-99999</v>
      </c>
      <c r="V396">
        <v>-99999</v>
      </c>
      <c r="W396">
        <v>-99999</v>
      </c>
      <c r="X396">
        <v>-99999</v>
      </c>
      <c r="Y396">
        <v>-99999</v>
      </c>
      <c r="Z396">
        <v>-99999</v>
      </c>
      <c r="AA396">
        <v>-99999</v>
      </c>
      <c r="AB396">
        <v>-99999</v>
      </c>
      <c r="AC396">
        <v>-99999</v>
      </c>
      <c r="AD396">
        <v>-99999</v>
      </c>
      <c r="AE396">
        <v>-99999</v>
      </c>
      <c r="AF396">
        <v>-99999</v>
      </c>
      <c r="AG396">
        <v>-99999</v>
      </c>
      <c r="AH396">
        <v>-99999</v>
      </c>
      <c r="AI396">
        <v>-99999</v>
      </c>
      <c r="AJ396">
        <v>-99999</v>
      </c>
      <c r="AK396">
        <v>-99999</v>
      </c>
      <c r="AL396">
        <v>-99999</v>
      </c>
      <c r="AM396">
        <v>-99999</v>
      </c>
      <c r="AN396">
        <v>-99999</v>
      </c>
      <c r="AO396">
        <v>-99999</v>
      </c>
      <c r="AP396">
        <v>-99999</v>
      </c>
      <c r="AQ396">
        <v>-99999</v>
      </c>
      <c r="AR396">
        <v>7.3449583924357</v>
      </c>
      <c r="AS396">
        <v>6.9850751075088997</v>
      </c>
      <c r="AT396">
        <v>6.6430392639845994</v>
      </c>
      <c r="AU396">
        <v>6.3274375994124004</v>
      </c>
      <c r="AV396">
        <v>6.0472792504125001</v>
      </c>
      <c r="AW396">
        <v>5.8285548502460998</v>
      </c>
      <c r="AX396">
        <v>5.8918416571911996</v>
      </c>
      <c r="AY396">
        <v>11.124901683632901</v>
      </c>
      <c r="AZ396">
        <v>11.014354415664499</v>
      </c>
      <c r="BA396">
        <v>10.9230760153389</v>
      </c>
      <c r="BB396">
        <v>10.8716359634388</v>
      </c>
      <c r="BC396">
        <v>10.879091462417501</v>
      </c>
      <c r="BD396">
        <v>10.9751118853747</v>
      </c>
      <c r="BE396">
        <v>11.164912697974399</v>
      </c>
      <c r="BF396">
        <v>11.442581517828399</v>
      </c>
      <c r="BG396">
        <v>11.7890030236921</v>
      </c>
      <c r="BH396">
        <v>12.171598935195</v>
      </c>
      <c r="BI396">
        <v>12.5457931544613</v>
      </c>
      <c r="BJ396">
        <v>12.8584557142297</v>
      </c>
      <c r="BK396">
        <v>13.063796164063801</v>
      </c>
      <c r="BL396">
        <v>13.124285235319</v>
      </c>
      <c r="BM396">
        <v>13.027753327258401</v>
      </c>
      <c r="BN396">
        <v>12.759537007600301</v>
      </c>
      <c r="BO396">
        <v>12.313996039283699</v>
      </c>
      <c r="BP396">
        <v>11.7069028446206</v>
      </c>
      <c r="BQ396">
        <v>10.885547943341299</v>
      </c>
      <c r="BR396">
        <v>9.0532571015283008</v>
      </c>
      <c r="BS396">
        <v>6.0197536636980997</v>
      </c>
      <c r="BT396">
        <v>2.6153821086115001</v>
      </c>
      <c r="BU396">
        <v>0</v>
      </c>
      <c r="BV396">
        <v>0</v>
      </c>
      <c r="BW396">
        <v>0</v>
      </c>
      <c r="BX396">
        <v>0</v>
      </c>
      <c r="BY396">
        <v>0</v>
      </c>
      <c r="BZ396">
        <v>0</v>
      </c>
      <c r="CA396">
        <v>0</v>
      </c>
      <c r="CB396">
        <v>0</v>
      </c>
      <c r="CC396">
        <v>0</v>
      </c>
      <c r="CD396">
        <v>0</v>
      </c>
      <c r="CE396">
        <v>0</v>
      </c>
      <c r="CF396">
        <v>0</v>
      </c>
      <c r="CG396">
        <v>0</v>
      </c>
      <c r="CH396">
        <v>0</v>
      </c>
      <c r="CI396">
        <v>0</v>
      </c>
      <c r="CJ396">
        <v>0</v>
      </c>
      <c r="CK396">
        <v>0</v>
      </c>
      <c r="CL396">
        <v>0</v>
      </c>
      <c r="CM396">
        <v>0</v>
      </c>
      <c r="CN396">
        <v>0</v>
      </c>
      <c r="CO396">
        <v>0</v>
      </c>
      <c r="CP396">
        <v>0</v>
      </c>
    </row>
    <row r="397" spans="4:94" x14ac:dyDescent="0.2">
      <c r="D397" t="s">
        <v>72</v>
      </c>
      <c r="E397" t="s">
        <v>87</v>
      </c>
      <c r="F397" t="s">
        <v>115</v>
      </c>
      <c r="G397" t="s">
        <v>120</v>
      </c>
      <c r="H397" t="s">
        <v>122</v>
      </c>
      <c r="J397" t="s">
        <v>101</v>
      </c>
      <c r="K397" t="s">
        <v>102</v>
      </c>
      <c r="L397" t="s">
        <v>102</v>
      </c>
      <c r="M397" t="s">
        <v>7</v>
      </c>
      <c r="N397">
        <v>1</v>
      </c>
      <c r="O397">
        <v>0</v>
      </c>
      <c r="P397">
        <v>1</v>
      </c>
      <c r="Q397" t="s">
        <v>345</v>
      </c>
      <c r="S397">
        <v>-99999</v>
      </c>
      <c r="T397">
        <v>-99999</v>
      </c>
      <c r="U397">
        <v>-99999</v>
      </c>
      <c r="V397">
        <v>-99999</v>
      </c>
      <c r="W397">
        <v>-99999</v>
      </c>
      <c r="X397">
        <v>-99999</v>
      </c>
      <c r="Y397">
        <v>-99999</v>
      </c>
      <c r="Z397">
        <v>-99999</v>
      </c>
      <c r="AA397">
        <v>-99999</v>
      </c>
      <c r="AB397">
        <v>-99999</v>
      </c>
      <c r="AC397">
        <v>-99999</v>
      </c>
      <c r="AD397">
        <v>-99999</v>
      </c>
      <c r="AE397">
        <v>-99999</v>
      </c>
      <c r="AF397">
        <v>-99999</v>
      </c>
      <c r="AG397">
        <v>-99999</v>
      </c>
      <c r="AH397">
        <v>-99999</v>
      </c>
      <c r="AI397">
        <v>-99999</v>
      </c>
      <c r="AJ397">
        <v>-99999</v>
      </c>
      <c r="AK397">
        <v>-99999</v>
      </c>
      <c r="AL397">
        <v>-99999</v>
      </c>
      <c r="AM397">
        <v>-99999</v>
      </c>
      <c r="AN397">
        <v>-99999</v>
      </c>
      <c r="AO397">
        <v>-99999</v>
      </c>
      <c r="AP397">
        <v>-99999</v>
      </c>
      <c r="AQ397">
        <v>-99999</v>
      </c>
      <c r="AR397">
        <v>43.786541700838413</v>
      </c>
      <c r="AS397">
        <v>42.024220515154802</v>
      </c>
      <c r="AT397">
        <v>40.353812582676497</v>
      </c>
      <c r="AU397">
        <v>38.518708856174399</v>
      </c>
      <c r="AV397">
        <v>36.870394776582103</v>
      </c>
      <c r="AW397">
        <v>35.5583792926681</v>
      </c>
      <c r="AX397">
        <v>32.526447579231899</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v>
      </c>
      <c r="BT397">
        <v>0</v>
      </c>
      <c r="BU397">
        <v>0</v>
      </c>
      <c r="BV397">
        <v>0</v>
      </c>
      <c r="BW397">
        <v>0</v>
      </c>
      <c r="BX397">
        <v>0</v>
      </c>
      <c r="BY397">
        <v>0</v>
      </c>
      <c r="BZ397">
        <v>0</v>
      </c>
      <c r="CA397">
        <v>0</v>
      </c>
      <c r="CB397">
        <v>0</v>
      </c>
      <c r="CC397">
        <v>0</v>
      </c>
      <c r="CD397">
        <v>0</v>
      </c>
      <c r="CE397">
        <v>0</v>
      </c>
      <c r="CF397">
        <v>0</v>
      </c>
      <c r="CG397">
        <v>0</v>
      </c>
      <c r="CH397">
        <v>0</v>
      </c>
      <c r="CI397">
        <v>0</v>
      </c>
      <c r="CJ397">
        <v>0</v>
      </c>
      <c r="CK397">
        <v>0</v>
      </c>
      <c r="CL397">
        <v>0</v>
      </c>
      <c r="CM397">
        <v>0</v>
      </c>
      <c r="CN397">
        <v>0</v>
      </c>
      <c r="CO397">
        <v>0</v>
      </c>
      <c r="CP397">
        <v>0</v>
      </c>
    </row>
    <row r="398" spans="4:94" x14ac:dyDescent="0.2">
      <c r="D398" t="s">
        <v>72</v>
      </c>
      <c r="E398" t="s">
        <v>87</v>
      </c>
      <c r="F398" t="s">
        <v>123</v>
      </c>
      <c r="G398" t="s">
        <v>124</v>
      </c>
      <c r="J398" t="s">
        <v>125</v>
      </c>
      <c r="K398" t="s">
        <v>125</v>
      </c>
      <c r="M398" t="s">
        <v>7</v>
      </c>
      <c r="N398">
        <v>1</v>
      </c>
      <c r="O398">
        <v>0</v>
      </c>
      <c r="P398">
        <v>1</v>
      </c>
      <c r="Q398" t="s">
        <v>346</v>
      </c>
      <c r="S398">
        <v>-99999</v>
      </c>
      <c r="T398">
        <v>-99999</v>
      </c>
      <c r="U398">
        <v>-99999</v>
      </c>
      <c r="V398">
        <v>-99999</v>
      </c>
      <c r="W398">
        <v>-99999</v>
      </c>
      <c r="X398">
        <v>-99999</v>
      </c>
      <c r="Y398">
        <v>-99999</v>
      </c>
      <c r="Z398">
        <v>-99999</v>
      </c>
      <c r="AA398">
        <v>-99999</v>
      </c>
      <c r="AB398">
        <v>-99999</v>
      </c>
      <c r="AC398">
        <v>-99999</v>
      </c>
      <c r="AD398">
        <v>-99999</v>
      </c>
      <c r="AE398">
        <v>-99999</v>
      </c>
      <c r="AF398">
        <v>-99999</v>
      </c>
      <c r="AG398">
        <v>-99999</v>
      </c>
      <c r="AH398">
        <v>-99999</v>
      </c>
      <c r="AI398">
        <v>-99999</v>
      </c>
      <c r="AJ398">
        <v>-99999</v>
      </c>
      <c r="AK398">
        <v>-99999</v>
      </c>
      <c r="AL398">
        <v>-99999</v>
      </c>
      <c r="AM398">
        <v>-99999</v>
      </c>
      <c r="AN398">
        <v>-99999</v>
      </c>
      <c r="AO398">
        <v>-99999</v>
      </c>
      <c r="AP398">
        <v>-99999</v>
      </c>
      <c r="AQ398">
        <v>-99999</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0</v>
      </c>
      <c r="BT398">
        <v>0</v>
      </c>
      <c r="BU398">
        <v>0</v>
      </c>
      <c r="BV398">
        <v>0</v>
      </c>
      <c r="BW398">
        <v>0</v>
      </c>
      <c r="BX398">
        <v>0</v>
      </c>
      <c r="BY398">
        <v>0</v>
      </c>
      <c r="BZ398">
        <v>0</v>
      </c>
      <c r="CA398">
        <v>0</v>
      </c>
      <c r="CB398">
        <v>0</v>
      </c>
      <c r="CC398">
        <v>0</v>
      </c>
      <c r="CD398">
        <v>0</v>
      </c>
      <c r="CE398">
        <v>0</v>
      </c>
      <c r="CF398">
        <v>0</v>
      </c>
      <c r="CG398">
        <v>0</v>
      </c>
      <c r="CH398">
        <v>0</v>
      </c>
      <c r="CI398">
        <v>0</v>
      </c>
      <c r="CJ398">
        <v>0</v>
      </c>
      <c r="CK398">
        <v>0</v>
      </c>
      <c r="CL398">
        <v>0</v>
      </c>
      <c r="CM398">
        <v>0</v>
      </c>
      <c r="CN398">
        <v>0</v>
      </c>
      <c r="CO398">
        <v>0</v>
      </c>
      <c r="CP398">
        <v>0</v>
      </c>
    </row>
    <row r="399" spans="4:94" x14ac:dyDescent="0.2">
      <c r="D399" t="s">
        <v>72</v>
      </c>
      <c r="E399" t="s">
        <v>87</v>
      </c>
      <c r="F399" t="s">
        <v>123</v>
      </c>
      <c r="G399" t="s">
        <v>126</v>
      </c>
      <c r="H399" t="s">
        <v>127</v>
      </c>
      <c r="J399" t="s">
        <v>90</v>
      </c>
      <c r="K399" t="s">
        <v>90</v>
      </c>
      <c r="L399" t="s">
        <v>99</v>
      </c>
      <c r="M399" t="s">
        <v>7</v>
      </c>
      <c r="N399">
        <v>1</v>
      </c>
      <c r="O399">
        <v>1</v>
      </c>
      <c r="P399">
        <v>1</v>
      </c>
      <c r="Q399" t="s">
        <v>347</v>
      </c>
      <c r="S399">
        <v>0</v>
      </c>
      <c r="T399">
        <v>0</v>
      </c>
      <c r="U399">
        <v>0</v>
      </c>
      <c r="V399">
        <v>0</v>
      </c>
      <c r="W399">
        <v>0</v>
      </c>
      <c r="X399">
        <v>0</v>
      </c>
      <c r="Y399">
        <v>0</v>
      </c>
      <c r="Z399">
        <v>0</v>
      </c>
      <c r="AA399">
        <v>0</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0</v>
      </c>
      <c r="BT399">
        <v>0</v>
      </c>
      <c r="BU399">
        <v>0</v>
      </c>
      <c r="BV399">
        <v>0</v>
      </c>
      <c r="BW399">
        <v>0</v>
      </c>
      <c r="BX399">
        <v>0</v>
      </c>
      <c r="BY399">
        <v>0</v>
      </c>
      <c r="BZ399">
        <v>0</v>
      </c>
      <c r="CA399">
        <v>0</v>
      </c>
      <c r="CB399">
        <v>0</v>
      </c>
      <c r="CC399">
        <v>0</v>
      </c>
      <c r="CD399">
        <v>0</v>
      </c>
      <c r="CE399">
        <v>0</v>
      </c>
      <c r="CF399">
        <v>0</v>
      </c>
      <c r="CG399">
        <v>0</v>
      </c>
      <c r="CH399">
        <v>0</v>
      </c>
      <c r="CI399">
        <v>0</v>
      </c>
      <c r="CJ399">
        <v>0</v>
      </c>
      <c r="CK399">
        <v>0</v>
      </c>
      <c r="CL399">
        <v>0</v>
      </c>
      <c r="CM399">
        <v>0</v>
      </c>
      <c r="CN399">
        <v>0</v>
      </c>
      <c r="CO399">
        <v>0</v>
      </c>
      <c r="CP399">
        <v>0</v>
      </c>
    </row>
    <row r="400" spans="4:94" x14ac:dyDescent="0.2">
      <c r="D400" t="s">
        <v>72</v>
      </c>
      <c r="E400" t="s">
        <v>87</v>
      </c>
      <c r="F400" t="s">
        <v>123</v>
      </c>
      <c r="G400" t="s">
        <v>126</v>
      </c>
      <c r="H400" t="s">
        <v>128</v>
      </c>
      <c r="J400" t="s">
        <v>101</v>
      </c>
      <c r="K400" t="s">
        <v>102</v>
      </c>
      <c r="L400" t="s">
        <v>102</v>
      </c>
      <c r="M400" t="s">
        <v>7</v>
      </c>
      <c r="N400">
        <v>1</v>
      </c>
      <c r="O400">
        <v>0</v>
      </c>
      <c r="P400">
        <v>1</v>
      </c>
      <c r="Q400" t="s">
        <v>348</v>
      </c>
      <c r="S400">
        <v>-99999</v>
      </c>
      <c r="T400">
        <v>-99999</v>
      </c>
      <c r="U400">
        <v>-99999</v>
      </c>
      <c r="V400">
        <v>-99999</v>
      </c>
      <c r="W400">
        <v>-99999</v>
      </c>
      <c r="X400">
        <v>-99999</v>
      </c>
      <c r="Y400">
        <v>-99999</v>
      </c>
      <c r="Z400">
        <v>-99999</v>
      </c>
      <c r="AA400">
        <v>-99999</v>
      </c>
      <c r="AB400">
        <v>-99999</v>
      </c>
      <c r="AC400">
        <v>-99999</v>
      </c>
      <c r="AD400">
        <v>-99999</v>
      </c>
      <c r="AE400">
        <v>-99999</v>
      </c>
      <c r="AF400">
        <v>-99999</v>
      </c>
      <c r="AG400">
        <v>-99999</v>
      </c>
      <c r="AH400">
        <v>-99999</v>
      </c>
      <c r="AI400">
        <v>-99999</v>
      </c>
      <c r="AJ400">
        <v>-99999</v>
      </c>
      <c r="AK400">
        <v>-99999</v>
      </c>
      <c r="AL400">
        <v>-99999</v>
      </c>
      <c r="AM400">
        <v>-99999</v>
      </c>
      <c r="AN400">
        <v>-99999</v>
      </c>
      <c r="AO400">
        <v>-99999</v>
      </c>
      <c r="AP400">
        <v>-99999</v>
      </c>
      <c r="AQ400">
        <v>-99999</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v>
      </c>
      <c r="BU400">
        <v>0</v>
      </c>
      <c r="BV400">
        <v>0</v>
      </c>
      <c r="BW400">
        <v>0</v>
      </c>
      <c r="BX400">
        <v>0</v>
      </c>
      <c r="BY400">
        <v>0</v>
      </c>
      <c r="BZ400">
        <v>0</v>
      </c>
      <c r="CA400">
        <v>0</v>
      </c>
      <c r="CB400">
        <v>0</v>
      </c>
      <c r="CC400">
        <v>0</v>
      </c>
      <c r="CD400">
        <v>0</v>
      </c>
      <c r="CE400">
        <v>0</v>
      </c>
      <c r="CF400">
        <v>0</v>
      </c>
      <c r="CG400">
        <v>0</v>
      </c>
      <c r="CH400">
        <v>0</v>
      </c>
      <c r="CI400">
        <v>0</v>
      </c>
      <c r="CJ400">
        <v>0</v>
      </c>
      <c r="CK400">
        <v>0</v>
      </c>
      <c r="CL400">
        <v>0</v>
      </c>
      <c r="CM400">
        <v>0</v>
      </c>
      <c r="CN400">
        <v>0</v>
      </c>
      <c r="CO400">
        <v>0</v>
      </c>
      <c r="CP400">
        <v>0</v>
      </c>
    </row>
    <row r="401" spans="4:94" x14ac:dyDescent="0.2">
      <c r="D401" t="s">
        <v>72</v>
      </c>
      <c r="E401" t="s">
        <v>87</v>
      </c>
      <c r="F401" t="s">
        <v>123</v>
      </c>
      <c r="G401" t="s">
        <v>126</v>
      </c>
      <c r="H401" t="s">
        <v>129</v>
      </c>
      <c r="J401" t="s">
        <v>101</v>
      </c>
      <c r="K401" t="s">
        <v>102</v>
      </c>
      <c r="L401" t="s">
        <v>102</v>
      </c>
      <c r="M401" t="s">
        <v>7</v>
      </c>
      <c r="N401">
        <v>1</v>
      </c>
      <c r="O401">
        <v>0</v>
      </c>
      <c r="P401">
        <v>1</v>
      </c>
      <c r="Q401" t="s">
        <v>349</v>
      </c>
      <c r="S401">
        <v>-99999</v>
      </c>
      <c r="T401">
        <v>-99999</v>
      </c>
      <c r="U401">
        <v>-99999</v>
      </c>
      <c r="V401">
        <v>-99999</v>
      </c>
      <c r="W401">
        <v>-99999</v>
      </c>
      <c r="X401">
        <v>-99999</v>
      </c>
      <c r="Y401">
        <v>-99999</v>
      </c>
      <c r="Z401">
        <v>-99999</v>
      </c>
      <c r="AA401">
        <v>-99999</v>
      </c>
      <c r="AB401">
        <v>-99999</v>
      </c>
      <c r="AC401">
        <v>-99999</v>
      </c>
      <c r="AD401">
        <v>-99999</v>
      </c>
      <c r="AE401">
        <v>-99999</v>
      </c>
      <c r="AF401">
        <v>-99999</v>
      </c>
      <c r="AG401">
        <v>-99999</v>
      </c>
      <c r="AH401">
        <v>-99999</v>
      </c>
      <c r="AI401">
        <v>-99999</v>
      </c>
      <c r="AJ401">
        <v>-99999</v>
      </c>
      <c r="AK401">
        <v>-99999</v>
      </c>
      <c r="AL401">
        <v>-99999</v>
      </c>
      <c r="AM401">
        <v>-99999</v>
      </c>
      <c r="AN401">
        <v>-99999</v>
      </c>
      <c r="AO401">
        <v>-99999</v>
      </c>
      <c r="AP401">
        <v>-99999</v>
      </c>
      <c r="AQ401">
        <v>-99999</v>
      </c>
      <c r="AR401">
        <v>9.7127670780225606E-2</v>
      </c>
      <c r="AS401">
        <v>9.3619247153034602E-2</v>
      </c>
      <c r="AT401">
        <v>9.0928523243181292E-2</v>
      </c>
      <c r="AU401">
        <v>4.6708593566010599E-2</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0</v>
      </c>
      <c r="BT401">
        <v>0</v>
      </c>
      <c r="BU401">
        <v>0</v>
      </c>
      <c r="BV401">
        <v>0</v>
      </c>
      <c r="BW401">
        <v>0</v>
      </c>
      <c r="BX401">
        <v>0</v>
      </c>
      <c r="BY401">
        <v>0</v>
      </c>
      <c r="BZ401">
        <v>0</v>
      </c>
      <c r="CA401">
        <v>0</v>
      </c>
      <c r="CB401">
        <v>0</v>
      </c>
      <c r="CC401">
        <v>0</v>
      </c>
      <c r="CD401">
        <v>0</v>
      </c>
      <c r="CE401">
        <v>0</v>
      </c>
      <c r="CF401">
        <v>0</v>
      </c>
      <c r="CG401">
        <v>0</v>
      </c>
      <c r="CH401">
        <v>0</v>
      </c>
      <c r="CI401">
        <v>0</v>
      </c>
      <c r="CJ401">
        <v>0</v>
      </c>
      <c r="CK401">
        <v>0</v>
      </c>
      <c r="CL401">
        <v>0</v>
      </c>
      <c r="CM401">
        <v>0</v>
      </c>
      <c r="CN401">
        <v>0</v>
      </c>
      <c r="CO401">
        <v>0</v>
      </c>
      <c r="CP401">
        <v>0</v>
      </c>
    </row>
    <row r="402" spans="4:94" x14ac:dyDescent="0.2">
      <c r="D402" t="s">
        <v>72</v>
      </c>
      <c r="E402" t="s">
        <v>87</v>
      </c>
      <c r="F402" t="s">
        <v>123</v>
      </c>
      <c r="G402" t="s">
        <v>126</v>
      </c>
      <c r="H402" t="s">
        <v>130</v>
      </c>
      <c r="J402" t="s">
        <v>101</v>
      </c>
      <c r="K402" t="s">
        <v>102</v>
      </c>
      <c r="L402" t="s">
        <v>102</v>
      </c>
      <c r="M402" t="s">
        <v>7</v>
      </c>
      <c r="N402">
        <v>1</v>
      </c>
      <c r="O402">
        <v>0</v>
      </c>
      <c r="P402">
        <v>1</v>
      </c>
      <c r="Q402" t="s">
        <v>350</v>
      </c>
      <c r="S402">
        <v>-99999</v>
      </c>
      <c r="T402">
        <v>-99999</v>
      </c>
      <c r="U402">
        <v>-99999</v>
      </c>
      <c r="V402">
        <v>-99999</v>
      </c>
      <c r="W402">
        <v>-99999</v>
      </c>
      <c r="X402">
        <v>-99999</v>
      </c>
      <c r="Y402">
        <v>-99999</v>
      </c>
      <c r="Z402">
        <v>-99999</v>
      </c>
      <c r="AA402">
        <v>-99999</v>
      </c>
      <c r="AB402">
        <v>-99999</v>
      </c>
      <c r="AC402">
        <v>-99999</v>
      </c>
      <c r="AD402">
        <v>-99999</v>
      </c>
      <c r="AE402">
        <v>-99999</v>
      </c>
      <c r="AF402">
        <v>-99999</v>
      </c>
      <c r="AG402">
        <v>-99999</v>
      </c>
      <c r="AH402">
        <v>-99999</v>
      </c>
      <c r="AI402">
        <v>-99999</v>
      </c>
      <c r="AJ402">
        <v>-99999</v>
      </c>
      <c r="AK402">
        <v>-99999</v>
      </c>
      <c r="AL402">
        <v>-99999</v>
      </c>
      <c r="AM402">
        <v>-99999</v>
      </c>
      <c r="AN402">
        <v>-99999</v>
      </c>
      <c r="AO402">
        <v>-99999</v>
      </c>
      <c r="AP402">
        <v>-99999</v>
      </c>
      <c r="AQ402">
        <v>-99999</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v>
      </c>
      <c r="BU402">
        <v>0</v>
      </c>
      <c r="BV402">
        <v>0</v>
      </c>
      <c r="BW402">
        <v>0</v>
      </c>
      <c r="BX402">
        <v>0</v>
      </c>
      <c r="BY402">
        <v>0</v>
      </c>
      <c r="BZ402">
        <v>0</v>
      </c>
      <c r="CA402">
        <v>0</v>
      </c>
      <c r="CB402">
        <v>0</v>
      </c>
      <c r="CC402">
        <v>0</v>
      </c>
      <c r="CD402">
        <v>0</v>
      </c>
      <c r="CE402">
        <v>0</v>
      </c>
      <c r="CF402">
        <v>0</v>
      </c>
      <c r="CG402">
        <v>0</v>
      </c>
      <c r="CH402">
        <v>0</v>
      </c>
      <c r="CI402">
        <v>0</v>
      </c>
      <c r="CJ402">
        <v>0</v>
      </c>
      <c r="CK402">
        <v>0</v>
      </c>
      <c r="CL402">
        <v>0</v>
      </c>
      <c r="CM402">
        <v>0</v>
      </c>
      <c r="CN402">
        <v>0</v>
      </c>
      <c r="CO402">
        <v>0</v>
      </c>
      <c r="CP402">
        <v>0</v>
      </c>
    </row>
    <row r="403" spans="4:94" x14ac:dyDescent="0.2">
      <c r="D403" t="s">
        <v>72</v>
      </c>
      <c r="E403" t="s">
        <v>87</v>
      </c>
      <c r="F403" t="s">
        <v>123</v>
      </c>
      <c r="G403" t="s">
        <v>126</v>
      </c>
      <c r="H403" t="s">
        <v>131</v>
      </c>
      <c r="J403" t="s">
        <v>101</v>
      </c>
      <c r="K403" t="s">
        <v>102</v>
      </c>
      <c r="L403" t="s">
        <v>102</v>
      </c>
      <c r="M403" t="s">
        <v>7</v>
      </c>
      <c r="N403">
        <v>1</v>
      </c>
      <c r="O403">
        <v>0</v>
      </c>
      <c r="P403">
        <v>1</v>
      </c>
      <c r="Q403" t="s">
        <v>351</v>
      </c>
      <c r="S403">
        <v>-99999</v>
      </c>
      <c r="T403">
        <v>-99999</v>
      </c>
      <c r="U403">
        <v>-99999</v>
      </c>
      <c r="V403">
        <v>-99999</v>
      </c>
      <c r="W403">
        <v>-99999</v>
      </c>
      <c r="X403">
        <v>-99999</v>
      </c>
      <c r="Y403">
        <v>-99999</v>
      </c>
      <c r="Z403">
        <v>-99999</v>
      </c>
      <c r="AA403">
        <v>-99999</v>
      </c>
      <c r="AB403">
        <v>-99999</v>
      </c>
      <c r="AC403">
        <v>-99999</v>
      </c>
      <c r="AD403">
        <v>-99999</v>
      </c>
      <c r="AE403">
        <v>-99999</v>
      </c>
      <c r="AF403">
        <v>-99999</v>
      </c>
      <c r="AG403">
        <v>-99999</v>
      </c>
      <c r="AH403">
        <v>-99999</v>
      </c>
      <c r="AI403">
        <v>-99999</v>
      </c>
      <c r="AJ403">
        <v>-99999</v>
      </c>
      <c r="AK403">
        <v>-99999</v>
      </c>
      <c r="AL403">
        <v>-99999</v>
      </c>
      <c r="AM403">
        <v>-99999</v>
      </c>
      <c r="AN403">
        <v>-99999</v>
      </c>
      <c r="AO403">
        <v>-99999</v>
      </c>
      <c r="AP403">
        <v>-99999</v>
      </c>
      <c r="AQ403">
        <v>-99999</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v>
      </c>
      <c r="BO403">
        <v>0</v>
      </c>
      <c r="BP403">
        <v>0</v>
      </c>
      <c r="BQ403">
        <v>0</v>
      </c>
      <c r="BR403">
        <v>0</v>
      </c>
      <c r="BS403">
        <v>0</v>
      </c>
      <c r="BT403">
        <v>0</v>
      </c>
      <c r="BU403">
        <v>0</v>
      </c>
      <c r="BV403">
        <v>0</v>
      </c>
      <c r="BW403">
        <v>0</v>
      </c>
      <c r="BX403">
        <v>0</v>
      </c>
      <c r="BY403">
        <v>0</v>
      </c>
      <c r="BZ403">
        <v>0</v>
      </c>
      <c r="CA403">
        <v>0</v>
      </c>
      <c r="CB403">
        <v>0</v>
      </c>
      <c r="CC403">
        <v>0</v>
      </c>
      <c r="CD403">
        <v>0</v>
      </c>
      <c r="CE403">
        <v>0</v>
      </c>
      <c r="CF403">
        <v>0</v>
      </c>
      <c r="CG403">
        <v>0</v>
      </c>
      <c r="CH403">
        <v>0</v>
      </c>
      <c r="CI403">
        <v>0</v>
      </c>
      <c r="CJ403">
        <v>0</v>
      </c>
      <c r="CK403">
        <v>0</v>
      </c>
      <c r="CL403">
        <v>0</v>
      </c>
      <c r="CM403">
        <v>0</v>
      </c>
      <c r="CN403">
        <v>0</v>
      </c>
      <c r="CO403">
        <v>0</v>
      </c>
      <c r="CP403">
        <v>0</v>
      </c>
    </row>
    <row r="404" spans="4:94" x14ac:dyDescent="0.2">
      <c r="D404" t="s">
        <v>72</v>
      </c>
      <c r="E404" t="s">
        <v>87</v>
      </c>
      <c r="F404" t="s">
        <v>132</v>
      </c>
      <c r="G404" t="s">
        <v>133</v>
      </c>
      <c r="J404" t="s">
        <v>101</v>
      </c>
      <c r="K404" t="s">
        <v>102</v>
      </c>
      <c r="L404" t="s">
        <v>102</v>
      </c>
      <c r="M404" t="s">
        <v>7</v>
      </c>
      <c r="N404">
        <v>1</v>
      </c>
      <c r="O404">
        <v>0</v>
      </c>
      <c r="P404">
        <v>1</v>
      </c>
      <c r="Q404" t="s">
        <v>352</v>
      </c>
      <c r="S404">
        <v>-99999</v>
      </c>
      <c r="T404">
        <v>-99999</v>
      </c>
      <c r="U404">
        <v>-99999</v>
      </c>
      <c r="V404">
        <v>-99999</v>
      </c>
      <c r="W404">
        <v>-99999</v>
      </c>
      <c r="X404">
        <v>-99999</v>
      </c>
      <c r="Y404">
        <v>-99999</v>
      </c>
      <c r="Z404">
        <v>-99999</v>
      </c>
      <c r="AA404">
        <v>-99999</v>
      </c>
      <c r="AB404">
        <v>-99999</v>
      </c>
      <c r="AC404">
        <v>-99999</v>
      </c>
      <c r="AD404">
        <v>-99999</v>
      </c>
      <c r="AE404">
        <v>-99999</v>
      </c>
      <c r="AF404">
        <v>-99999</v>
      </c>
      <c r="AG404">
        <v>-99999</v>
      </c>
      <c r="AH404">
        <v>-99999</v>
      </c>
      <c r="AI404">
        <v>-99999</v>
      </c>
      <c r="AJ404">
        <v>-99999</v>
      </c>
      <c r="AK404">
        <v>-99999</v>
      </c>
      <c r="AL404">
        <v>-99999</v>
      </c>
      <c r="AM404">
        <v>-99999</v>
      </c>
      <c r="AN404">
        <v>-99999</v>
      </c>
      <c r="AO404">
        <v>-99999</v>
      </c>
      <c r="AP404">
        <v>-99999</v>
      </c>
      <c r="AQ404">
        <v>-99999</v>
      </c>
      <c r="AR404">
        <v>0</v>
      </c>
      <c r="AS404">
        <v>0</v>
      </c>
      <c r="AT404">
        <v>0</v>
      </c>
      <c r="AU404">
        <v>0</v>
      </c>
      <c r="AV404">
        <v>0</v>
      </c>
      <c r="AW404">
        <v>0</v>
      </c>
      <c r="AX404">
        <v>0</v>
      </c>
      <c r="AY404">
        <v>0</v>
      </c>
      <c r="AZ404">
        <v>0</v>
      </c>
      <c r="BA404">
        <v>0</v>
      </c>
      <c r="BB404">
        <v>0</v>
      </c>
      <c r="BC404">
        <v>0</v>
      </c>
      <c r="BD404">
        <v>0</v>
      </c>
      <c r="BE404">
        <v>0</v>
      </c>
      <c r="BF404">
        <v>0</v>
      </c>
      <c r="BG404">
        <v>0</v>
      </c>
      <c r="BH404">
        <v>0</v>
      </c>
      <c r="BI404">
        <v>0</v>
      </c>
      <c r="BJ404">
        <v>0</v>
      </c>
      <c r="BK404">
        <v>0</v>
      </c>
      <c r="BL404">
        <v>0</v>
      </c>
      <c r="BM404">
        <v>0</v>
      </c>
      <c r="BN404">
        <v>0</v>
      </c>
      <c r="BO404">
        <v>0</v>
      </c>
      <c r="BP404">
        <v>0</v>
      </c>
      <c r="BQ404">
        <v>0</v>
      </c>
      <c r="BR404">
        <v>0</v>
      </c>
      <c r="BS404">
        <v>0</v>
      </c>
      <c r="BT404">
        <v>0</v>
      </c>
      <c r="BU404">
        <v>0</v>
      </c>
      <c r="BV404">
        <v>0</v>
      </c>
      <c r="BW404">
        <v>0</v>
      </c>
      <c r="BX404">
        <v>0</v>
      </c>
      <c r="BY404">
        <v>0</v>
      </c>
      <c r="BZ404">
        <v>0</v>
      </c>
      <c r="CA404">
        <v>0</v>
      </c>
      <c r="CB404">
        <v>0</v>
      </c>
      <c r="CC404">
        <v>0</v>
      </c>
      <c r="CD404">
        <v>0</v>
      </c>
      <c r="CE404">
        <v>0</v>
      </c>
      <c r="CF404">
        <v>0</v>
      </c>
      <c r="CG404">
        <v>0</v>
      </c>
      <c r="CH404">
        <v>0</v>
      </c>
      <c r="CI404">
        <v>0</v>
      </c>
      <c r="CJ404">
        <v>0</v>
      </c>
      <c r="CK404">
        <v>0</v>
      </c>
      <c r="CL404">
        <v>0</v>
      </c>
      <c r="CM404">
        <v>0</v>
      </c>
      <c r="CN404">
        <v>0</v>
      </c>
      <c r="CO404">
        <v>0</v>
      </c>
      <c r="CP404">
        <v>0</v>
      </c>
    </row>
    <row r="405" spans="4:94" x14ac:dyDescent="0.2">
      <c r="D405" t="s">
        <v>72</v>
      </c>
      <c r="E405" t="s">
        <v>87</v>
      </c>
      <c r="F405" t="s">
        <v>132</v>
      </c>
      <c r="G405" t="s">
        <v>133</v>
      </c>
      <c r="J405" t="s">
        <v>125</v>
      </c>
      <c r="K405" t="s">
        <v>125</v>
      </c>
      <c r="M405" t="s">
        <v>7</v>
      </c>
      <c r="N405">
        <v>1</v>
      </c>
      <c r="O405">
        <v>0</v>
      </c>
      <c r="P405">
        <v>1</v>
      </c>
      <c r="Q405" t="s">
        <v>353</v>
      </c>
      <c r="S405">
        <v>-99999</v>
      </c>
      <c r="T405">
        <v>-99999</v>
      </c>
      <c r="U405">
        <v>-99999</v>
      </c>
      <c r="V405">
        <v>-99999</v>
      </c>
      <c r="W405">
        <v>-99999</v>
      </c>
      <c r="X405">
        <v>-99999</v>
      </c>
      <c r="Y405">
        <v>-99999</v>
      </c>
      <c r="Z405">
        <v>-99999</v>
      </c>
      <c r="AA405">
        <v>-99999</v>
      </c>
      <c r="AB405">
        <v>-99999</v>
      </c>
      <c r="AC405">
        <v>-99999</v>
      </c>
      <c r="AD405">
        <v>-99999</v>
      </c>
      <c r="AE405">
        <v>-99999</v>
      </c>
      <c r="AF405">
        <v>-99999</v>
      </c>
      <c r="AG405">
        <v>-99999</v>
      </c>
      <c r="AH405">
        <v>-99999</v>
      </c>
      <c r="AI405">
        <v>-99999</v>
      </c>
      <c r="AJ405">
        <v>-99999</v>
      </c>
      <c r="AK405">
        <v>-99999</v>
      </c>
      <c r="AL405">
        <v>-99999</v>
      </c>
      <c r="AM405">
        <v>-99999</v>
      </c>
      <c r="AN405">
        <v>-99999</v>
      </c>
      <c r="AO405">
        <v>-99999</v>
      </c>
      <c r="AP405">
        <v>-99999</v>
      </c>
      <c r="AQ405">
        <v>-99999</v>
      </c>
      <c r="AR405">
        <v>-595.29836038355995</v>
      </c>
      <c r="AS405">
        <v>-566.13033522416504</v>
      </c>
      <c r="AT405">
        <v>-538.40881949078903</v>
      </c>
      <c r="AU405">
        <v>-512.06183247430602</v>
      </c>
      <c r="AV405">
        <v>-489.752525921744</v>
      </c>
      <c r="AW405">
        <v>-472.48981149847998</v>
      </c>
      <c r="AX405">
        <v>-459.87071208139997</v>
      </c>
      <c r="AY405">
        <v>-451.66692743661599</v>
      </c>
      <c r="AZ405">
        <v>-446.70939267782097</v>
      </c>
      <c r="BA405">
        <v>-441.78842087844498</v>
      </c>
      <c r="BB405">
        <v>-437.54631092232898</v>
      </c>
      <c r="BC405">
        <v>-435.08542205889898</v>
      </c>
      <c r="BD405">
        <v>-435.72170122789498</v>
      </c>
      <c r="BE405">
        <v>-439.837838005908</v>
      </c>
      <c r="BF405">
        <v>-447.39449936981202</v>
      </c>
      <c r="BG405">
        <v>-457.89952863473798</v>
      </c>
      <c r="BH405">
        <v>-470.44162795051</v>
      </c>
      <c r="BI405">
        <v>-483.75699965354499</v>
      </c>
      <c r="BJ405">
        <v>-496.31639025166697</v>
      </c>
      <c r="BK405">
        <v>-506.42095939728512</v>
      </c>
      <c r="BL405">
        <v>-512.74831266115598</v>
      </c>
      <c r="BM405">
        <v>-514.07432062184296</v>
      </c>
      <c r="BN405">
        <v>-509.90452017590599</v>
      </c>
      <c r="BO405">
        <v>-499.42183761029901</v>
      </c>
      <c r="BP405">
        <v>-482.58282887957301</v>
      </c>
      <c r="BQ405">
        <v>-461.178184249222</v>
      </c>
      <c r="BR405">
        <v>-439.138684489166</v>
      </c>
      <c r="BS405">
        <v>-417.72696613288701</v>
      </c>
      <c r="BT405">
        <v>-397.29231634688801</v>
      </c>
      <c r="BU405">
        <v>-377.76635536981701</v>
      </c>
      <c r="BV405">
        <v>-359.10699200748297</v>
      </c>
      <c r="BW405">
        <v>-341.27213567679098</v>
      </c>
      <c r="BX405">
        <v>-324.22920053667599</v>
      </c>
      <c r="BY405">
        <v>-307.94667234014003</v>
      </c>
      <c r="BZ405">
        <v>-292.44620654955798</v>
      </c>
      <c r="CA405">
        <v>-277.70548043167099</v>
      </c>
      <c r="CB405">
        <v>-263.69047456962102</v>
      </c>
      <c r="CC405">
        <v>-250.36699817642901</v>
      </c>
      <c r="CD405">
        <v>-237.70233186121399</v>
      </c>
      <c r="CE405">
        <v>-225.66533542907899</v>
      </c>
      <c r="CF405">
        <v>-214.226391699788</v>
      </c>
      <c r="CG405">
        <v>-203.35667508519401</v>
      </c>
      <c r="CH405">
        <v>-193.02532290746501</v>
      </c>
      <c r="CI405">
        <v>-183.208500161937</v>
      </c>
      <c r="CJ405">
        <v>-173.88224804120301</v>
      </c>
      <c r="CK405">
        <v>-165.02374638594799</v>
      </c>
      <c r="CL405">
        <v>-156.61119384269199</v>
      </c>
      <c r="CM405">
        <v>-148.547949384915</v>
      </c>
      <c r="CN405">
        <v>-140.76033794830099</v>
      </c>
      <c r="CO405">
        <v>-133.21664848948399</v>
      </c>
      <c r="CP405">
        <v>-125.878042210244</v>
      </c>
    </row>
    <row r="406" spans="4:94" x14ac:dyDescent="0.2">
      <c r="D406" t="s">
        <v>72</v>
      </c>
      <c r="E406" t="s">
        <v>87</v>
      </c>
      <c r="F406" t="s">
        <v>132</v>
      </c>
      <c r="G406" t="s">
        <v>134</v>
      </c>
      <c r="H406" t="s">
        <v>135</v>
      </c>
      <c r="J406" t="s">
        <v>90</v>
      </c>
      <c r="K406" t="s">
        <v>90</v>
      </c>
      <c r="L406" t="s">
        <v>99</v>
      </c>
      <c r="M406" t="s">
        <v>7</v>
      </c>
      <c r="N406">
        <v>1</v>
      </c>
      <c r="O406">
        <v>1</v>
      </c>
      <c r="P406">
        <v>1</v>
      </c>
      <c r="Q406" t="s">
        <v>354</v>
      </c>
      <c r="S406">
        <v>0</v>
      </c>
      <c r="T406">
        <v>0</v>
      </c>
      <c r="U406">
        <v>0</v>
      </c>
      <c r="V406">
        <v>0</v>
      </c>
      <c r="W406">
        <v>0</v>
      </c>
      <c r="X406">
        <v>0</v>
      </c>
      <c r="Y406">
        <v>0</v>
      </c>
      <c r="Z406">
        <v>0</v>
      </c>
      <c r="AA406">
        <v>0</v>
      </c>
      <c r="AB406">
        <v>0</v>
      </c>
      <c r="AC406">
        <v>0</v>
      </c>
      <c r="AD406">
        <v>0</v>
      </c>
      <c r="AE406">
        <v>0</v>
      </c>
      <c r="AF406">
        <v>0</v>
      </c>
      <c r="AG406">
        <v>0</v>
      </c>
      <c r="AH406">
        <v>0</v>
      </c>
      <c r="AI406">
        <v>0</v>
      </c>
      <c r="AJ406">
        <v>0</v>
      </c>
      <c r="AK406">
        <v>0</v>
      </c>
      <c r="AL406">
        <v>0</v>
      </c>
      <c r="AM406">
        <v>0</v>
      </c>
      <c r="AN406">
        <v>0</v>
      </c>
      <c r="AO406">
        <v>0</v>
      </c>
      <c r="AP406">
        <v>0</v>
      </c>
      <c r="AQ406">
        <v>0</v>
      </c>
      <c r="AR406">
        <v>6048.7412894549116</v>
      </c>
      <c r="AS406">
        <v>5999.8460204409912</v>
      </c>
      <c r="AT406">
        <v>5951.0127252469083</v>
      </c>
      <c r="AU406">
        <v>5734.9199774476256</v>
      </c>
      <c r="AV406">
        <v>5423.6352588158315</v>
      </c>
      <c r="AW406">
        <v>5127.9488231145006</v>
      </c>
      <c r="AX406">
        <v>3698.8609770750281</v>
      </c>
      <c r="AY406">
        <v>2779.3020709115149</v>
      </c>
      <c r="AZ406">
        <v>2775.0188227480289</v>
      </c>
      <c r="BA406">
        <v>2799.5606438703371</v>
      </c>
      <c r="BB406">
        <v>2861.8813478984721</v>
      </c>
      <c r="BC406">
        <v>2950.0153258860591</v>
      </c>
      <c r="BD406">
        <v>3056.509367324411</v>
      </c>
      <c r="BE406">
        <v>3169.7427269952868</v>
      </c>
      <c r="BF406">
        <v>3277.1079937606642</v>
      </c>
      <c r="BG406">
        <v>3365.7491413065818</v>
      </c>
      <c r="BH406">
        <v>3423.1990836711411</v>
      </c>
      <c r="BI406">
        <v>3437.9915188761979</v>
      </c>
      <c r="BJ406">
        <v>3400.3052048348618</v>
      </c>
      <c r="BK406">
        <v>3314.9978583978382</v>
      </c>
      <c r="BL406">
        <v>3181.106539018389</v>
      </c>
      <c r="BM406">
        <v>3018.3834091311001</v>
      </c>
      <c r="BN406">
        <v>2816.6684304666278</v>
      </c>
      <c r="BO406">
        <v>2580.465871018504</v>
      </c>
      <c r="BP406">
        <v>2312.5618986800928</v>
      </c>
      <c r="BQ406">
        <v>1827.8454861096379</v>
      </c>
      <c r="BR406">
        <v>811.79187600428691</v>
      </c>
      <c r="BS406">
        <v>744.35271266609288</v>
      </c>
      <c r="BT406">
        <v>660.431011758978</v>
      </c>
      <c r="BU406">
        <v>576.05941775974304</v>
      </c>
      <c r="BV406">
        <v>493.68935275142951</v>
      </c>
      <c r="BW406">
        <v>413.84436945491831</v>
      </c>
      <c r="BX406">
        <v>336.66112884314231</v>
      </c>
      <c r="BY406">
        <v>282.23791781125402</v>
      </c>
      <c r="BZ406">
        <v>203.64208020064001</v>
      </c>
      <c r="CA406">
        <v>118.90585945584</v>
      </c>
      <c r="CB406">
        <v>33.969129030190103</v>
      </c>
      <c r="CC406">
        <v>0</v>
      </c>
      <c r="CD406">
        <v>0</v>
      </c>
      <c r="CE406">
        <v>0</v>
      </c>
      <c r="CF406">
        <v>0</v>
      </c>
      <c r="CG406">
        <v>0</v>
      </c>
      <c r="CH406">
        <v>0</v>
      </c>
      <c r="CI406">
        <v>0</v>
      </c>
      <c r="CJ406">
        <v>0</v>
      </c>
      <c r="CK406">
        <v>0</v>
      </c>
      <c r="CL406">
        <v>0</v>
      </c>
      <c r="CM406">
        <v>0</v>
      </c>
      <c r="CN406">
        <v>0</v>
      </c>
      <c r="CO406">
        <v>0</v>
      </c>
      <c r="CP406">
        <v>0</v>
      </c>
    </row>
    <row r="407" spans="4:94" x14ac:dyDescent="0.2">
      <c r="D407" t="s">
        <v>72</v>
      </c>
      <c r="E407" t="s">
        <v>87</v>
      </c>
      <c r="F407" t="s">
        <v>132</v>
      </c>
      <c r="G407" t="s">
        <v>134</v>
      </c>
      <c r="H407" t="s">
        <v>136</v>
      </c>
      <c r="J407" t="s">
        <v>101</v>
      </c>
      <c r="K407" t="s">
        <v>102</v>
      </c>
      <c r="L407" t="s">
        <v>102</v>
      </c>
      <c r="M407" t="s">
        <v>7</v>
      </c>
      <c r="N407">
        <v>1</v>
      </c>
      <c r="O407">
        <v>0</v>
      </c>
      <c r="P407">
        <v>1</v>
      </c>
      <c r="Q407" t="s">
        <v>355</v>
      </c>
      <c r="S407">
        <v>-99999</v>
      </c>
      <c r="T407">
        <v>-99999</v>
      </c>
      <c r="U407">
        <v>-99999</v>
      </c>
      <c r="V407">
        <v>-99999</v>
      </c>
      <c r="W407">
        <v>-99999</v>
      </c>
      <c r="X407">
        <v>-99999</v>
      </c>
      <c r="Y407">
        <v>-99999</v>
      </c>
      <c r="Z407">
        <v>-99999</v>
      </c>
      <c r="AA407">
        <v>-99999</v>
      </c>
      <c r="AB407">
        <v>-99999</v>
      </c>
      <c r="AC407">
        <v>-99999</v>
      </c>
      <c r="AD407">
        <v>-99999</v>
      </c>
      <c r="AE407">
        <v>-99999</v>
      </c>
      <c r="AF407">
        <v>-99999</v>
      </c>
      <c r="AG407">
        <v>-99999</v>
      </c>
      <c r="AH407">
        <v>-99999</v>
      </c>
      <c r="AI407">
        <v>-99999</v>
      </c>
      <c r="AJ407">
        <v>-99999</v>
      </c>
      <c r="AK407">
        <v>-99999</v>
      </c>
      <c r="AL407">
        <v>-99999</v>
      </c>
      <c r="AM407">
        <v>-99999</v>
      </c>
      <c r="AN407">
        <v>-99999</v>
      </c>
      <c r="AO407">
        <v>-99999</v>
      </c>
      <c r="AP407">
        <v>-99999</v>
      </c>
      <c r="AQ407">
        <v>-99999</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v>
      </c>
      <c r="BT407">
        <v>0</v>
      </c>
      <c r="BU407">
        <v>0</v>
      </c>
      <c r="BV407">
        <v>0</v>
      </c>
      <c r="BW407">
        <v>0</v>
      </c>
      <c r="BX407">
        <v>0</v>
      </c>
      <c r="BY407">
        <v>0</v>
      </c>
      <c r="BZ407">
        <v>0</v>
      </c>
      <c r="CA407">
        <v>0</v>
      </c>
      <c r="CB407">
        <v>0</v>
      </c>
      <c r="CC407">
        <v>0</v>
      </c>
      <c r="CD407">
        <v>0</v>
      </c>
      <c r="CE407">
        <v>0</v>
      </c>
      <c r="CF407">
        <v>0</v>
      </c>
      <c r="CG407">
        <v>0</v>
      </c>
      <c r="CH407">
        <v>0</v>
      </c>
      <c r="CI407">
        <v>0</v>
      </c>
      <c r="CJ407">
        <v>0</v>
      </c>
      <c r="CK407">
        <v>0</v>
      </c>
      <c r="CL407">
        <v>0</v>
      </c>
      <c r="CM407">
        <v>0</v>
      </c>
      <c r="CN407">
        <v>0</v>
      </c>
      <c r="CO407">
        <v>0</v>
      </c>
      <c r="CP407">
        <v>0</v>
      </c>
    </row>
    <row r="408" spans="4:94" x14ac:dyDescent="0.2">
      <c r="D408" t="s">
        <v>72</v>
      </c>
      <c r="E408" t="s">
        <v>87</v>
      </c>
      <c r="F408" t="s">
        <v>132</v>
      </c>
      <c r="G408" t="s">
        <v>134</v>
      </c>
      <c r="H408" t="s">
        <v>137</v>
      </c>
      <c r="J408" t="s">
        <v>101</v>
      </c>
      <c r="K408" t="s">
        <v>102</v>
      </c>
      <c r="L408" t="s">
        <v>102</v>
      </c>
      <c r="M408" t="s">
        <v>7</v>
      </c>
      <c r="N408">
        <v>1</v>
      </c>
      <c r="O408">
        <v>0</v>
      </c>
      <c r="P408">
        <v>1</v>
      </c>
      <c r="Q408" t="s">
        <v>356</v>
      </c>
      <c r="S408">
        <v>-99999</v>
      </c>
      <c r="T408">
        <v>-99999</v>
      </c>
      <c r="U408">
        <v>-99999</v>
      </c>
      <c r="V408">
        <v>-99999</v>
      </c>
      <c r="W408">
        <v>-99999</v>
      </c>
      <c r="X408">
        <v>-99999</v>
      </c>
      <c r="Y408">
        <v>-99999</v>
      </c>
      <c r="Z408">
        <v>-99999</v>
      </c>
      <c r="AA408">
        <v>-99999</v>
      </c>
      <c r="AB408">
        <v>-99999</v>
      </c>
      <c r="AC408">
        <v>-99999</v>
      </c>
      <c r="AD408">
        <v>-99999</v>
      </c>
      <c r="AE408">
        <v>-99999</v>
      </c>
      <c r="AF408">
        <v>-99999</v>
      </c>
      <c r="AG408">
        <v>-99999</v>
      </c>
      <c r="AH408">
        <v>-99999</v>
      </c>
      <c r="AI408">
        <v>-99999</v>
      </c>
      <c r="AJ408">
        <v>-99999</v>
      </c>
      <c r="AK408">
        <v>-99999</v>
      </c>
      <c r="AL408">
        <v>-99999</v>
      </c>
      <c r="AM408">
        <v>-99999</v>
      </c>
      <c r="AN408">
        <v>-99999</v>
      </c>
      <c r="AO408">
        <v>-99999</v>
      </c>
      <c r="AP408">
        <v>-99999</v>
      </c>
      <c r="AQ408">
        <v>-99999</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row>
    <row r="409" spans="4:94" x14ac:dyDescent="0.2">
      <c r="D409" t="s">
        <v>72</v>
      </c>
      <c r="E409" t="s">
        <v>87</v>
      </c>
      <c r="F409" t="s">
        <v>132</v>
      </c>
      <c r="G409" t="s">
        <v>134</v>
      </c>
      <c r="H409" t="s">
        <v>138</v>
      </c>
      <c r="J409" t="s">
        <v>101</v>
      </c>
      <c r="K409" t="s">
        <v>102</v>
      </c>
      <c r="L409" t="s">
        <v>102</v>
      </c>
      <c r="M409" t="s">
        <v>7</v>
      </c>
      <c r="N409">
        <v>1</v>
      </c>
      <c r="O409">
        <v>0</v>
      </c>
      <c r="P409">
        <v>1</v>
      </c>
      <c r="Q409" t="s">
        <v>357</v>
      </c>
      <c r="S409">
        <v>-99999</v>
      </c>
      <c r="T409">
        <v>-99999</v>
      </c>
      <c r="U409">
        <v>-99999</v>
      </c>
      <c r="V409">
        <v>-99999</v>
      </c>
      <c r="W409">
        <v>-99999</v>
      </c>
      <c r="X409">
        <v>-99999</v>
      </c>
      <c r="Y409">
        <v>-99999</v>
      </c>
      <c r="Z409">
        <v>-99999</v>
      </c>
      <c r="AA409">
        <v>-99999</v>
      </c>
      <c r="AB409">
        <v>-99999</v>
      </c>
      <c r="AC409">
        <v>-99999</v>
      </c>
      <c r="AD409">
        <v>-99999</v>
      </c>
      <c r="AE409">
        <v>-99999</v>
      </c>
      <c r="AF409">
        <v>-99999</v>
      </c>
      <c r="AG409">
        <v>-99999</v>
      </c>
      <c r="AH409">
        <v>-99999</v>
      </c>
      <c r="AI409">
        <v>-99999</v>
      </c>
      <c r="AJ409">
        <v>-99999</v>
      </c>
      <c r="AK409">
        <v>-99999</v>
      </c>
      <c r="AL409">
        <v>-99999</v>
      </c>
      <c r="AM409">
        <v>-99999</v>
      </c>
      <c r="AN409">
        <v>-99999</v>
      </c>
      <c r="AO409">
        <v>-99999</v>
      </c>
      <c r="AP409">
        <v>-99999</v>
      </c>
      <c r="AQ409">
        <v>-99999</v>
      </c>
      <c r="AR409">
        <v>0.62477236095090005</v>
      </c>
      <c r="AS409">
        <v>0.66983512383340005</v>
      </c>
      <c r="AT409">
        <v>0.71355511180819997</v>
      </c>
      <c r="AU409">
        <v>0.76032732572850004</v>
      </c>
      <c r="AV409">
        <v>0.799044175016</v>
      </c>
      <c r="AW409">
        <v>0.83151216657330007</v>
      </c>
      <c r="AX409">
        <v>1.0240008381346</v>
      </c>
      <c r="AY409">
        <v>1.5617246792538999</v>
      </c>
      <c r="AZ409">
        <v>1.6028626790192</v>
      </c>
      <c r="BA409">
        <v>1.6476022439892</v>
      </c>
      <c r="BB409">
        <v>1.7164411172831999</v>
      </c>
      <c r="BC409">
        <v>1.8050713248212999</v>
      </c>
      <c r="BD409">
        <v>1.9108983034375999</v>
      </c>
      <c r="BE409">
        <v>2.0280604941268998</v>
      </c>
      <c r="BF409">
        <v>2.1487800538326001</v>
      </c>
      <c r="BG409">
        <v>2.2635393051968</v>
      </c>
      <c r="BH409">
        <v>2.3613713630370001</v>
      </c>
      <c r="BI409">
        <v>2.4303849540261</v>
      </c>
      <c r="BJ409">
        <v>2.4585975509860001</v>
      </c>
      <c r="BK409">
        <v>2.4448779645360998</v>
      </c>
      <c r="BL409">
        <v>2.384590468386</v>
      </c>
      <c r="BM409">
        <v>2.2910376881125001</v>
      </c>
      <c r="BN409">
        <v>2.1546989203432001</v>
      </c>
      <c r="BO409">
        <v>1.9783976034138999</v>
      </c>
      <c r="BP409">
        <v>1.7642704434266001</v>
      </c>
      <c r="BQ409">
        <v>1.3802954078142</v>
      </c>
      <c r="BR409">
        <v>0</v>
      </c>
      <c r="BS409">
        <v>0</v>
      </c>
      <c r="BT409">
        <v>0</v>
      </c>
      <c r="BU409">
        <v>0</v>
      </c>
      <c r="BV409">
        <v>0</v>
      </c>
      <c r="BW409">
        <v>0</v>
      </c>
      <c r="BX409">
        <v>0</v>
      </c>
      <c r="BY409">
        <v>0</v>
      </c>
      <c r="BZ409">
        <v>0</v>
      </c>
      <c r="CA409">
        <v>0</v>
      </c>
      <c r="CB409">
        <v>0</v>
      </c>
      <c r="CC409">
        <v>0</v>
      </c>
      <c r="CD409">
        <v>0</v>
      </c>
      <c r="CE409">
        <v>0</v>
      </c>
      <c r="CF409">
        <v>0</v>
      </c>
      <c r="CG409">
        <v>0</v>
      </c>
      <c r="CH409">
        <v>0</v>
      </c>
      <c r="CI409">
        <v>0</v>
      </c>
      <c r="CJ409">
        <v>0</v>
      </c>
      <c r="CK409">
        <v>0</v>
      </c>
      <c r="CL409">
        <v>0</v>
      </c>
      <c r="CM409">
        <v>0</v>
      </c>
      <c r="CN409">
        <v>0</v>
      </c>
      <c r="CO409">
        <v>0</v>
      </c>
      <c r="CP409">
        <v>0</v>
      </c>
    </row>
    <row r="410" spans="4:94" x14ac:dyDescent="0.2">
      <c r="D410" t="s">
        <v>72</v>
      </c>
      <c r="E410" t="s">
        <v>87</v>
      </c>
      <c r="F410" t="s">
        <v>132</v>
      </c>
      <c r="G410" t="s">
        <v>134</v>
      </c>
      <c r="H410" t="s">
        <v>139</v>
      </c>
      <c r="J410" t="s">
        <v>101</v>
      </c>
      <c r="K410" t="s">
        <v>102</v>
      </c>
      <c r="L410" t="s">
        <v>102</v>
      </c>
      <c r="M410" t="s">
        <v>7</v>
      </c>
      <c r="N410">
        <v>1</v>
      </c>
      <c r="O410">
        <v>0</v>
      </c>
      <c r="P410">
        <v>1</v>
      </c>
      <c r="Q410" t="s">
        <v>358</v>
      </c>
      <c r="S410">
        <v>-99999</v>
      </c>
      <c r="T410">
        <v>-99999</v>
      </c>
      <c r="U410">
        <v>-99999</v>
      </c>
      <c r="V410">
        <v>-99999</v>
      </c>
      <c r="W410">
        <v>-99999</v>
      </c>
      <c r="X410">
        <v>-99999</v>
      </c>
      <c r="Y410">
        <v>-99999</v>
      </c>
      <c r="Z410">
        <v>-99999</v>
      </c>
      <c r="AA410">
        <v>-99999</v>
      </c>
      <c r="AB410">
        <v>-99999</v>
      </c>
      <c r="AC410">
        <v>-99999</v>
      </c>
      <c r="AD410">
        <v>-99999</v>
      </c>
      <c r="AE410">
        <v>-99999</v>
      </c>
      <c r="AF410">
        <v>-99999</v>
      </c>
      <c r="AG410">
        <v>-99999</v>
      </c>
      <c r="AH410">
        <v>-99999</v>
      </c>
      <c r="AI410">
        <v>-99999</v>
      </c>
      <c r="AJ410">
        <v>-99999</v>
      </c>
      <c r="AK410">
        <v>-99999</v>
      </c>
      <c r="AL410">
        <v>-99999</v>
      </c>
      <c r="AM410">
        <v>-99999</v>
      </c>
      <c r="AN410">
        <v>-99999</v>
      </c>
      <c r="AO410">
        <v>-99999</v>
      </c>
      <c r="AP410">
        <v>-99999</v>
      </c>
      <c r="AQ410">
        <v>-99999</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0</v>
      </c>
      <c r="BT410">
        <v>0</v>
      </c>
      <c r="BU410">
        <v>0</v>
      </c>
      <c r="BV410">
        <v>0</v>
      </c>
      <c r="BW410">
        <v>0</v>
      </c>
      <c r="BX410">
        <v>0</v>
      </c>
      <c r="BY410">
        <v>0</v>
      </c>
      <c r="BZ410">
        <v>0</v>
      </c>
      <c r="CA410">
        <v>0</v>
      </c>
      <c r="CB410">
        <v>0</v>
      </c>
      <c r="CC410">
        <v>0</v>
      </c>
      <c r="CD410">
        <v>0</v>
      </c>
      <c r="CE410">
        <v>0</v>
      </c>
      <c r="CF410">
        <v>0</v>
      </c>
      <c r="CG410">
        <v>0</v>
      </c>
      <c r="CH410">
        <v>0</v>
      </c>
      <c r="CI410">
        <v>0</v>
      </c>
      <c r="CJ410">
        <v>0</v>
      </c>
      <c r="CK410">
        <v>0</v>
      </c>
      <c r="CL410">
        <v>0</v>
      </c>
      <c r="CM410">
        <v>0</v>
      </c>
      <c r="CN410">
        <v>0</v>
      </c>
      <c r="CO410">
        <v>0</v>
      </c>
      <c r="CP410">
        <v>0</v>
      </c>
    </row>
    <row r="411" spans="4:94" x14ac:dyDescent="0.2">
      <c r="D411" t="s">
        <v>72</v>
      </c>
      <c r="E411" t="s">
        <v>87</v>
      </c>
      <c r="J411" t="s">
        <v>101</v>
      </c>
      <c r="K411" t="s">
        <v>101</v>
      </c>
      <c r="M411" t="s">
        <v>7</v>
      </c>
      <c r="N411">
        <v>1</v>
      </c>
      <c r="O411">
        <v>0</v>
      </c>
      <c r="P411">
        <v>1</v>
      </c>
      <c r="Q411" t="s">
        <v>359</v>
      </c>
      <c r="S411">
        <v>-99999</v>
      </c>
      <c r="T411">
        <v>-99999</v>
      </c>
      <c r="U411">
        <v>-99999</v>
      </c>
      <c r="V411">
        <v>-99999</v>
      </c>
      <c r="W411">
        <v>-99999</v>
      </c>
      <c r="X411">
        <v>-99999</v>
      </c>
      <c r="Y411">
        <v>-99999</v>
      </c>
      <c r="Z411">
        <v>-99999</v>
      </c>
      <c r="AA411">
        <v>-99999</v>
      </c>
      <c r="AB411">
        <v>-99999</v>
      </c>
      <c r="AC411">
        <v>-99999</v>
      </c>
      <c r="AD411">
        <v>-99999</v>
      </c>
      <c r="AE411">
        <v>-99999</v>
      </c>
      <c r="AF411">
        <v>-99999</v>
      </c>
      <c r="AG411">
        <v>-99999</v>
      </c>
      <c r="AH411">
        <v>-99999</v>
      </c>
      <c r="AI411">
        <v>-99999</v>
      </c>
      <c r="AJ411">
        <v>-99999</v>
      </c>
      <c r="AK411">
        <v>-99999</v>
      </c>
      <c r="AL411">
        <v>-99999</v>
      </c>
      <c r="AM411">
        <v>-99999</v>
      </c>
      <c r="AN411">
        <v>-99999</v>
      </c>
      <c r="AO411">
        <v>-99999</v>
      </c>
      <c r="AP411">
        <v>-99999</v>
      </c>
      <c r="AQ411">
        <v>-99999</v>
      </c>
      <c r="AR411">
        <v>2984.1777643445298</v>
      </c>
      <c r="AS411">
        <v>3391.4204937289001</v>
      </c>
      <c r="AT411">
        <v>3746.0645298816498</v>
      </c>
      <c r="AU411">
        <v>4025.6709102096302</v>
      </c>
      <c r="AV411">
        <v>4210.5535385497697</v>
      </c>
      <c r="AW411">
        <v>4287.5076878844702</v>
      </c>
      <c r="AX411">
        <v>4255.7669516844799</v>
      </c>
      <c r="AY411">
        <v>4125.6737315159398</v>
      </c>
      <c r="AZ411">
        <v>3903.6756391928302</v>
      </c>
      <c r="BA411">
        <v>3598.0383429127901</v>
      </c>
      <c r="BB411">
        <v>3212.7589558786099</v>
      </c>
      <c r="BC411">
        <v>2748.7025716195599</v>
      </c>
      <c r="BD411">
        <v>2205.72022756768</v>
      </c>
      <c r="BE411">
        <v>1584.2612805327101</v>
      </c>
      <c r="BF411">
        <v>886.04934867022905</v>
      </c>
      <c r="BG411">
        <v>716.18056549503899</v>
      </c>
      <c r="BH411">
        <v>660.53798877299801</v>
      </c>
      <c r="BI411">
        <v>569.18483811725901</v>
      </c>
      <c r="BJ411">
        <v>671.18617265977798</v>
      </c>
      <c r="BK411">
        <v>286.36212502236901</v>
      </c>
      <c r="BL411">
        <v>268.449245036528</v>
      </c>
      <c r="BM411">
        <v>246.46253949380699</v>
      </c>
      <c r="BN411">
        <v>226.61101334202101</v>
      </c>
      <c r="BO411">
        <v>207.31640865846899</v>
      </c>
      <c r="BP411">
        <v>191.04947091868701</v>
      </c>
      <c r="BQ411">
        <v>180.264636272149</v>
      </c>
      <c r="BR411">
        <v>197.94094685912</v>
      </c>
      <c r="BS411">
        <v>256.68407997063503</v>
      </c>
      <c r="BT411">
        <v>356.66654412715201</v>
      </c>
      <c r="BU411">
        <v>504.35674142924</v>
      </c>
      <c r="BV411">
        <v>705.48599182535997</v>
      </c>
      <c r="BW411">
        <v>962.37801390554603</v>
      </c>
      <c r="BX411">
        <v>1274.6723415429101</v>
      </c>
      <c r="BY411">
        <v>1638.60105830112</v>
      </c>
      <c r="BZ411">
        <v>2047.1042837196401</v>
      </c>
      <c r="CA411">
        <v>2490.50096930477</v>
      </c>
      <c r="CB411">
        <v>2959.1535657589002</v>
      </c>
      <c r="CC411">
        <v>3442.1285256367</v>
      </c>
      <c r="CD411">
        <v>3927.9573387217301</v>
      </c>
      <c r="CE411">
        <v>4406.9021736766699</v>
      </c>
      <c r="CF411">
        <v>4870.04884550114</v>
      </c>
      <c r="CG411">
        <v>5310.9549521881399</v>
      </c>
      <c r="CH411">
        <v>5724.4701298481205</v>
      </c>
      <c r="CI411">
        <v>6104.7285379965406</v>
      </c>
      <c r="CJ411">
        <v>6445.6919845652801</v>
      </c>
      <c r="CK411">
        <v>6749.8450232791301</v>
      </c>
      <c r="CL411">
        <v>7042.6720545990402</v>
      </c>
      <c r="CM411">
        <v>7323.6085360507004</v>
      </c>
      <c r="CN411">
        <v>7594.0311977602914</v>
      </c>
      <c r="CO411">
        <v>7854.9435536725796</v>
      </c>
      <c r="CP411">
        <v>8054.5393960399797</v>
      </c>
    </row>
    <row r="412" spans="4:94" x14ac:dyDescent="0.2">
      <c r="D412" t="s">
        <v>72</v>
      </c>
      <c r="E412" t="s">
        <v>140</v>
      </c>
      <c r="F412" t="s">
        <v>141</v>
      </c>
      <c r="G412" t="s">
        <v>142</v>
      </c>
      <c r="K412" t="s">
        <v>96</v>
      </c>
      <c r="M412" t="s">
        <v>6</v>
      </c>
      <c r="N412">
        <v>1</v>
      </c>
      <c r="O412">
        <v>1</v>
      </c>
      <c r="P412">
        <v>0</v>
      </c>
      <c r="Q412" t="s">
        <v>360</v>
      </c>
      <c r="S412">
        <v>64.588499999999996</v>
      </c>
      <c r="T412">
        <v>64.588499999999996</v>
      </c>
      <c r="U412">
        <v>64.588499999999996</v>
      </c>
      <c r="V412">
        <v>64.588499999999996</v>
      </c>
      <c r="W412">
        <v>64.588499999999996</v>
      </c>
      <c r="X412">
        <v>64.588499999999996</v>
      </c>
      <c r="Y412">
        <v>64.588499999999996</v>
      </c>
      <c r="Z412">
        <v>64.727999999999994</v>
      </c>
      <c r="AA412">
        <v>64.83959999999999</v>
      </c>
      <c r="AB412">
        <v>64.951199999999986</v>
      </c>
      <c r="AC412">
        <v>65.062799999999996</v>
      </c>
      <c r="AD412">
        <v>58.841099999999997</v>
      </c>
      <c r="AE412">
        <v>52.591500000000003</v>
      </c>
      <c r="AF412">
        <v>46.369799999999998</v>
      </c>
      <c r="AG412">
        <v>40.120199999999997</v>
      </c>
      <c r="AH412">
        <v>33.898499999999999</v>
      </c>
      <c r="AI412">
        <v>33.898499999999999</v>
      </c>
      <c r="AJ412">
        <v>44.946899999999999</v>
      </c>
      <c r="AK412">
        <v>44.946899999999999</v>
      </c>
      <c r="AL412">
        <v>76.9482</v>
      </c>
      <c r="AM412">
        <v>62.35649999999999</v>
      </c>
      <c r="AN412">
        <v>82.890900000000002</v>
      </c>
      <c r="AO412">
        <v>28.5138</v>
      </c>
      <c r="AP412">
        <v>10.964700000000001</v>
      </c>
      <c r="AQ412">
        <v>2.6505000000000001</v>
      </c>
      <c r="AR412">
        <v>23.0185355017713</v>
      </c>
      <c r="AS412">
        <v>29.623564287226898</v>
      </c>
      <c r="AT412">
        <v>27.575927656186199</v>
      </c>
      <c r="AU412">
        <v>27.681744122717198</v>
      </c>
      <c r="AV412">
        <v>28.910584054346</v>
      </c>
      <c r="AW412">
        <v>30.329403940903202</v>
      </c>
      <c r="AX412">
        <v>31.952010219303698</v>
      </c>
      <c r="AY412">
        <v>33.785907282321801</v>
      </c>
      <c r="AZ412">
        <v>35.829857618429713</v>
      </c>
      <c r="BA412">
        <v>38.0138188776493</v>
      </c>
      <c r="BB412">
        <v>40.296800057998098</v>
      </c>
      <c r="BC412">
        <v>42.622962417518998</v>
      </c>
      <c r="BD412">
        <v>44.927357427911303</v>
      </c>
      <c r="BE412">
        <v>47.141161597478813</v>
      </c>
      <c r="BF412">
        <v>49.198618150855303</v>
      </c>
      <c r="BG412">
        <v>51.043969377954603</v>
      </c>
      <c r="BH412">
        <v>52.637060626115399</v>
      </c>
      <c r="BI412">
        <v>53.956668792658299</v>
      </c>
      <c r="BJ412">
        <v>55.001189983814498</v>
      </c>
      <c r="BK412">
        <v>55.7869401146706</v>
      </c>
      <c r="BL412">
        <v>56.341860331805897</v>
      </c>
      <c r="BM412">
        <v>56.703221901421998</v>
      </c>
      <c r="BN412">
        <v>56.908185802772699</v>
      </c>
      <c r="BO412">
        <v>56.999669160074198</v>
      </c>
      <c r="BP412">
        <v>57.018669110671098</v>
      </c>
      <c r="BQ412">
        <v>57.000846544653498</v>
      </c>
      <c r="BR412">
        <v>56.967919702786197</v>
      </c>
      <c r="BS412">
        <v>56.952292935976899</v>
      </c>
      <c r="BT412">
        <v>56.979943993634798</v>
      </c>
      <c r="BU412">
        <v>57.070089559180197</v>
      </c>
      <c r="BV412">
        <v>57.236047986810298</v>
      </c>
      <c r="BW412">
        <v>57.486111711658097</v>
      </c>
      <c r="BX412">
        <v>57.824220502386801</v>
      </c>
      <c r="BY412">
        <v>58.250649856176601</v>
      </c>
      <c r="BZ412">
        <v>58.762200321352587</v>
      </c>
      <c r="CA412">
        <v>59.353016244773897</v>
      </c>
      <c r="CB412">
        <v>60.015665947471398</v>
      </c>
      <c r="CC412">
        <v>60.745701552624197</v>
      </c>
      <c r="CD412">
        <v>61.538126588840399</v>
      </c>
      <c r="CE412">
        <v>62.387231368994513</v>
      </c>
      <c r="CF412">
        <v>63.286735875851498</v>
      </c>
      <c r="CG412">
        <v>64.231406788951602</v>
      </c>
      <c r="CH412">
        <v>65.216437887732198</v>
      </c>
      <c r="CI412">
        <v>66.236142858659093</v>
      </c>
      <c r="CJ412">
        <v>67.2856857181213</v>
      </c>
      <c r="CK412">
        <v>68.36050331293319</v>
      </c>
      <c r="CL412">
        <v>69.456639852362898</v>
      </c>
      <c r="CM412">
        <v>70.570968153611503</v>
      </c>
      <c r="CN412">
        <v>71.700841426892111</v>
      </c>
      <c r="CO412">
        <v>72.844627166459603</v>
      </c>
      <c r="CP412">
        <v>74.002199806795588</v>
      </c>
    </row>
    <row r="413" spans="4:94" x14ac:dyDescent="0.2">
      <c r="D413" t="s">
        <v>72</v>
      </c>
      <c r="E413" t="s">
        <v>140</v>
      </c>
      <c r="F413" t="s">
        <v>141</v>
      </c>
      <c r="G413" t="s">
        <v>143</v>
      </c>
      <c r="K413" t="s">
        <v>96</v>
      </c>
      <c r="M413" t="s">
        <v>8</v>
      </c>
      <c r="N413">
        <v>1</v>
      </c>
      <c r="O413">
        <v>1</v>
      </c>
      <c r="P413">
        <v>0</v>
      </c>
      <c r="Q413" t="s">
        <v>361</v>
      </c>
      <c r="S413">
        <v>16.38</v>
      </c>
      <c r="T413">
        <v>16.38</v>
      </c>
      <c r="U413">
        <v>16.38</v>
      </c>
      <c r="V413">
        <v>16.38</v>
      </c>
      <c r="W413">
        <v>16.38</v>
      </c>
      <c r="X413">
        <v>16.38</v>
      </c>
      <c r="Y413">
        <v>16.38</v>
      </c>
      <c r="Z413">
        <v>16.38</v>
      </c>
      <c r="AA413">
        <v>16.38</v>
      </c>
      <c r="AB413">
        <v>16.38</v>
      </c>
      <c r="AC413">
        <v>16.38</v>
      </c>
      <c r="AD413">
        <v>15.015000000000001</v>
      </c>
      <c r="AE413">
        <v>13.377000000000001</v>
      </c>
      <c r="AF413">
        <v>11.739000000000001</v>
      </c>
      <c r="AG413">
        <v>10.101000000000001</v>
      </c>
      <c r="AH413">
        <v>8.4629999999999992</v>
      </c>
      <c r="AI413">
        <v>8.4629999999999992</v>
      </c>
      <c r="AJ413">
        <v>11.465999999999999</v>
      </c>
      <c r="AK413">
        <v>11.465999999999999</v>
      </c>
      <c r="AL413">
        <v>19.382999999999999</v>
      </c>
      <c r="AM413">
        <v>15.834</v>
      </c>
      <c r="AN413">
        <v>21.021000000000001</v>
      </c>
      <c r="AO413">
        <v>7.3710000000000004</v>
      </c>
      <c r="AP413">
        <v>2.73</v>
      </c>
      <c r="AQ413">
        <v>0.54600000000000004</v>
      </c>
      <c r="AR413">
        <v>5.5015627295143004</v>
      </c>
      <c r="AS413">
        <v>7.0802026994914007</v>
      </c>
      <c r="AT413">
        <v>6.5908057362459997</v>
      </c>
      <c r="AU413">
        <v>6.6160964819753003</v>
      </c>
      <c r="AV413">
        <v>6.9097963121781998</v>
      </c>
      <c r="AW413">
        <v>7.2489024471960004</v>
      </c>
      <c r="AX413">
        <v>7.6367147050712996</v>
      </c>
      <c r="AY413">
        <v>8.075026678953801</v>
      </c>
      <c r="AZ413">
        <v>8.5635425964519012</v>
      </c>
      <c r="BA413">
        <v>9.0855219319964995</v>
      </c>
      <c r="BB413">
        <v>9.631167599724801</v>
      </c>
      <c r="BC413">
        <v>10.1871338182948</v>
      </c>
      <c r="BD413">
        <v>10.7378975148939</v>
      </c>
      <c r="BE413">
        <v>11.2670094781115</v>
      </c>
      <c r="BF413">
        <v>11.758753459425201</v>
      </c>
      <c r="BG413">
        <v>12.199803044577701</v>
      </c>
      <c r="BH413">
        <v>12.580561040016701</v>
      </c>
      <c r="BI413">
        <v>12.8959550018113</v>
      </c>
      <c r="BJ413">
        <v>13.145601590101499</v>
      </c>
      <c r="BK413">
        <v>13.333400402684401</v>
      </c>
      <c r="BL413">
        <v>13.4660295347249</v>
      </c>
      <c r="BM413">
        <v>13.5523970337835</v>
      </c>
      <c r="BN413">
        <v>13.6013845882038</v>
      </c>
      <c r="BO413">
        <v>13.623249638170201</v>
      </c>
      <c r="BP413">
        <v>13.6277907359329</v>
      </c>
      <c r="BQ413">
        <v>13.6235310398745</v>
      </c>
      <c r="BR413">
        <v>13.6156613347839</v>
      </c>
      <c r="BS413">
        <v>13.6119264473991</v>
      </c>
      <c r="BT413">
        <v>13.618535209639001</v>
      </c>
      <c r="BU413">
        <v>13.6400805196609</v>
      </c>
      <c r="BV413">
        <v>13.679745540922999</v>
      </c>
      <c r="BW413">
        <v>13.739512213243099</v>
      </c>
      <c r="BX413">
        <v>13.8203221640522</v>
      </c>
      <c r="BY413">
        <v>13.9222412387648</v>
      </c>
      <c r="BZ413">
        <v>14.04450474998</v>
      </c>
      <c r="CA413">
        <v>14.185713162828399</v>
      </c>
      <c r="CB413">
        <v>14.344090263178799</v>
      </c>
      <c r="CC413">
        <v>14.518572982820899</v>
      </c>
      <c r="CD413">
        <v>14.707967136278</v>
      </c>
      <c r="CE413">
        <v>14.9109080754003</v>
      </c>
      <c r="CF413">
        <v>15.125894839852499</v>
      </c>
      <c r="CG413">
        <v>15.3516766358651</v>
      </c>
      <c r="CH413">
        <v>15.587104749006601</v>
      </c>
      <c r="CI413">
        <v>15.830820117550401</v>
      </c>
      <c r="CJ413">
        <v>16.081666913524899</v>
      </c>
      <c r="CK413">
        <v>16.3385545170038</v>
      </c>
      <c r="CL413">
        <v>16.6005374711896</v>
      </c>
      <c r="CM413">
        <v>16.866868361359401</v>
      </c>
      <c r="CN413">
        <v>17.136914589490502</v>
      </c>
      <c r="CO413">
        <v>17.410285977295398</v>
      </c>
      <c r="CP413">
        <v>17.686952513891001</v>
      </c>
    </row>
    <row r="414" spans="4:94" x14ac:dyDescent="0.2">
      <c r="D414" t="s">
        <v>72</v>
      </c>
      <c r="E414" t="s">
        <v>140</v>
      </c>
      <c r="F414" t="s">
        <v>144</v>
      </c>
      <c r="K414" t="s">
        <v>96</v>
      </c>
      <c r="M414" t="s">
        <v>7</v>
      </c>
      <c r="N414">
        <v>1</v>
      </c>
      <c r="O414">
        <v>1</v>
      </c>
      <c r="P414">
        <v>0</v>
      </c>
      <c r="Q414" t="s">
        <v>362</v>
      </c>
      <c r="S414">
        <v>0.45500000000000002</v>
      </c>
      <c r="T414">
        <v>0.45500000000000002</v>
      </c>
      <c r="U414">
        <v>0.45500000000000002</v>
      </c>
      <c r="V414">
        <v>0.45500000000000002</v>
      </c>
      <c r="W414">
        <v>0.45500000000000002</v>
      </c>
      <c r="X414">
        <v>0.45500000000000002</v>
      </c>
      <c r="Y414">
        <v>0.45500000000000002</v>
      </c>
      <c r="Z414">
        <v>2.5369999999999999</v>
      </c>
      <c r="AA414">
        <v>2.2730000000000001</v>
      </c>
      <c r="AB414">
        <v>2.3610000000000002</v>
      </c>
      <c r="AC414">
        <v>2.5369999999999999</v>
      </c>
      <c r="AD414">
        <v>2.75</v>
      </c>
      <c r="AE414">
        <v>2.5369999999999999</v>
      </c>
      <c r="AF414">
        <v>2.5369999999999999</v>
      </c>
      <c r="AG414">
        <v>2.5369999999999999</v>
      </c>
      <c r="AH414">
        <v>2.5369999999999999</v>
      </c>
      <c r="AI414">
        <v>2.5369999999999999</v>
      </c>
      <c r="AJ414">
        <v>2.5369999999999999</v>
      </c>
      <c r="AK414">
        <v>2.5369999999999999</v>
      </c>
      <c r="AL414">
        <v>2.5369999999999999</v>
      </c>
      <c r="AM414">
        <v>2.5369999999999999</v>
      </c>
      <c r="AN414">
        <v>2.5369999999999999</v>
      </c>
      <c r="AO414">
        <v>4.1070000000000002</v>
      </c>
      <c r="AP414">
        <v>4.5830000000000002</v>
      </c>
      <c r="AQ414">
        <v>4.5830000000000002</v>
      </c>
      <c r="AR414">
        <v>3.3701448906936202E-2</v>
      </c>
      <c r="AS414">
        <v>3.3766171415199699E-2</v>
      </c>
      <c r="AT414">
        <v>3.3842178715488502E-2</v>
      </c>
      <c r="AU414">
        <v>3.3925487721363702E-2</v>
      </c>
      <c r="AV414">
        <v>3.5392604884591901E-2</v>
      </c>
      <c r="AW414">
        <v>3.7095710031894699E-2</v>
      </c>
      <c r="AX414">
        <v>3.9050058225227398E-2</v>
      </c>
      <c r="AY414">
        <v>4.1263559744352293E-2</v>
      </c>
      <c r="AZ414">
        <v>4.3733827740250197E-2</v>
      </c>
      <c r="BA414">
        <v>4.6441584549831799E-2</v>
      </c>
      <c r="BB414">
        <v>4.9345901941799802E-2</v>
      </c>
      <c r="BC414">
        <v>5.23862377383051E-2</v>
      </c>
      <c r="BD414">
        <v>5.5490304786277603E-2</v>
      </c>
      <c r="BE414">
        <v>5.8579259020136699E-2</v>
      </c>
      <c r="BF414">
        <v>6.1575561033076397E-2</v>
      </c>
      <c r="BG414">
        <v>6.4411096905127196E-2</v>
      </c>
      <c r="BH414">
        <v>6.7034016183680392E-2</v>
      </c>
      <c r="BI414">
        <v>6.9413120256173799E-2</v>
      </c>
      <c r="BJ414">
        <v>7.1539262577922397E-2</v>
      </c>
      <c r="BK414">
        <v>7.3423944509753605E-2</v>
      </c>
      <c r="BL414">
        <v>7.5089861596074101E-2</v>
      </c>
      <c r="BM414">
        <v>7.6570500049819898E-2</v>
      </c>
      <c r="BN414">
        <v>7.7896786426128906E-2</v>
      </c>
      <c r="BO414">
        <v>7.91090223315499E-2</v>
      </c>
      <c r="BP414">
        <v>8.0246547458851306E-2</v>
      </c>
      <c r="BQ414">
        <v>8.1345783674777003E-2</v>
      </c>
      <c r="BR414">
        <v>8.2425048098957107E-2</v>
      </c>
      <c r="BS414">
        <v>8.3514446952597188E-2</v>
      </c>
      <c r="BT414">
        <v>8.4636670354374E-2</v>
      </c>
      <c r="BU414">
        <v>8.5807485744929995E-2</v>
      </c>
      <c r="BV414">
        <v>8.7037161589680001E-2</v>
      </c>
      <c r="BW414">
        <v>8.8331465247390092E-2</v>
      </c>
      <c r="BX414">
        <v>8.9692426695043695E-2</v>
      </c>
      <c r="BY414">
        <v>9.1118883354326108E-2</v>
      </c>
      <c r="BZ414">
        <v>9.2606209224065705E-2</v>
      </c>
      <c r="CA414">
        <v>9.4147185547885509E-2</v>
      </c>
      <c r="CB414">
        <v>9.5733355966630393E-2</v>
      </c>
      <c r="CC414">
        <v>9.7363874653804E-2</v>
      </c>
      <c r="CD414">
        <v>9.9036961066588589E-2</v>
      </c>
      <c r="CE414">
        <v>0.10074954279080001</v>
      </c>
      <c r="CF414">
        <v>0.1024974312927</v>
      </c>
      <c r="CG414">
        <v>0.1042779641591</v>
      </c>
      <c r="CH414">
        <v>0.10608873427859999</v>
      </c>
      <c r="CI414">
        <v>0.1079252918856</v>
      </c>
      <c r="CJ414">
        <v>0.1097845554428</v>
      </c>
      <c r="CK414">
        <v>0.1116633092721</v>
      </c>
      <c r="CL414">
        <v>0.1135588148318</v>
      </c>
      <c r="CM414">
        <v>0.11546904763140001</v>
      </c>
      <c r="CN414">
        <v>0.1173943548913</v>
      </c>
      <c r="CO414">
        <v>0.11933512144699999</v>
      </c>
      <c r="CP414">
        <v>0.1212929389908</v>
      </c>
    </row>
    <row r="415" spans="4:94" x14ac:dyDescent="0.2">
      <c r="D415" t="s">
        <v>72</v>
      </c>
      <c r="E415" t="s">
        <v>140</v>
      </c>
      <c r="F415" t="s">
        <v>145</v>
      </c>
      <c r="K415" t="s">
        <v>96</v>
      </c>
      <c r="M415" t="s">
        <v>7</v>
      </c>
      <c r="N415">
        <v>1</v>
      </c>
      <c r="O415">
        <v>1</v>
      </c>
      <c r="P415">
        <v>0</v>
      </c>
      <c r="Q415" t="s">
        <v>363</v>
      </c>
      <c r="S415">
        <v>0</v>
      </c>
      <c r="T415">
        <v>0</v>
      </c>
      <c r="U415">
        <v>0</v>
      </c>
      <c r="V415">
        <v>0</v>
      </c>
      <c r="W415">
        <v>0</v>
      </c>
      <c r="X415">
        <v>0</v>
      </c>
      <c r="Y415">
        <v>0</v>
      </c>
      <c r="Z415">
        <v>0</v>
      </c>
      <c r="AA415">
        <v>0</v>
      </c>
      <c r="AB415">
        <v>0</v>
      </c>
      <c r="AC415">
        <v>0</v>
      </c>
      <c r="AD415">
        <v>0</v>
      </c>
      <c r="AE415">
        <v>0</v>
      </c>
      <c r="AF415">
        <v>0</v>
      </c>
      <c r="AG415">
        <v>0</v>
      </c>
      <c r="AH415">
        <v>0</v>
      </c>
      <c r="AI415">
        <v>7.0229999999999997</v>
      </c>
      <c r="AJ415">
        <v>6.6980000000000004</v>
      </c>
      <c r="AK415">
        <v>8.6180000000000003</v>
      </c>
      <c r="AL415">
        <v>4.173</v>
      </c>
      <c r="AM415">
        <v>5.0599999999999996</v>
      </c>
      <c r="AN415">
        <v>6.7750000000000004</v>
      </c>
      <c r="AO415">
        <v>8.1319999999999997</v>
      </c>
      <c r="AP415">
        <v>11.872999999999999</v>
      </c>
      <c r="AQ415">
        <v>11.23</v>
      </c>
      <c r="AR415">
        <v>0.12781032508660001</v>
      </c>
      <c r="AS415">
        <v>0.12701713554870001</v>
      </c>
      <c r="AT415">
        <v>0.12651418146230001</v>
      </c>
      <c r="AU415">
        <v>0.12595838214409999</v>
      </c>
      <c r="AV415">
        <v>0.13413315790640001</v>
      </c>
      <c r="AW415">
        <v>0.14414590146459999</v>
      </c>
      <c r="AX415">
        <v>0.1547632972713</v>
      </c>
      <c r="AY415">
        <v>0.1660255484417</v>
      </c>
      <c r="AZ415">
        <v>0.17810713130629999</v>
      </c>
      <c r="BA415">
        <v>0.1905028259356</v>
      </c>
      <c r="BB415">
        <v>0.20316349210869999</v>
      </c>
      <c r="BC415">
        <v>0.2160941661336</v>
      </c>
      <c r="BD415">
        <v>0.22869089886310001</v>
      </c>
      <c r="BE415">
        <v>0.24054882154179999</v>
      </c>
      <c r="BF415">
        <v>0.25125680255600003</v>
      </c>
      <c r="BG415">
        <v>0.26044753976700002</v>
      </c>
      <c r="BH415">
        <v>0.26784226960090002</v>
      </c>
      <c r="BI415">
        <v>0.2732808978006</v>
      </c>
      <c r="BJ415">
        <v>0.27673495608139997</v>
      </c>
      <c r="BK415">
        <v>0.27830328064609999</v>
      </c>
      <c r="BL415">
        <v>0.27835222194289999</v>
      </c>
      <c r="BM415">
        <v>0.27721384035399999</v>
      </c>
      <c r="BN415">
        <v>0.27523805402969997</v>
      </c>
      <c r="BO415">
        <v>0.27278671010439998</v>
      </c>
      <c r="BP415">
        <v>0.27139173488599999</v>
      </c>
      <c r="BQ415">
        <v>0.27413917996420001</v>
      </c>
      <c r="BR415">
        <v>0.27810687778659998</v>
      </c>
      <c r="BS415">
        <v>0.28098141420970002</v>
      </c>
      <c r="BT415">
        <v>0.28343565954610001</v>
      </c>
      <c r="BU415">
        <v>0.28602292154960002</v>
      </c>
      <c r="BV415">
        <v>0.28915349904089999</v>
      </c>
      <c r="BW415">
        <v>0.2931169369394</v>
      </c>
      <c r="BX415">
        <v>0.29808130043429998</v>
      </c>
      <c r="BY415">
        <v>0.3041195047229</v>
      </c>
      <c r="BZ415">
        <v>0.31123076817509998</v>
      </c>
      <c r="CA415">
        <v>0.31935733660749999</v>
      </c>
      <c r="CB415">
        <v>0.32840130258080003</v>
      </c>
      <c r="CC415">
        <v>0.3381258367828</v>
      </c>
      <c r="CD415">
        <v>0.34838713047190001</v>
      </c>
      <c r="CE415">
        <v>0.35906522977939997</v>
      </c>
      <c r="CF415">
        <v>0.3700524128487</v>
      </c>
      <c r="CG415">
        <v>0.38125398961469997</v>
      </c>
      <c r="CH415">
        <v>0.39260107807880001</v>
      </c>
      <c r="CI415">
        <v>0.40404879793449999</v>
      </c>
      <c r="CJ415">
        <v>0.41551356557789998</v>
      </c>
      <c r="CK415">
        <v>0.42692727276730003</v>
      </c>
      <c r="CL415">
        <v>0.43823320065369997</v>
      </c>
      <c r="CM415">
        <v>0.44939168612800001</v>
      </c>
      <c r="CN415">
        <v>0.46011387824220001</v>
      </c>
      <c r="CO415">
        <v>0.47019811877700002</v>
      </c>
      <c r="CP415">
        <v>0.47953514061809999</v>
      </c>
    </row>
    <row r="416" spans="4:94" x14ac:dyDescent="0.2">
      <c r="D416" t="s">
        <v>72</v>
      </c>
      <c r="E416" t="s">
        <v>140</v>
      </c>
      <c r="F416" t="s">
        <v>146</v>
      </c>
      <c r="K416" t="s">
        <v>96</v>
      </c>
      <c r="M416" t="s">
        <v>8</v>
      </c>
      <c r="N416">
        <v>1</v>
      </c>
      <c r="O416">
        <v>1</v>
      </c>
      <c r="P416">
        <v>0</v>
      </c>
      <c r="Q416" t="s">
        <v>364</v>
      </c>
      <c r="S416">
        <v>230.685</v>
      </c>
      <c r="T416">
        <v>230.958</v>
      </c>
      <c r="U416">
        <v>237.51</v>
      </c>
      <c r="V416">
        <v>246.792</v>
      </c>
      <c r="W416">
        <v>244.06200000000001</v>
      </c>
      <c r="X416">
        <v>247.61099999999999</v>
      </c>
      <c r="Y416">
        <v>250.887</v>
      </c>
      <c r="Z416">
        <v>254.43600000000001</v>
      </c>
      <c r="AA416">
        <v>257.98500000000001</v>
      </c>
      <c r="AB416">
        <v>261.26100000000002</v>
      </c>
      <c r="AC416">
        <v>365.274</v>
      </c>
      <c r="AD416">
        <v>268.35899999999998</v>
      </c>
      <c r="AE416">
        <v>271.63499999999999</v>
      </c>
      <c r="AF416">
        <v>283.101</v>
      </c>
      <c r="AG416">
        <v>511.60199999999998</v>
      </c>
      <c r="AH416">
        <v>294.83999999999997</v>
      </c>
      <c r="AI416">
        <v>299.75400000000002</v>
      </c>
      <c r="AJ416">
        <v>304.94099999999997</v>
      </c>
      <c r="AK416">
        <v>309.85500000000002</v>
      </c>
      <c r="AL416">
        <v>314.76900000000001</v>
      </c>
      <c r="AM416">
        <v>1339.0650000000001</v>
      </c>
      <c r="AN416">
        <v>327.87299999999999</v>
      </c>
      <c r="AO416">
        <v>329.78399999999999</v>
      </c>
      <c r="AP416">
        <v>330.33</v>
      </c>
      <c r="AQ416">
        <v>1479.66</v>
      </c>
      <c r="AR416">
        <v>1552.8236963133641</v>
      </c>
      <c r="AS416">
        <v>1694.737419536983</v>
      </c>
      <c r="AT416">
        <v>1698.9618334513559</v>
      </c>
      <c r="AU416">
        <v>1726.9796452844421</v>
      </c>
      <c r="AV416">
        <v>1797.939383237017</v>
      </c>
      <c r="AW416">
        <v>1870.164539131539</v>
      </c>
      <c r="AX416">
        <v>1946.036117514235</v>
      </c>
      <c r="AY416">
        <v>2026.7258988454171</v>
      </c>
      <c r="AZ416">
        <v>2112.784387078495</v>
      </c>
      <c r="BA416">
        <v>2202.5648585182048</v>
      </c>
      <c r="BB416">
        <v>2294.3023051225791</v>
      </c>
      <c r="BC416">
        <v>2385.1947542915</v>
      </c>
      <c r="BD416">
        <v>2472.7547982299088</v>
      </c>
      <c r="BE416">
        <v>2553.9966207658931</v>
      </c>
      <c r="BF416">
        <v>2626.1440742785971</v>
      </c>
      <c r="BG416">
        <v>2725.3547946491381</v>
      </c>
      <c r="BH416">
        <v>2823.4148559374689</v>
      </c>
      <c r="BI416">
        <v>2909.791619457676</v>
      </c>
      <c r="BJ416">
        <v>2998.9979284404399</v>
      </c>
      <c r="BK416">
        <v>3048.3117418806978</v>
      </c>
      <c r="BL416">
        <v>3113.0347104228549</v>
      </c>
      <c r="BM416">
        <v>3170.8511828186729</v>
      </c>
      <c r="BN416">
        <v>3223.3246813829792</v>
      </c>
      <c r="BO416">
        <v>3271.9373337596212</v>
      </c>
      <c r="BP416">
        <v>3316.689808347001</v>
      </c>
      <c r="BQ416">
        <v>3355.1836994393539</v>
      </c>
      <c r="BR416">
        <v>3394.6134762263309</v>
      </c>
      <c r="BS416">
        <v>3445.0653826049279</v>
      </c>
      <c r="BT416">
        <v>3504.293203707377</v>
      </c>
      <c r="BU416">
        <v>3569.190922735801</v>
      </c>
      <c r="BV416">
        <v>3640.1662814326401</v>
      </c>
      <c r="BW416">
        <v>3717.3282539229108</v>
      </c>
      <c r="BX416">
        <v>3800.5678407344162</v>
      </c>
      <c r="BY416">
        <v>3889.5128911174702</v>
      </c>
      <c r="BZ416">
        <v>3983.496973098142</v>
      </c>
      <c r="CA416">
        <v>4081.6284035803769</v>
      </c>
      <c r="CB416">
        <v>4183.0014402407369</v>
      </c>
      <c r="CC416">
        <v>4287.2096154942355</v>
      </c>
      <c r="CD416">
        <v>4393.6409112942747</v>
      </c>
      <c r="CE416">
        <v>4501.7002550307934</v>
      </c>
      <c r="CF416">
        <v>4610.775176195245</v>
      </c>
      <c r="CG416">
        <v>4720.519431023652</v>
      </c>
      <c r="CH416">
        <v>4830.7259200386752</v>
      </c>
      <c r="CI416">
        <v>4940.7583953511039</v>
      </c>
      <c r="CJ416">
        <v>5050.2368125849771</v>
      </c>
      <c r="CK416">
        <v>5159.3008145624308</v>
      </c>
      <c r="CL416">
        <v>5269.5683723784441</v>
      </c>
      <c r="CM416">
        <v>5382.9414985610883</v>
      </c>
      <c r="CN416">
        <v>5500.5921675062691</v>
      </c>
      <c r="CO416">
        <v>5623.256689189051</v>
      </c>
      <c r="CP416">
        <v>5748.2696125117354</v>
      </c>
    </row>
    <row r="417" spans="4:94" x14ac:dyDescent="0.2">
      <c r="D417" t="s">
        <v>72</v>
      </c>
      <c r="E417" t="s">
        <v>140</v>
      </c>
      <c r="F417" t="s">
        <v>147</v>
      </c>
      <c r="K417" t="s">
        <v>96</v>
      </c>
      <c r="M417" t="s">
        <v>8</v>
      </c>
      <c r="N417">
        <v>1</v>
      </c>
      <c r="O417">
        <v>1</v>
      </c>
      <c r="P417">
        <v>0</v>
      </c>
      <c r="Q417" t="s">
        <v>365</v>
      </c>
      <c r="S417">
        <v>255.80099999999999</v>
      </c>
      <c r="T417">
        <v>186.18600000000001</v>
      </c>
      <c r="U417">
        <v>197.10599999999999</v>
      </c>
      <c r="V417">
        <v>202.566</v>
      </c>
      <c r="W417">
        <v>208.29900000000001</v>
      </c>
      <c r="X417">
        <v>213.21299999999999</v>
      </c>
      <c r="Y417">
        <v>219.21899999999999</v>
      </c>
      <c r="Z417">
        <v>224.679</v>
      </c>
      <c r="AA417">
        <v>230.13900000000001</v>
      </c>
      <c r="AB417">
        <v>235.59899999999999</v>
      </c>
      <c r="AC417">
        <v>241.33199999999999</v>
      </c>
      <c r="AD417">
        <v>246.792</v>
      </c>
      <c r="AE417">
        <v>252.52500000000001</v>
      </c>
      <c r="AF417">
        <v>276.00299999999999</v>
      </c>
      <c r="AG417">
        <v>289.10700000000003</v>
      </c>
      <c r="AH417">
        <v>405.13200000000001</v>
      </c>
      <c r="AI417">
        <v>315.58800000000002</v>
      </c>
      <c r="AJ417">
        <v>328.69200000000001</v>
      </c>
      <c r="AK417">
        <v>341.79599999999999</v>
      </c>
      <c r="AL417">
        <v>354.9</v>
      </c>
      <c r="AM417">
        <v>368.00400000000002</v>
      </c>
      <c r="AN417">
        <v>381.10799999999989</v>
      </c>
      <c r="AO417">
        <v>394.21199999999999</v>
      </c>
      <c r="AP417">
        <v>394.21199999999999</v>
      </c>
      <c r="AQ417">
        <v>401.58300000000003</v>
      </c>
      <c r="AR417">
        <v>374.46078179201112</v>
      </c>
      <c r="AS417">
        <v>371.32090803973563</v>
      </c>
      <c r="AT417">
        <v>373.71267995018388</v>
      </c>
      <c r="AU417">
        <v>376.43339394388607</v>
      </c>
      <c r="AV417">
        <v>388.10534465267091</v>
      </c>
      <c r="AW417">
        <v>400.89905590505231</v>
      </c>
      <c r="AX417">
        <v>416.73483303123351</v>
      </c>
      <c r="AY417">
        <v>435.84650861587181</v>
      </c>
      <c r="AZ417">
        <v>457.82164626310117</v>
      </c>
      <c r="BA417">
        <v>483.00982687053551</v>
      </c>
      <c r="BB417">
        <v>510.71284112812248</v>
      </c>
      <c r="BC417">
        <v>539.63540372633202</v>
      </c>
      <c r="BD417">
        <v>569.88979871596712</v>
      </c>
      <c r="BE417">
        <v>600.86160855438925</v>
      </c>
      <c r="BF417">
        <v>631.97203089307391</v>
      </c>
      <c r="BG417">
        <v>662.72905963691198</v>
      </c>
      <c r="BH417">
        <v>692.76454855218628</v>
      </c>
      <c r="BI417">
        <v>721.85610245092653</v>
      </c>
      <c r="BJ417">
        <v>749.92767578999099</v>
      </c>
      <c r="BK417">
        <v>777.0327133249624</v>
      </c>
      <c r="BL417">
        <v>802.8197930811283</v>
      </c>
      <c r="BM417">
        <v>827.31624328976966</v>
      </c>
      <c r="BN417">
        <v>850.36884206927414</v>
      </c>
      <c r="BO417">
        <v>872.17128825165901</v>
      </c>
      <c r="BP417">
        <v>891.31783937091336</v>
      </c>
      <c r="BQ417">
        <v>904.43776526829151</v>
      </c>
      <c r="BR417">
        <v>917.96412080409948</v>
      </c>
      <c r="BS417">
        <v>932.98256985090484</v>
      </c>
      <c r="BT417">
        <v>948.95294219216248</v>
      </c>
      <c r="BU417">
        <v>965.38415987620863</v>
      </c>
      <c r="BV417">
        <v>981.89534758721857</v>
      </c>
      <c r="BW417">
        <v>998.19844472311513</v>
      </c>
      <c r="BX417">
        <v>1014.104664021739</v>
      </c>
      <c r="BY417">
        <v>1029.4990070117069</v>
      </c>
      <c r="BZ417">
        <v>1044.3039680509919</v>
      </c>
      <c r="CA417">
        <v>1058.479142282052</v>
      </c>
      <c r="CB417">
        <v>1072.0225759249661</v>
      </c>
      <c r="CC417">
        <v>1085.359768270926</v>
      </c>
      <c r="CD417">
        <v>1098.6463059124069</v>
      </c>
      <c r="CE417">
        <v>1111.9860260428929</v>
      </c>
      <c r="CF417">
        <v>1125.451188254264</v>
      </c>
      <c r="CG417">
        <v>1139.1325847834089</v>
      </c>
      <c r="CH417">
        <v>1153.0856661614059</v>
      </c>
      <c r="CI417">
        <v>1167.295500873116</v>
      </c>
      <c r="CJ417">
        <v>1181.827635249479</v>
      </c>
      <c r="CK417">
        <v>1196.721046679274</v>
      </c>
      <c r="CL417">
        <v>1212.009737428152</v>
      </c>
      <c r="CM417">
        <v>1227.7182847277361</v>
      </c>
      <c r="CN417">
        <v>1244.2096843972811</v>
      </c>
      <c r="CO417">
        <v>1261.740490669388</v>
      </c>
      <c r="CP417">
        <v>1280.475509269251</v>
      </c>
    </row>
    <row r="418" spans="4:94" x14ac:dyDescent="0.2">
      <c r="D418" t="s">
        <v>72</v>
      </c>
      <c r="E418" t="s">
        <v>140</v>
      </c>
      <c r="F418" t="s">
        <v>148</v>
      </c>
      <c r="K418" t="s">
        <v>96</v>
      </c>
      <c r="M418" t="s">
        <v>6</v>
      </c>
      <c r="N418">
        <v>1</v>
      </c>
      <c r="O418">
        <v>1</v>
      </c>
      <c r="P418">
        <v>0</v>
      </c>
      <c r="Q418" t="s">
        <v>366</v>
      </c>
      <c r="S418">
        <v>132.44130000000001</v>
      </c>
      <c r="T418">
        <v>134.92439999999999</v>
      </c>
      <c r="U418">
        <v>137.37960000000001</v>
      </c>
      <c r="V418">
        <v>139.86269999999999</v>
      </c>
      <c r="W418">
        <v>142.3458</v>
      </c>
      <c r="X418">
        <v>144.8289</v>
      </c>
      <c r="Y418">
        <v>147.2841</v>
      </c>
      <c r="Z418">
        <v>148.3443</v>
      </c>
      <c r="AA418">
        <v>149.34870000000001</v>
      </c>
      <c r="AB418">
        <v>150.29730000000001</v>
      </c>
      <c r="AC418">
        <v>151.24590000000001</v>
      </c>
      <c r="AD418">
        <v>152.1387</v>
      </c>
      <c r="AE418">
        <v>153.03149999999999</v>
      </c>
      <c r="AF418">
        <v>153.86850000000001</v>
      </c>
      <c r="AG418">
        <v>153.11519999999999</v>
      </c>
      <c r="AH418">
        <v>152.30609999999999</v>
      </c>
      <c r="AI418">
        <v>151.41329999999999</v>
      </c>
      <c r="AJ418">
        <v>150.46469999999999</v>
      </c>
      <c r="AK418">
        <v>149.4324</v>
      </c>
      <c r="AL418">
        <v>147.56309999999999</v>
      </c>
      <c r="AM418">
        <v>145.61009999999999</v>
      </c>
      <c r="AN418">
        <v>142.59690000000001</v>
      </c>
      <c r="AO418">
        <v>186.8184</v>
      </c>
      <c r="AP418">
        <v>271.2996</v>
      </c>
      <c r="AQ418">
        <v>239.2704</v>
      </c>
      <c r="AR418">
        <v>221.743572946683</v>
      </c>
      <c r="AS418">
        <v>222.65836486915001</v>
      </c>
      <c r="AT418">
        <v>223.543507182871</v>
      </c>
      <c r="AU418">
        <v>224.401305489458</v>
      </c>
      <c r="AV418">
        <v>225.23358669708099</v>
      </c>
      <c r="AW418">
        <v>226.04212078160899</v>
      </c>
      <c r="AX418">
        <v>226.828543030828</v>
      </c>
      <c r="AY418">
        <v>227.59425617629901</v>
      </c>
      <c r="AZ418">
        <v>228.340716605914</v>
      </c>
      <c r="BA418">
        <v>229.04955900720401</v>
      </c>
      <c r="BB418">
        <v>229.654246265914</v>
      </c>
      <c r="BC418">
        <v>230.085908664127</v>
      </c>
      <c r="BD418">
        <v>230.29010979599599</v>
      </c>
      <c r="BE418">
        <v>230.23017747875099</v>
      </c>
      <c r="BF418">
        <v>229.89050171854399</v>
      </c>
      <c r="BG418">
        <v>229.277606397379</v>
      </c>
      <c r="BH418">
        <v>228.419174518293</v>
      </c>
      <c r="BI418">
        <v>227.361520459708</v>
      </c>
      <c r="BJ418">
        <v>226.166014295753</v>
      </c>
      <c r="BK418">
        <v>224.90495233557499</v>
      </c>
      <c r="BL418">
        <v>223.65007075894599</v>
      </c>
      <c r="BM418">
        <v>222.47437556474799</v>
      </c>
      <c r="BN418">
        <v>221.419865189512</v>
      </c>
      <c r="BO418">
        <v>220.55044994249499</v>
      </c>
      <c r="BP418">
        <v>219.92183815641701</v>
      </c>
      <c r="BQ418">
        <v>219.57939401193499</v>
      </c>
      <c r="BR418">
        <v>219.51674395215201</v>
      </c>
      <c r="BS418">
        <v>219.77038726548699</v>
      </c>
      <c r="BT418">
        <v>220.365087165858</v>
      </c>
      <c r="BU418">
        <v>221.313012667305</v>
      </c>
      <c r="BV418">
        <v>222.61705995193299</v>
      </c>
      <c r="BW418">
        <v>224.27320461694501</v>
      </c>
      <c r="BX418">
        <v>226.2714012285</v>
      </c>
      <c r="BY418">
        <v>228.59635321944401</v>
      </c>
      <c r="BZ418">
        <v>231.225875347205</v>
      </c>
      <c r="CA418">
        <v>234.13274053471201</v>
      </c>
      <c r="CB418">
        <v>237.28806996627901</v>
      </c>
      <c r="CC418">
        <v>240.671423322148</v>
      </c>
      <c r="CD418">
        <v>244.26145790287799</v>
      </c>
      <c r="CE418">
        <v>248.034570414585</v>
      </c>
      <c r="CF418">
        <v>251.965181200502</v>
      </c>
      <c r="CG418">
        <v>256.03349441951599</v>
      </c>
      <c r="CH418">
        <v>260.22189000279701</v>
      </c>
      <c r="CI418">
        <v>264.508215438381</v>
      </c>
      <c r="CJ418">
        <v>268.87452898909402</v>
      </c>
      <c r="CK418">
        <v>273.30351689253098</v>
      </c>
      <c r="CL418">
        <v>277.78023956028397</v>
      </c>
      <c r="CM418">
        <v>282.29296811615802</v>
      </c>
      <c r="CN418">
        <v>286.83183375603898</v>
      </c>
      <c r="CO418">
        <v>291.38807765295701</v>
      </c>
      <c r="CP418">
        <v>295.95827125778402</v>
      </c>
    </row>
    <row r="419" spans="4:94" x14ac:dyDescent="0.2">
      <c r="D419" t="s">
        <v>72</v>
      </c>
      <c r="E419" t="s">
        <v>140</v>
      </c>
      <c r="J419" t="s">
        <v>149</v>
      </c>
      <c r="K419" t="s">
        <v>150</v>
      </c>
      <c r="L419" t="s">
        <v>149</v>
      </c>
      <c r="M419" t="s">
        <v>8</v>
      </c>
      <c r="N419">
        <v>1</v>
      </c>
      <c r="O419">
        <v>0</v>
      </c>
      <c r="P419">
        <v>1</v>
      </c>
      <c r="Q419" t="s">
        <v>367</v>
      </c>
      <c r="S419">
        <v>-99999</v>
      </c>
      <c r="T419">
        <v>-99999</v>
      </c>
      <c r="U419">
        <v>-99999</v>
      </c>
      <c r="V419">
        <v>-99999</v>
      </c>
      <c r="W419">
        <v>-99999</v>
      </c>
      <c r="X419">
        <v>-99999</v>
      </c>
      <c r="Y419">
        <v>-99999</v>
      </c>
      <c r="Z419">
        <v>-99999</v>
      </c>
      <c r="AA419">
        <v>-99999</v>
      </c>
      <c r="AB419">
        <v>-99999</v>
      </c>
      <c r="AC419">
        <v>-99999</v>
      </c>
      <c r="AD419">
        <v>-99999</v>
      </c>
      <c r="AE419">
        <v>-99999</v>
      </c>
      <c r="AF419">
        <v>-99999</v>
      </c>
      <c r="AG419">
        <v>-99999</v>
      </c>
      <c r="AH419">
        <v>-99999</v>
      </c>
      <c r="AI419">
        <v>-99999</v>
      </c>
      <c r="AJ419">
        <v>-99999</v>
      </c>
      <c r="AK419">
        <v>-99999</v>
      </c>
      <c r="AL419">
        <v>-99999</v>
      </c>
      <c r="AM419">
        <v>-99999</v>
      </c>
      <c r="AN419">
        <v>-99999</v>
      </c>
      <c r="AO419">
        <v>-99999</v>
      </c>
      <c r="AP419">
        <v>-99999</v>
      </c>
      <c r="AQ419">
        <v>-99999</v>
      </c>
      <c r="AR419">
        <v>1362.3648642176099</v>
      </c>
      <c r="AS419">
        <v>1372.06506095696</v>
      </c>
      <c r="AT419">
        <v>1377.7772579965099</v>
      </c>
      <c r="AU419">
        <v>1383.9837369919101</v>
      </c>
      <c r="AV419">
        <v>1427.7279619998101</v>
      </c>
      <c r="AW419">
        <v>1475.62480238682</v>
      </c>
      <c r="AX419">
        <v>1535.71682582619</v>
      </c>
      <c r="AY419">
        <v>1607.92239172943</v>
      </c>
      <c r="AZ419">
        <v>1691.29128643682</v>
      </c>
      <c r="BA419">
        <v>1787.5453968670699</v>
      </c>
      <c r="BB419">
        <v>1894.58584789727</v>
      </c>
      <c r="BC419">
        <v>2009.1642301890199</v>
      </c>
      <c r="BD419">
        <v>2129.5043042183602</v>
      </c>
      <c r="BE419">
        <v>2252.90527140731</v>
      </c>
      <c r="BF419">
        <v>2376.7877054054402</v>
      </c>
      <c r="BG419">
        <v>2498.9207225249902</v>
      </c>
      <c r="BH419">
        <v>2617.6011354018101</v>
      </c>
      <c r="BI419">
        <v>2731.75765621352</v>
      </c>
      <c r="BJ419">
        <v>2840.9646942916602</v>
      </c>
      <c r="BK419">
        <v>2945.3771916144401</v>
      </c>
      <c r="BL419">
        <v>3044.6586654714201</v>
      </c>
      <c r="BM419">
        <v>3139.0659275926901</v>
      </c>
      <c r="BN419">
        <v>3228.7232829848899</v>
      </c>
      <c r="BO419">
        <v>3314.02608044814</v>
      </c>
      <c r="BP419">
        <v>3388.6620389682598</v>
      </c>
      <c r="BQ419">
        <v>3437.1422035768501</v>
      </c>
      <c r="BR419">
        <v>3478.1417478338099</v>
      </c>
      <c r="BS419">
        <v>3526.1531807677702</v>
      </c>
      <c r="BT419">
        <v>3578.7417922191498</v>
      </c>
      <c r="BU419">
        <v>3633.72992433221</v>
      </c>
      <c r="BV419">
        <v>3689.4091830183502</v>
      </c>
      <c r="BW419">
        <v>3744.47868698401</v>
      </c>
      <c r="BX419">
        <v>3798.1036773451401</v>
      </c>
      <c r="BY419">
        <v>3849.7976992511099</v>
      </c>
      <c r="BZ419">
        <v>3899.2881596094198</v>
      </c>
      <c r="CA419">
        <v>3946.4649069023999</v>
      </c>
      <c r="CB419">
        <v>3991.3648723797901</v>
      </c>
      <c r="CC419">
        <v>4035.1095264243199</v>
      </c>
      <c r="CD419">
        <v>4078.4173601201801</v>
      </c>
      <c r="CE419">
        <v>4121.7915424522098</v>
      </c>
      <c r="CF419">
        <v>4165.5943933050903</v>
      </c>
      <c r="CG419">
        <v>4210.1933535143298</v>
      </c>
      <c r="CH419">
        <v>4255.8306974027701</v>
      </c>
      <c r="CI419">
        <v>4302.4947751848194</v>
      </c>
      <c r="CJ419">
        <v>4350.4688081614586</v>
      </c>
      <c r="CK419">
        <v>4399.9445420961501</v>
      </c>
      <c r="CL419">
        <v>4451.0749181334104</v>
      </c>
      <c r="CM419">
        <v>4503.9571225802001</v>
      </c>
      <c r="CN419">
        <v>4560.2884443916892</v>
      </c>
      <c r="CO419">
        <v>4621.2616007544202</v>
      </c>
      <c r="CP419">
        <v>4687.6025844248197</v>
      </c>
    </row>
    <row r="420" spans="4:94" x14ac:dyDescent="0.2">
      <c r="D420" t="s">
        <v>72</v>
      </c>
      <c r="E420" t="s">
        <v>140</v>
      </c>
      <c r="F420" t="s">
        <v>151</v>
      </c>
      <c r="K420" t="s">
        <v>118</v>
      </c>
      <c r="M420" t="s">
        <v>6</v>
      </c>
      <c r="N420">
        <v>1</v>
      </c>
      <c r="O420">
        <v>1</v>
      </c>
      <c r="P420">
        <v>0</v>
      </c>
      <c r="Q420" t="s">
        <v>368</v>
      </c>
      <c r="S420">
        <v>0</v>
      </c>
      <c r="T420">
        <v>0</v>
      </c>
      <c r="U420">
        <v>0</v>
      </c>
      <c r="V420">
        <v>0</v>
      </c>
      <c r="W420">
        <v>0</v>
      </c>
      <c r="X420">
        <v>0</v>
      </c>
      <c r="Y420">
        <v>0</v>
      </c>
      <c r="Z420">
        <v>0</v>
      </c>
      <c r="AA420">
        <v>0</v>
      </c>
      <c r="AB420">
        <v>0</v>
      </c>
      <c r="AC420">
        <v>0</v>
      </c>
      <c r="AD420">
        <v>0</v>
      </c>
      <c r="AE420">
        <v>0</v>
      </c>
      <c r="AF420">
        <v>0</v>
      </c>
      <c r="AG420">
        <v>0</v>
      </c>
      <c r="AH420">
        <v>0</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0</v>
      </c>
      <c r="BT420">
        <v>0</v>
      </c>
      <c r="BU420">
        <v>0</v>
      </c>
      <c r="BV420">
        <v>0</v>
      </c>
      <c r="BW420">
        <v>0</v>
      </c>
      <c r="BX420">
        <v>0</v>
      </c>
      <c r="BY420">
        <v>0</v>
      </c>
      <c r="BZ420">
        <v>0</v>
      </c>
      <c r="CA420">
        <v>0</v>
      </c>
      <c r="CB420">
        <v>0</v>
      </c>
      <c r="CC420">
        <v>0</v>
      </c>
      <c r="CD420">
        <v>0</v>
      </c>
      <c r="CE420">
        <v>0</v>
      </c>
      <c r="CF420">
        <v>0</v>
      </c>
      <c r="CG420">
        <v>0</v>
      </c>
      <c r="CH420">
        <v>0</v>
      </c>
      <c r="CI420">
        <v>0</v>
      </c>
      <c r="CJ420">
        <v>0</v>
      </c>
      <c r="CK420">
        <v>0</v>
      </c>
      <c r="CL420">
        <v>0</v>
      </c>
      <c r="CM420">
        <v>0</v>
      </c>
      <c r="CN420">
        <v>0</v>
      </c>
      <c r="CO420">
        <v>0</v>
      </c>
      <c r="CP420">
        <v>0</v>
      </c>
    </row>
    <row r="421" spans="4:94" x14ac:dyDescent="0.2">
      <c r="D421" t="s">
        <v>72</v>
      </c>
      <c r="E421" t="s">
        <v>152</v>
      </c>
      <c r="F421" t="s">
        <v>153</v>
      </c>
      <c r="K421" t="s">
        <v>154</v>
      </c>
      <c r="M421" t="s">
        <v>7</v>
      </c>
      <c r="N421">
        <v>1</v>
      </c>
      <c r="O421">
        <v>0</v>
      </c>
      <c r="P421">
        <v>0</v>
      </c>
      <c r="Q421" t="s">
        <v>369</v>
      </c>
      <c r="AR421">
        <v>-1020.47662401917</v>
      </c>
      <c r="AS421">
        <v>-693.27427500759802</v>
      </c>
      <c r="AT421">
        <v>-793.68380205537403</v>
      </c>
      <c r="AU421">
        <v>-804.42628561444496</v>
      </c>
      <c r="AV421">
        <v>-823.17525586280908</v>
      </c>
      <c r="AW421">
        <v>-840.77733589811601</v>
      </c>
      <c r="AX421">
        <v>-857.57417474693796</v>
      </c>
      <c r="AY421">
        <v>-873.80830880572205</v>
      </c>
      <c r="AZ421">
        <v>-921.85425066632899</v>
      </c>
      <c r="BA421">
        <v>-968.28662036988305</v>
      </c>
      <c r="BB421">
        <v>-1027.9627802205</v>
      </c>
      <c r="BC421">
        <v>-1076.7759178812901</v>
      </c>
      <c r="BD421">
        <v>-1136.27156586776</v>
      </c>
      <c r="BE421">
        <v>-1209.9535632739301</v>
      </c>
      <c r="BF421">
        <v>-1292.5945389624101</v>
      </c>
      <c r="BG421">
        <v>-1379.6302010396701</v>
      </c>
      <c r="BH421">
        <v>-1466.9953739365901</v>
      </c>
      <c r="BI421">
        <v>-1551.05536510094</v>
      </c>
      <c r="BJ421">
        <v>-1628.6053889432101</v>
      </c>
      <c r="BK421">
        <v>-1696.9160081218199</v>
      </c>
      <c r="BL421">
        <v>-1753.8056774362999</v>
      </c>
      <c r="BM421">
        <v>-1797.7237100252401</v>
      </c>
      <c r="BN421">
        <v>-1827.82919021163</v>
      </c>
      <c r="BO421">
        <v>-1856.132556757</v>
      </c>
      <c r="BP421">
        <v>-1881.5153407384701</v>
      </c>
      <c r="BQ421">
        <v>-1902.16758283738</v>
      </c>
      <c r="BR421">
        <v>-1917.35847834785</v>
      </c>
      <c r="BS421">
        <v>-1926.4039029728599</v>
      </c>
      <c r="BT421">
        <v>-1935.5394301962499</v>
      </c>
      <c r="BU421">
        <v>-1944.28169130488</v>
      </c>
      <c r="BV421">
        <v>-1952.23349646422</v>
      </c>
      <c r="BW421">
        <v>-1959.0581653587501</v>
      </c>
      <c r="BX421">
        <v>-1964.4615660591401</v>
      </c>
      <c r="BY421">
        <v>-1968.17962722228</v>
      </c>
      <c r="BZ421">
        <v>-1969.96974331409</v>
      </c>
      <c r="CA421">
        <v>-1969.60495518173</v>
      </c>
      <c r="CB421">
        <v>-1966.8701151918699</v>
      </c>
      <c r="CC421">
        <v>-1961.5594770279599</v>
      </c>
      <c r="CD421">
        <v>-1958.2721181474601</v>
      </c>
      <c r="CE421">
        <v>-1956.79770001618</v>
      </c>
      <c r="CF421">
        <v>-1956.9866579171501</v>
      </c>
      <c r="CG421">
        <v>-1958.7326873937</v>
      </c>
      <c r="CH421">
        <v>-1961.96036144974</v>
      </c>
      <c r="CI421">
        <v>-1966.61637601185</v>
      </c>
      <c r="CJ421">
        <v>-1972.66336123407</v>
      </c>
      <c r="CK421">
        <v>-1980.07550740538</v>
      </c>
      <c r="CL421">
        <v>-1988.83547425851</v>
      </c>
      <c r="CM421">
        <v>-1998.93220806929</v>
      </c>
      <c r="CN421">
        <v>-2010.35940095562</v>
      </c>
      <c r="CO421">
        <v>-2023.1144045809201</v>
      </c>
      <c r="CP421">
        <v>-2037.19746547758</v>
      </c>
    </row>
    <row r="422" spans="4:94" x14ac:dyDescent="0.2">
      <c r="D422" t="s">
        <v>155</v>
      </c>
      <c r="E422" t="s">
        <v>156</v>
      </c>
      <c r="F422" t="s">
        <v>157</v>
      </c>
      <c r="K422" t="s">
        <v>158</v>
      </c>
      <c r="M422" t="s">
        <v>6</v>
      </c>
      <c r="N422">
        <v>1</v>
      </c>
      <c r="O422">
        <v>1</v>
      </c>
      <c r="P422">
        <v>0</v>
      </c>
      <c r="Q422" t="s">
        <v>370</v>
      </c>
      <c r="S422">
        <v>1383.6447000000001</v>
      </c>
      <c r="T422">
        <v>1570.7979</v>
      </c>
      <c r="U422">
        <v>1741.5737999999999</v>
      </c>
      <c r="V422">
        <v>1899.0135</v>
      </c>
      <c r="W422">
        <v>2045.6001000000001</v>
      </c>
      <c r="X422">
        <v>2183.3424</v>
      </c>
      <c r="Y422">
        <v>2313.7748999999999</v>
      </c>
      <c r="Z422">
        <v>2438.3204999999998</v>
      </c>
      <c r="AA422">
        <v>2547.9675000000002</v>
      </c>
      <c r="AB422">
        <v>2648.4353999999998</v>
      </c>
      <c r="AC422">
        <v>2740.6170000000002</v>
      </c>
      <c r="AD422">
        <v>2825.2935000000002</v>
      </c>
      <c r="AE422">
        <v>2903.1066000000001</v>
      </c>
      <c r="AF422">
        <v>2986.6113</v>
      </c>
      <c r="AG422">
        <v>3074.4962999999998</v>
      </c>
      <c r="AH422">
        <v>3165.6734999999999</v>
      </c>
      <c r="AI422">
        <v>3259.4454000000001</v>
      </c>
      <c r="AJ422">
        <v>3238.6320000000001</v>
      </c>
      <c r="AK422">
        <v>3237.7392</v>
      </c>
      <c r="AL422">
        <v>3252.3308999999999</v>
      </c>
      <c r="AM422">
        <v>3279.1707000000001</v>
      </c>
      <c r="AN422">
        <v>3320.7975000000001</v>
      </c>
      <c r="AO422">
        <v>3373.6401000000001</v>
      </c>
      <c r="AP422">
        <v>3439.0376999999999</v>
      </c>
      <c r="AQ422">
        <v>3488.4207000000001</v>
      </c>
      <c r="AR422">
        <v>4211.1897470642598</v>
      </c>
      <c r="AS422">
        <v>4388.0842786763651</v>
      </c>
      <c r="AT422">
        <v>4563.406927108922</v>
      </c>
      <c r="AU422">
        <v>4739.0273348305882</v>
      </c>
      <c r="AV422">
        <v>4916.3758686292667</v>
      </c>
      <c r="AW422">
        <v>5096.7509870667736</v>
      </c>
      <c r="AX422">
        <v>5281.098687975822</v>
      </c>
      <c r="AY422">
        <v>5470.3318453815573</v>
      </c>
      <c r="AZ422">
        <v>5666.2607905345476</v>
      </c>
      <c r="BA422">
        <v>5869.6487596230827</v>
      </c>
      <c r="BB422">
        <v>6080.9989196351626</v>
      </c>
      <c r="BC422">
        <v>6299.9791573196562</v>
      </c>
      <c r="BD422">
        <v>6524.4176595083391</v>
      </c>
      <c r="BE422">
        <v>6754.4112248107249</v>
      </c>
      <c r="BF422">
        <v>6990.0511584339156</v>
      </c>
      <c r="BG422">
        <v>7231.4234980913316</v>
      </c>
      <c r="BH422">
        <v>7478.6119083670237</v>
      </c>
      <c r="BI422">
        <v>7731.6948481873733</v>
      </c>
      <c r="BJ422">
        <v>7990.7456825377512</v>
      </c>
      <c r="BK422">
        <v>8255.8326683430932</v>
      </c>
      <c r="BL422">
        <v>8527.0190413212658</v>
      </c>
      <c r="BM422">
        <v>8803.5033661452544</v>
      </c>
      <c r="BN422">
        <v>9084.5249544616236</v>
      </c>
      <c r="BO422">
        <v>9366.5822053812553</v>
      </c>
      <c r="BP422">
        <v>9649.3153937284751</v>
      </c>
      <c r="BQ422">
        <v>9932.2502932006519</v>
      </c>
      <c r="BR422">
        <v>10214.781431622219</v>
      </c>
      <c r="BS422">
        <v>10495.69838202105</v>
      </c>
      <c r="BT422">
        <v>10775.446894090701</v>
      </c>
      <c r="BU422">
        <v>11054.32172269707</v>
      </c>
      <c r="BV422">
        <v>11332.373336061049</v>
      </c>
      <c r="BW422">
        <v>11609.604692819759</v>
      </c>
      <c r="BX422">
        <v>11886.064239253359</v>
      </c>
      <c r="BY422">
        <v>12161.81347079931</v>
      </c>
      <c r="BZ422">
        <v>12436.901634013289</v>
      </c>
      <c r="CA422">
        <v>12711.21250496422</v>
      </c>
      <c r="CB422">
        <v>12984.52658328657</v>
      </c>
      <c r="CC422">
        <v>13256.65397927352</v>
      </c>
      <c r="CD422">
        <v>13527.93795162256</v>
      </c>
      <c r="CE422">
        <v>13798.66229078799</v>
      </c>
      <c r="CF422">
        <v>14068.96566472083</v>
      </c>
      <c r="CG422">
        <v>14338.844324706921</v>
      </c>
      <c r="CH422">
        <v>14608.486983451639</v>
      </c>
      <c r="CI422">
        <v>14878.095681603179</v>
      </c>
      <c r="CJ422">
        <v>15147.6020461926</v>
      </c>
      <c r="CK422">
        <v>15417.014242859121</v>
      </c>
      <c r="CL422">
        <v>15686.282057372069</v>
      </c>
      <c r="CM422">
        <v>15955.3673280657</v>
      </c>
      <c r="CN422">
        <v>16224.288793081991</v>
      </c>
      <c r="CO422">
        <v>16492.993994038799</v>
      </c>
      <c r="CP422">
        <v>16761.412694452411</v>
      </c>
    </row>
    <row r="423" spans="4:94" x14ac:dyDescent="0.2">
      <c r="D423" t="s">
        <v>155</v>
      </c>
      <c r="E423" t="s">
        <v>156</v>
      </c>
      <c r="F423" t="s">
        <v>159</v>
      </c>
      <c r="K423" t="s">
        <v>158</v>
      </c>
      <c r="M423" t="s">
        <v>6</v>
      </c>
      <c r="N423">
        <v>1</v>
      </c>
      <c r="O423">
        <v>1</v>
      </c>
      <c r="P423">
        <v>0</v>
      </c>
      <c r="Q423" t="s">
        <v>371</v>
      </c>
      <c r="S423">
        <v>1676.3715</v>
      </c>
      <c r="T423">
        <v>1903.0869</v>
      </c>
      <c r="U423">
        <v>2109.9933000000001</v>
      </c>
      <c r="V423">
        <v>2300.7456000000002</v>
      </c>
      <c r="W423">
        <v>2478.329099999999</v>
      </c>
      <c r="X423">
        <v>2645.2269000000001</v>
      </c>
      <c r="Y423">
        <v>2803.2525000000001</v>
      </c>
      <c r="Z423">
        <v>2954.1356999999998</v>
      </c>
      <c r="AA423">
        <v>3086.9955</v>
      </c>
      <c r="AB423">
        <v>3208.6116000000002</v>
      </c>
      <c r="AC423">
        <v>3320.2395000000001</v>
      </c>
      <c r="AD423">
        <v>3422.7999</v>
      </c>
      <c r="AE423">
        <v>3517.0182</v>
      </c>
      <c r="AF423">
        <v>3618.1556999999998</v>
      </c>
      <c r="AG423">
        <v>3724.5663</v>
      </c>
      <c r="AH423">
        <v>3835.0223999999989</v>
      </c>
      <c r="AI423">
        <v>3948.6032999999989</v>
      </c>
      <c r="AJ423">
        <v>3903.1821</v>
      </c>
      <c r="AK423">
        <v>3885.1028999999999</v>
      </c>
      <c r="AL423">
        <v>3886.3305</v>
      </c>
      <c r="AM423">
        <v>3902.6799000000001</v>
      </c>
      <c r="AN423">
        <v>3936.7737000000002</v>
      </c>
      <c r="AO423">
        <v>3984.2037</v>
      </c>
      <c r="AP423">
        <v>4048.5131999999999</v>
      </c>
      <c r="AQ423">
        <v>4096.082699999999</v>
      </c>
      <c r="AR423">
        <v>3521.2393099973219</v>
      </c>
      <c r="AS423">
        <v>3669.151899039487</v>
      </c>
      <c r="AT423">
        <v>3815.7501381769912</v>
      </c>
      <c r="AU423">
        <v>3962.5973524917649</v>
      </c>
      <c r="AV423">
        <v>4110.8895611764046</v>
      </c>
      <c r="AW423">
        <v>4261.7124867000739</v>
      </c>
      <c r="AX423">
        <v>4415.857137057169</v>
      </c>
      <c r="AY423">
        <v>4574.0868233534266</v>
      </c>
      <c r="AZ423">
        <v>4737.9152768492586</v>
      </c>
      <c r="BA423">
        <v>4907.9806870897737</v>
      </c>
      <c r="BB423">
        <v>5084.7037834849079</v>
      </c>
      <c r="BC423">
        <v>5267.8068653597629</v>
      </c>
      <c r="BD423">
        <v>5455.47394379873</v>
      </c>
      <c r="BE423">
        <v>5647.7859581775201</v>
      </c>
      <c r="BF423">
        <v>5844.8192544942149</v>
      </c>
      <c r="BG423">
        <v>6046.6457742657794</v>
      </c>
      <c r="BH423">
        <v>6253.3354746872192</v>
      </c>
      <c r="BI423">
        <v>6464.9539601772776</v>
      </c>
      <c r="BJ423">
        <v>6681.562575791927</v>
      </c>
      <c r="BK423">
        <v>6903.2183954180127</v>
      </c>
      <c r="BL423">
        <v>7129.9742943969413</v>
      </c>
      <c r="BM423">
        <v>7361.1601424929431</v>
      </c>
      <c r="BN423">
        <v>7596.1398805651361</v>
      </c>
      <c r="BO423">
        <v>7831.9856009581463</v>
      </c>
      <c r="BP423">
        <v>8068.3965149387104</v>
      </c>
      <c r="BQ423">
        <v>8304.9760922152182</v>
      </c>
      <c r="BR423">
        <v>8541.2180596074068</v>
      </c>
      <c r="BS423">
        <v>8776.1103033678537</v>
      </c>
      <c r="BT423">
        <v>9010.0255427131397</v>
      </c>
      <c r="BU423">
        <v>9243.2102406342146</v>
      </c>
      <c r="BV423">
        <v>9475.7065967691906</v>
      </c>
      <c r="BW423">
        <v>9707.5170850197337</v>
      </c>
      <c r="BX423">
        <v>9938.6822143527643</v>
      </c>
      <c r="BY423">
        <v>10169.253404952289</v>
      </c>
      <c r="BZ423">
        <v>10399.271834945701</v>
      </c>
      <c r="CA423">
        <v>10628.6403222302</v>
      </c>
      <c r="CB423">
        <v>10857.17532881242</v>
      </c>
      <c r="CC423">
        <v>11084.71807602401</v>
      </c>
      <c r="CD423">
        <v>11311.55558394533</v>
      </c>
      <c r="CE423">
        <v>11537.92514753646</v>
      </c>
      <c r="CF423">
        <v>11763.942715749979</v>
      </c>
      <c r="CG423">
        <v>11989.605154051371</v>
      </c>
      <c r="CH423">
        <v>12215.070256944429</v>
      </c>
      <c r="CI423">
        <v>12440.506963260061</v>
      </c>
      <c r="CJ423">
        <v>12665.85810207985</v>
      </c>
      <c r="CK423">
        <v>12891.13050120554</v>
      </c>
      <c r="CL423">
        <v>13116.28217337631</v>
      </c>
      <c r="CM423">
        <v>13341.28120923502</v>
      </c>
      <c r="CN423">
        <v>13566.14327691498</v>
      </c>
      <c r="CO423">
        <v>13790.82451267967</v>
      </c>
      <c r="CP423">
        <v>14015.266187409179</v>
      </c>
    </row>
    <row r="424" spans="4:94" x14ac:dyDescent="0.2">
      <c r="D424" t="s">
        <v>155</v>
      </c>
      <c r="E424" t="s">
        <v>160</v>
      </c>
      <c r="F424" t="s">
        <v>161</v>
      </c>
      <c r="K424" t="s">
        <v>158</v>
      </c>
      <c r="M424" t="s">
        <v>6</v>
      </c>
      <c r="N424">
        <v>1</v>
      </c>
      <c r="O424">
        <v>1</v>
      </c>
      <c r="P424">
        <v>0</v>
      </c>
      <c r="Q424" t="s">
        <v>372</v>
      </c>
      <c r="S424">
        <v>0</v>
      </c>
      <c r="T424">
        <v>0</v>
      </c>
      <c r="U424">
        <v>0</v>
      </c>
      <c r="V424">
        <v>0</v>
      </c>
      <c r="W424">
        <v>0</v>
      </c>
      <c r="X424">
        <v>0</v>
      </c>
      <c r="Y424">
        <v>0</v>
      </c>
      <c r="Z424">
        <v>0</v>
      </c>
      <c r="AA424">
        <v>0</v>
      </c>
      <c r="AB424">
        <v>0</v>
      </c>
      <c r="AC424">
        <v>0</v>
      </c>
      <c r="AD424">
        <v>0</v>
      </c>
      <c r="AE424">
        <v>0</v>
      </c>
      <c r="AF424">
        <v>0</v>
      </c>
      <c r="AG424">
        <v>0</v>
      </c>
      <c r="AH424">
        <v>0</v>
      </c>
      <c r="AI424">
        <v>0</v>
      </c>
      <c r="AJ424">
        <v>0</v>
      </c>
      <c r="AK424">
        <v>0</v>
      </c>
      <c r="AL424">
        <v>0</v>
      </c>
      <c r="AM424">
        <v>0</v>
      </c>
      <c r="AN424">
        <v>0</v>
      </c>
      <c r="AO424">
        <v>0</v>
      </c>
      <c r="AP424">
        <v>0</v>
      </c>
      <c r="AQ424">
        <v>19.502099999999999</v>
      </c>
      <c r="AR424">
        <v>3.5959871130547509</v>
      </c>
      <c r="AS424">
        <v>3.7014124015695802</v>
      </c>
      <c r="AT424">
        <v>3.8135795500023999</v>
      </c>
      <c r="AU424">
        <v>3.9318695757016999</v>
      </c>
      <c r="AV424">
        <v>4.0566446835344996</v>
      </c>
      <c r="AW424">
        <v>4.1867979244501994</v>
      </c>
      <c r="AX424">
        <v>4.3248889711458007</v>
      </c>
      <c r="AY424">
        <v>4.4736110445920003</v>
      </c>
      <c r="AZ424">
        <v>4.6297763648940986</v>
      </c>
      <c r="BA424">
        <v>4.7927674462298002</v>
      </c>
      <c r="BB424">
        <v>4.9594375188457001</v>
      </c>
      <c r="BC424">
        <v>5.1219829382788999</v>
      </c>
      <c r="BD424">
        <v>5.2883268839002993</v>
      </c>
      <c r="BE424">
        <v>5.4584939769955989</v>
      </c>
      <c r="BF424">
        <v>5.6325063073742001</v>
      </c>
      <c r="BG424">
        <v>5.8103944772662999</v>
      </c>
      <c r="BH424">
        <v>5.9921790559243986</v>
      </c>
      <c r="BI424">
        <v>6.1778717772788996</v>
      </c>
      <c r="BJ424">
        <v>6.3674838854643001</v>
      </c>
      <c r="BK424">
        <v>6.5610237152152999</v>
      </c>
      <c r="BL424">
        <v>6.7549850903042996</v>
      </c>
      <c r="BM424">
        <v>6.9490265428928009</v>
      </c>
      <c r="BN424">
        <v>7.1306285634241986</v>
      </c>
      <c r="BO424">
        <v>7.3111962950588998</v>
      </c>
      <c r="BP424">
        <v>7.4900303763606004</v>
      </c>
      <c r="BQ424">
        <v>7.6662808787254004</v>
      </c>
      <c r="BR424">
        <v>7.8370005893833996</v>
      </c>
      <c r="BS424">
        <v>8.0083364029856998</v>
      </c>
      <c r="BT424">
        <v>8.1799646991292985</v>
      </c>
      <c r="BU424">
        <v>8.3510466956647988</v>
      </c>
      <c r="BV424">
        <v>8.5214350439472</v>
      </c>
      <c r="BW424">
        <v>8.6913580971251001</v>
      </c>
      <c r="BX424">
        <v>8.8609280951895002</v>
      </c>
      <c r="BY424">
        <v>9.0301569366324994</v>
      </c>
      <c r="BZ424">
        <v>9.1983769757868998</v>
      </c>
      <c r="CA424">
        <v>9.3650782361699996</v>
      </c>
      <c r="CB424">
        <v>9.5302634909822999</v>
      </c>
      <c r="CC424">
        <v>9.6960069304558978</v>
      </c>
      <c r="CD424">
        <v>9.8622915342898985</v>
      </c>
      <c r="CE424">
        <v>10.0286828821511</v>
      </c>
      <c r="CF424">
        <v>10.1946570753828</v>
      </c>
      <c r="CG424">
        <v>10.3610580330049</v>
      </c>
      <c r="CH424">
        <v>10.528073239487901</v>
      </c>
      <c r="CI424">
        <v>10.694660836576199</v>
      </c>
      <c r="CJ424">
        <v>10.8611085049496</v>
      </c>
      <c r="CK424">
        <v>11.0271670903483</v>
      </c>
      <c r="CL424">
        <v>11.192857781890901</v>
      </c>
      <c r="CM424">
        <v>11.3584004360054</v>
      </c>
      <c r="CN424">
        <v>11.523497235138599</v>
      </c>
      <c r="CO424">
        <v>11.688034651368699</v>
      </c>
      <c r="CP424">
        <v>11.852604520973401</v>
      </c>
    </row>
    <row r="425" spans="4:94" x14ac:dyDescent="0.2">
      <c r="D425" t="s">
        <v>155</v>
      </c>
      <c r="E425" t="s">
        <v>160</v>
      </c>
      <c r="F425" t="s">
        <v>162</v>
      </c>
      <c r="K425" t="s">
        <v>158</v>
      </c>
      <c r="M425" t="s">
        <v>6</v>
      </c>
      <c r="N425">
        <v>1</v>
      </c>
      <c r="O425">
        <v>1</v>
      </c>
      <c r="P425">
        <v>0</v>
      </c>
      <c r="Q425" t="s">
        <v>373</v>
      </c>
      <c r="S425">
        <v>174.5145</v>
      </c>
      <c r="T425">
        <v>174.5145</v>
      </c>
      <c r="U425">
        <v>173.6217</v>
      </c>
      <c r="V425">
        <v>173.20320000000001</v>
      </c>
      <c r="W425">
        <v>172.72890000000001</v>
      </c>
      <c r="X425">
        <v>172.2825</v>
      </c>
      <c r="Y425">
        <v>171.8082</v>
      </c>
      <c r="Z425">
        <v>167.98589999999999</v>
      </c>
      <c r="AA425">
        <v>164.2473</v>
      </c>
      <c r="AB425">
        <v>160.4529</v>
      </c>
      <c r="AC425">
        <v>156.6585</v>
      </c>
      <c r="AD425">
        <v>152.8083</v>
      </c>
      <c r="AE425">
        <v>153.00360000000001</v>
      </c>
      <c r="AF425">
        <v>153.19890000000001</v>
      </c>
      <c r="AG425">
        <v>153.3663</v>
      </c>
      <c r="AH425">
        <v>153.58949999999999</v>
      </c>
      <c r="AI425">
        <v>153.7569</v>
      </c>
      <c r="AJ425">
        <v>153.9522</v>
      </c>
      <c r="AK425">
        <v>154.11959999999999</v>
      </c>
      <c r="AL425">
        <v>154.31489999999999</v>
      </c>
      <c r="AM425">
        <v>154.92869999999999</v>
      </c>
      <c r="AN425">
        <v>155.54249999999999</v>
      </c>
      <c r="AO425">
        <v>156.1842</v>
      </c>
      <c r="AP425">
        <v>156.85380000000001</v>
      </c>
      <c r="AQ425">
        <v>138.0213</v>
      </c>
      <c r="AR425">
        <v>160.2756108722763</v>
      </c>
      <c r="AS425">
        <v>164.9744882561078</v>
      </c>
      <c r="AT425">
        <v>169.97385495839671</v>
      </c>
      <c r="AU425">
        <v>175.24612249801629</v>
      </c>
      <c r="AV425">
        <v>180.80743459420179</v>
      </c>
      <c r="AW425">
        <v>186.6084537688958</v>
      </c>
      <c r="AX425">
        <v>192.76326638898971</v>
      </c>
      <c r="AY425">
        <v>199.3919111594976</v>
      </c>
      <c r="AZ425">
        <v>206.35230654512549</v>
      </c>
      <c r="BA425">
        <v>213.61693077945239</v>
      </c>
      <c r="BB425">
        <v>221.0455301772835</v>
      </c>
      <c r="BC425">
        <v>228.29029095507769</v>
      </c>
      <c r="BD425">
        <v>235.70435464919461</v>
      </c>
      <c r="BE425">
        <v>243.2888186471771</v>
      </c>
      <c r="BF425">
        <v>251.04466750700709</v>
      </c>
      <c r="BG425">
        <v>258.97326519104172</v>
      </c>
      <c r="BH425">
        <v>267.07552848498659</v>
      </c>
      <c r="BI425">
        <v>275.35198037815371</v>
      </c>
      <c r="BJ425">
        <v>283.80312202932629</v>
      </c>
      <c r="BK425">
        <v>292.42932492332528</v>
      </c>
      <c r="BL425">
        <v>301.07431638204338</v>
      </c>
      <c r="BM425">
        <v>309.72287694981333</v>
      </c>
      <c r="BN425">
        <v>317.81700350288838</v>
      </c>
      <c r="BO425">
        <v>325.86503109078183</v>
      </c>
      <c r="BP425">
        <v>333.83578869482221</v>
      </c>
      <c r="BQ425">
        <v>341.69139441446993</v>
      </c>
      <c r="BR425">
        <v>349.3004889560778</v>
      </c>
      <c r="BS425">
        <v>356.93704362828061</v>
      </c>
      <c r="BT425">
        <v>364.5866344478693</v>
      </c>
      <c r="BU425">
        <v>372.21187631941041</v>
      </c>
      <c r="BV425">
        <v>379.80620181276589</v>
      </c>
      <c r="BW425">
        <v>387.37978878433898</v>
      </c>
      <c r="BX425">
        <v>394.93763984746801</v>
      </c>
      <c r="BY425">
        <v>402.48028532608828</v>
      </c>
      <c r="BZ425">
        <v>409.97796779512453</v>
      </c>
      <c r="CA425">
        <v>417.40795725312751</v>
      </c>
      <c r="CB425">
        <v>424.77037730352339</v>
      </c>
      <c r="CC425">
        <v>432.15767602693239</v>
      </c>
      <c r="CD425">
        <v>439.56909481689848</v>
      </c>
      <c r="CE425">
        <v>446.98527126132228</v>
      </c>
      <c r="CF425">
        <v>454.38285483793112</v>
      </c>
      <c r="CG425">
        <v>461.7994595960073</v>
      </c>
      <c r="CH425">
        <v>469.24344184689198</v>
      </c>
      <c r="CI425">
        <v>476.66836525391051</v>
      </c>
      <c r="CJ425">
        <v>484.08705194219408</v>
      </c>
      <c r="CK425">
        <v>491.48839693553651</v>
      </c>
      <c r="CL425">
        <v>498.87334464750501</v>
      </c>
      <c r="CM425">
        <v>506.25169422982208</v>
      </c>
      <c r="CN425">
        <v>513.61017174996357</v>
      </c>
      <c r="CO425">
        <v>520.94371719062656</v>
      </c>
      <c r="CP425">
        <v>528.27870910043941</v>
      </c>
    </row>
    <row r="426" spans="4:94" x14ac:dyDescent="0.2">
      <c r="D426" t="s">
        <v>155</v>
      </c>
      <c r="E426" t="s">
        <v>160</v>
      </c>
      <c r="F426" t="s">
        <v>162</v>
      </c>
      <c r="K426" t="s">
        <v>158</v>
      </c>
      <c r="M426" t="s">
        <v>8</v>
      </c>
      <c r="N426">
        <v>1</v>
      </c>
      <c r="O426">
        <v>1</v>
      </c>
      <c r="P426">
        <v>0</v>
      </c>
      <c r="Q426" t="s">
        <v>374</v>
      </c>
      <c r="S426">
        <v>102.375</v>
      </c>
      <c r="T426">
        <v>102.375</v>
      </c>
      <c r="U426">
        <v>101.82899999999999</v>
      </c>
      <c r="V426">
        <v>101.556</v>
      </c>
      <c r="W426">
        <v>101.283</v>
      </c>
      <c r="X426">
        <v>101.283</v>
      </c>
      <c r="Y426">
        <v>101.01</v>
      </c>
      <c r="Z426">
        <v>98.552999999999997</v>
      </c>
      <c r="AA426">
        <v>96.369</v>
      </c>
      <c r="AB426">
        <v>94.184999999999988</v>
      </c>
      <c r="AC426">
        <v>92.001000000000005</v>
      </c>
      <c r="AD426">
        <v>89.817000000000007</v>
      </c>
      <c r="AE426">
        <v>89.817000000000007</v>
      </c>
      <c r="AF426">
        <v>89.817000000000007</v>
      </c>
      <c r="AG426">
        <v>90.09</v>
      </c>
      <c r="AH426">
        <v>90.09</v>
      </c>
      <c r="AI426">
        <v>90.363</v>
      </c>
      <c r="AJ426">
        <v>90.363</v>
      </c>
      <c r="AK426">
        <v>90.363</v>
      </c>
      <c r="AL426">
        <v>90.63600000000001</v>
      </c>
      <c r="AM426">
        <v>90.909000000000006</v>
      </c>
      <c r="AN426">
        <v>91.455000000000013</v>
      </c>
      <c r="AO426">
        <v>91.728000000000009</v>
      </c>
      <c r="AP426">
        <v>92.001000000000005</v>
      </c>
      <c r="AQ426">
        <v>81.081000000000003</v>
      </c>
      <c r="AR426">
        <v>83.721153538755104</v>
      </c>
      <c r="AS426">
        <v>86.175646975221099</v>
      </c>
      <c r="AT426">
        <v>88.787103234853802</v>
      </c>
      <c r="AU426">
        <v>91.541111270010219</v>
      </c>
      <c r="AV426">
        <v>94.446103872115089</v>
      </c>
      <c r="AW426">
        <v>97.476309243740701</v>
      </c>
      <c r="AX426">
        <v>100.6913212444108</v>
      </c>
      <c r="AY426">
        <v>104.1538429815942</v>
      </c>
      <c r="AZ426">
        <v>107.7896571120112</v>
      </c>
      <c r="BA426">
        <v>111.58438743693949</v>
      </c>
      <c r="BB426">
        <v>115.46477140415109</v>
      </c>
      <c r="BC426">
        <v>119.24912590530219</v>
      </c>
      <c r="BD426">
        <v>123.1219170399167</v>
      </c>
      <c r="BE426">
        <v>127.083718036516</v>
      </c>
      <c r="BF426">
        <v>131.13504318625911</v>
      </c>
      <c r="BG426">
        <v>135.27660496499411</v>
      </c>
      <c r="BH426">
        <v>139.5088822625319</v>
      </c>
      <c r="BI426">
        <v>143.8321482662169</v>
      </c>
      <c r="BJ426">
        <v>148.2466647600543</v>
      </c>
      <c r="BK426">
        <v>152.7526257918957</v>
      </c>
      <c r="BL426">
        <v>157.268401169806</v>
      </c>
      <c r="BM426">
        <v>161.786040898289</v>
      </c>
      <c r="BN426">
        <v>166.01406790891221</v>
      </c>
      <c r="BO426">
        <v>170.21801478331881</v>
      </c>
      <c r="BP426">
        <v>174.38159910882081</v>
      </c>
      <c r="BQ426">
        <v>178.48503299383341</v>
      </c>
      <c r="BR426">
        <v>182.45969993749361</v>
      </c>
      <c r="BS426">
        <v>186.44871088394439</v>
      </c>
      <c r="BT426">
        <v>190.44453135862619</v>
      </c>
      <c r="BU426">
        <v>194.42763297978479</v>
      </c>
      <c r="BV426">
        <v>198.3945852015992</v>
      </c>
      <c r="BW426">
        <v>202.3507045028156</v>
      </c>
      <c r="BX426">
        <v>206.29860403559999</v>
      </c>
      <c r="BY426">
        <v>210.23856081858739</v>
      </c>
      <c r="BZ426">
        <v>214.15503084018911</v>
      </c>
      <c r="CA426">
        <v>218.03614091563639</v>
      </c>
      <c r="CB426">
        <v>221.8819556100955</v>
      </c>
      <c r="CC426">
        <v>225.74076586384021</v>
      </c>
      <c r="CD426">
        <v>229.61217541316549</v>
      </c>
      <c r="CE426">
        <v>233.48607015856621</v>
      </c>
      <c r="CF426">
        <v>237.35025278162701</v>
      </c>
      <c r="CG426">
        <v>241.22437125983981</v>
      </c>
      <c r="CH426">
        <v>245.11279057438369</v>
      </c>
      <c r="CI426">
        <v>248.99125436054121</v>
      </c>
      <c r="CJ426">
        <v>252.86646035043171</v>
      </c>
      <c r="CK426">
        <v>256.73260777740961</v>
      </c>
      <c r="CL426">
        <v>260.5901899628999</v>
      </c>
      <c r="CM426">
        <v>264.44432556644972</v>
      </c>
      <c r="CN426">
        <v>268.28808085100388</v>
      </c>
      <c r="CO426">
        <v>272.11881267900748</v>
      </c>
      <c r="CP426">
        <v>275.95030008089361</v>
      </c>
    </row>
    <row r="427" spans="4:94" x14ac:dyDescent="0.2">
      <c r="D427" t="s">
        <v>155</v>
      </c>
      <c r="E427" t="s">
        <v>163</v>
      </c>
      <c r="F427" t="s">
        <v>164</v>
      </c>
      <c r="K427" t="s">
        <v>158</v>
      </c>
      <c r="M427" t="s">
        <v>6</v>
      </c>
      <c r="N427">
        <v>1</v>
      </c>
      <c r="O427">
        <v>1</v>
      </c>
      <c r="P427">
        <v>0</v>
      </c>
      <c r="Q427" t="s">
        <v>375</v>
      </c>
      <c r="S427">
        <v>2.873699999999999</v>
      </c>
      <c r="T427">
        <v>2.873699999999999</v>
      </c>
      <c r="U427">
        <v>2.873699999999999</v>
      </c>
      <c r="V427">
        <v>2.873699999999999</v>
      </c>
      <c r="W427">
        <v>2.873699999999999</v>
      </c>
      <c r="X427">
        <v>2.9016000000000002</v>
      </c>
      <c r="Y427">
        <v>2.9016000000000002</v>
      </c>
      <c r="Z427">
        <v>2.9016000000000002</v>
      </c>
      <c r="AA427">
        <v>2.9016000000000002</v>
      </c>
      <c r="AB427">
        <v>2.9016000000000002</v>
      </c>
      <c r="AC427">
        <v>2.9295</v>
      </c>
      <c r="AD427">
        <v>2.9295</v>
      </c>
      <c r="AE427">
        <v>2.9295</v>
      </c>
      <c r="AF427">
        <v>2.9295</v>
      </c>
      <c r="AG427">
        <v>2.9295</v>
      </c>
      <c r="AH427">
        <v>2.9295</v>
      </c>
      <c r="AI427">
        <v>2.9295</v>
      </c>
      <c r="AJ427">
        <v>2.9295</v>
      </c>
      <c r="AK427">
        <v>2.9295</v>
      </c>
      <c r="AL427">
        <v>2.9016000000000002</v>
      </c>
      <c r="AM427">
        <v>2.9016000000000002</v>
      </c>
      <c r="AN427">
        <v>2.9016000000000002</v>
      </c>
      <c r="AO427">
        <v>2.9016000000000002</v>
      </c>
      <c r="AP427">
        <v>2.9016000000000002</v>
      </c>
      <c r="AQ427">
        <v>2.9016000000000002</v>
      </c>
      <c r="AR427">
        <v>0.98732988210829997</v>
      </c>
      <c r="AS427">
        <v>1.0176087447526001</v>
      </c>
      <c r="AT427">
        <v>1.0519797662089001</v>
      </c>
      <c r="AU427">
        <v>1.089942874955</v>
      </c>
      <c r="AV427">
        <v>1.1318712420168</v>
      </c>
      <c r="AW427">
        <v>1.1772300739506001</v>
      </c>
      <c r="AX427">
        <v>1.2274798032259999</v>
      </c>
      <c r="AY427">
        <v>1.2866783145064</v>
      </c>
      <c r="AZ427">
        <v>1.3524791634330999</v>
      </c>
      <c r="BA427">
        <v>1.4248243541468</v>
      </c>
      <c r="BB427">
        <v>1.5009306155838</v>
      </c>
      <c r="BC427">
        <v>1.5722525514143</v>
      </c>
      <c r="BD427">
        <v>1.6471703208935</v>
      </c>
      <c r="BE427">
        <v>1.725880088691</v>
      </c>
      <c r="BF427">
        <v>1.8085888260692999</v>
      </c>
      <c r="BG427">
        <v>1.8955294071872999</v>
      </c>
      <c r="BH427">
        <v>1.9869355868784999</v>
      </c>
      <c r="BI427">
        <v>2.0830529521367001</v>
      </c>
      <c r="BJ427">
        <v>2.1841409049733</v>
      </c>
      <c r="BK427">
        <v>2.2904729260695</v>
      </c>
      <c r="BL427">
        <v>2.3969329986880998</v>
      </c>
      <c r="BM427">
        <v>2.5027089379922001</v>
      </c>
      <c r="BN427">
        <v>2.6043309287522001</v>
      </c>
      <c r="BO427">
        <v>2.7034264418629999</v>
      </c>
      <c r="BP427">
        <v>2.7990120990273999</v>
      </c>
      <c r="BQ427">
        <v>2.8900742298963999</v>
      </c>
      <c r="BR427">
        <v>2.9753079881633</v>
      </c>
      <c r="BS427">
        <v>3.0601093295363002</v>
      </c>
      <c r="BT427">
        <v>3.1442049243975001</v>
      </c>
      <c r="BU427">
        <v>3.2272072605854998</v>
      </c>
      <c r="BV427">
        <v>3.3088750429606</v>
      </c>
      <c r="BW427">
        <v>3.3890468767930999</v>
      </c>
      <c r="BX427">
        <v>3.4675376187271998</v>
      </c>
      <c r="BY427">
        <v>3.5441430242320999</v>
      </c>
      <c r="BZ427">
        <v>3.6185171208396998</v>
      </c>
      <c r="CA427">
        <v>3.6903536102849999</v>
      </c>
      <c r="CB427">
        <v>3.7594636636206</v>
      </c>
      <c r="CC427">
        <v>3.8293670955711998</v>
      </c>
      <c r="CD427">
        <v>3.9000736801378002</v>
      </c>
      <c r="CE427">
        <v>3.9715038107953999</v>
      </c>
      <c r="CF427">
        <v>4.0435589196877002</v>
      </c>
      <c r="CG427">
        <v>4.1164343561686998</v>
      </c>
      <c r="CH427">
        <v>4.1901850407992001</v>
      </c>
      <c r="CI427">
        <v>4.2646019888718003</v>
      </c>
      <c r="CJ427">
        <v>4.3397620768336997</v>
      </c>
      <c r="CK427">
        <v>4.4156271641458007</v>
      </c>
      <c r="CL427">
        <v>4.4922173436464998</v>
      </c>
      <c r="CM427">
        <v>4.5695959792835996</v>
      </c>
      <c r="CN427">
        <v>4.6477153983955004</v>
      </c>
      <c r="CO427">
        <v>4.7265678366470993</v>
      </c>
      <c r="CP427">
        <v>4.8062974243968997</v>
      </c>
    </row>
    <row r="428" spans="4:94" x14ac:dyDescent="0.2">
      <c r="D428" t="s">
        <v>155</v>
      </c>
      <c r="E428" t="s">
        <v>163</v>
      </c>
      <c r="F428" t="s">
        <v>164</v>
      </c>
      <c r="K428" t="s">
        <v>158</v>
      </c>
      <c r="M428" t="s">
        <v>7</v>
      </c>
      <c r="N428">
        <v>1</v>
      </c>
      <c r="O428">
        <v>1</v>
      </c>
      <c r="P428">
        <v>0</v>
      </c>
      <c r="Q428" t="s">
        <v>376</v>
      </c>
      <c r="S428">
        <v>4.2869999999999999</v>
      </c>
      <c r="T428">
        <v>4.2869999999999999</v>
      </c>
      <c r="U428">
        <v>4.3090000000000002</v>
      </c>
      <c r="V428">
        <v>4.3120000000000003</v>
      </c>
      <c r="W428">
        <v>4.3159999999999998</v>
      </c>
      <c r="X428">
        <v>4.3230000000000004</v>
      </c>
      <c r="Y428">
        <v>4.3250000000000002</v>
      </c>
      <c r="Z428">
        <v>4.8710000000000004</v>
      </c>
      <c r="AA428">
        <v>5.4210000000000003</v>
      </c>
      <c r="AB428">
        <v>5.9529999999999994</v>
      </c>
      <c r="AC428">
        <v>6.77</v>
      </c>
      <c r="AD428">
        <v>7.4610000000000003</v>
      </c>
      <c r="AE428">
        <v>7.5309999999999997</v>
      </c>
      <c r="AF428">
        <v>7.552999999999999</v>
      </c>
      <c r="AG428">
        <v>7.609</v>
      </c>
      <c r="AH428">
        <v>7.6630000000000003</v>
      </c>
      <c r="AI428">
        <v>7.7190000000000003</v>
      </c>
      <c r="AJ428">
        <v>7.7730000000000006</v>
      </c>
      <c r="AK428">
        <v>3.802</v>
      </c>
      <c r="AL428">
        <v>7.8710000000000004</v>
      </c>
      <c r="AM428">
        <v>7.8930000000000007</v>
      </c>
      <c r="AN428">
        <v>7.8990000000000009</v>
      </c>
      <c r="AO428">
        <v>7.7789999999999999</v>
      </c>
      <c r="AP428">
        <v>8.3219999999999992</v>
      </c>
      <c r="AQ428">
        <v>7.918000000000001</v>
      </c>
      <c r="AR428">
        <v>8.149690176524599</v>
      </c>
      <c r="AS428">
        <v>8.4226283660501</v>
      </c>
      <c r="AT428">
        <v>8.7680115416138005</v>
      </c>
      <c r="AU428">
        <v>9.1760145027223992</v>
      </c>
      <c r="AV428">
        <v>9.6544478642287999</v>
      </c>
      <c r="AW428">
        <v>10.1946941876507</v>
      </c>
      <c r="AX428">
        <v>10.8229496838639</v>
      </c>
      <c r="AY428">
        <v>11.629305521889799</v>
      </c>
      <c r="AZ428">
        <v>12.569037919416299</v>
      </c>
      <c r="BA428">
        <v>13.643645235837599</v>
      </c>
      <c r="BB428">
        <v>14.7970201210057</v>
      </c>
      <c r="BC428">
        <v>15.8479103323735</v>
      </c>
      <c r="BD428">
        <v>16.972758161729299</v>
      </c>
      <c r="BE428">
        <v>18.176473865857201</v>
      </c>
      <c r="BF428">
        <v>19.4642571036349</v>
      </c>
      <c r="BG428">
        <v>20.8419304107404</v>
      </c>
      <c r="BH428">
        <v>22.315389414937702</v>
      </c>
      <c r="BI428">
        <v>23.890872657949899</v>
      </c>
      <c r="BJ428">
        <v>25.574976990588201</v>
      </c>
      <c r="BK428">
        <v>27.374674502242101</v>
      </c>
      <c r="BL428">
        <v>29.175806428958701</v>
      </c>
      <c r="BM428">
        <v>30.959208591455901</v>
      </c>
      <c r="BN428">
        <v>32.695665811873702</v>
      </c>
      <c r="BO428">
        <v>34.372527097763097</v>
      </c>
      <c r="BP428">
        <v>35.967939734650002</v>
      </c>
      <c r="BQ428">
        <v>37.459991894675902</v>
      </c>
      <c r="BR428">
        <v>38.8279329885316</v>
      </c>
      <c r="BS428">
        <v>40.181871886456499</v>
      </c>
      <c r="BT428">
        <v>41.516351743183712</v>
      </c>
      <c r="BU428">
        <v>42.825446640529499</v>
      </c>
      <c r="BV428">
        <v>44.103680663403701</v>
      </c>
      <c r="BW428">
        <v>45.345834874649597</v>
      </c>
      <c r="BX428">
        <v>46.546633156056998</v>
      </c>
      <c r="BY428">
        <v>47.7007896033709</v>
      </c>
      <c r="BZ428">
        <v>48.802627600641401</v>
      </c>
      <c r="CA428">
        <v>49.846735575989598</v>
      </c>
      <c r="CB428">
        <v>50.828268098752012</v>
      </c>
      <c r="CC428">
        <v>51.8274293964473</v>
      </c>
      <c r="CD428">
        <v>52.844550653646998</v>
      </c>
      <c r="CE428">
        <v>53.879663552625701</v>
      </c>
      <c r="CF428">
        <v>54.932740812345202</v>
      </c>
      <c r="CG428">
        <v>56.0047640462613</v>
      </c>
      <c r="CH428">
        <v>57.096244656131901</v>
      </c>
      <c r="CI428">
        <v>58.206796625537599</v>
      </c>
      <c r="CJ428">
        <v>59.337017516586712</v>
      </c>
      <c r="CK428">
        <v>60.487118277724399</v>
      </c>
      <c r="CL428">
        <v>61.657514002743603</v>
      </c>
      <c r="CM428">
        <v>62.848778156411512</v>
      </c>
      <c r="CN428">
        <v>64.061109698730903</v>
      </c>
      <c r="CO428">
        <v>65.294851219805295</v>
      </c>
      <c r="CP428">
        <v>66.550872680506501</v>
      </c>
    </row>
    <row r="429" spans="4:94" x14ac:dyDescent="0.2">
      <c r="D429" t="s">
        <v>155</v>
      </c>
      <c r="E429" t="s">
        <v>163</v>
      </c>
      <c r="F429" t="s">
        <v>164</v>
      </c>
      <c r="K429" t="s">
        <v>158</v>
      </c>
      <c r="M429" t="s">
        <v>8</v>
      </c>
      <c r="N429">
        <v>1</v>
      </c>
      <c r="O429">
        <v>1</v>
      </c>
      <c r="P429">
        <v>0</v>
      </c>
      <c r="Q429" t="s">
        <v>377</v>
      </c>
      <c r="S429">
        <v>0.27300000000000002</v>
      </c>
      <c r="T429">
        <v>0.27300000000000002</v>
      </c>
      <c r="U429">
        <v>0.27300000000000002</v>
      </c>
      <c r="V429">
        <v>0.27300000000000002</v>
      </c>
      <c r="W429">
        <v>0.27300000000000002</v>
      </c>
      <c r="X429">
        <v>0.27300000000000002</v>
      </c>
      <c r="Y429">
        <v>0.27300000000000002</v>
      </c>
      <c r="Z429">
        <v>0.27300000000000002</v>
      </c>
      <c r="AA429">
        <v>0.27300000000000002</v>
      </c>
      <c r="AB429">
        <v>0.27300000000000002</v>
      </c>
      <c r="AC429">
        <v>0.27300000000000002</v>
      </c>
      <c r="AD429">
        <v>0.27300000000000002</v>
      </c>
      <c r="AE429">
        <v>0.27300000000000002</v>
      </c>
      <c r="AF429">
        <v>0.27300000000000002</v>
      </c>
      <c r="AG429">
        <v>0.27300000000000002</v>
      </c>
      <c r="AH429">
        <v>0.27300000000000002</v>
      </c>
      <c r="AI429">
        <v>0.27300000000000002</v>
      </c>
      <c r="AJ429">
        <v>0.27300000000000002</v>
      </c>
      <c r="AK429">
        <v>0.27300000000000002</v>
      </c>
      <c r="AL429">
        <v>0.27300000000000002</v>
      </c>
      <c r="AM429">
        <v>0.27300000000000002</v>
      </c>
      <c r="AN429">
        <v>0.27300000000000002</v>
      </c>
      <c r="AO429">
        <v>0.27300000000000002</v>
      </c>
      <c r="AP429">
        <v>0.27300000000000002</v>
      </c>
      <c r="AQ429">
        <v>0.27300000000000002</v>
      </c>
      <c r="AR429">
        <v>3.26614914753319E-3</v>
      </c>
      <c r="AS429">
        <v>3.3607782567251698E-3</v>
      </c>
      <c r="AT429">
        <v>3.4680585387649402E-3</v>
      </c>
      <c r="AU429">
        <v>3.5862933622714502E-3</v>
      </c>
      <c r="AV429">
        <v>3.71658978652596E-3</v>
      </c>
      <c r="AW429">
        <v>3.8549381748539998E-3</v>
      </c>
      <c r="AX429">
        <v>4.0162350013687202E-3</v>
      </c>
      <c r="AY429">
        <v>4.2059722071857699E-3</v>
      </c>
      <c r="AZ429">
        <v>4.4166463648040799E-3</v>
      </c>
      <c r="BA429">
        <v>4.6480578886203194E-3</v>
      </c>
      <c r="BB429">
        <v>4.89132977020563E-3</v>
      </c>
      <c r="BC429">
        <v>5.11918858077992E-3</v>
      </c>
      <c r="BD429">
        <v>5.3583655701652201E-3</v>
      </c>
      <c r="BE429">
        <v>5.6094763653942907E-3</v>
      </c>
      <c r="BF429">
        <v>5.8731707585688402E-3</v>
      </c>
      <c r="BG429">
        <v>6.1501807445539314E-3</v>
      </c>
      <c r="BH429">
        <v>6.4412556598225498E-3</v>
      </c>
      <c r="BI429">
        <v>6.74715390622109E-3</v>
      </c>
      <c r="BJ429">
        <v>7.0686912370258497E-3</v>
      </c>
      <c r="BK429">
        <v>7.4067280299568803E-3</v>
      </c>
      <c r="BL429">
        <v>7.7449773591985009E-3</v>
      </c>
      <c r="BM429">
        <v>8.0808803029725207E-3</v>
      </c>
      <c r="BN429">
        <v>8.4031422916001908E-3</v>
      </c>
      <c r="BO429">
        <v>8.7171713748838801E-3</v>
      </c>
      <c r="BP429">
        <v>9.0198342056877299E-3</v>
      </c>
      <c r="BQ429">
        <v>9.3079016198080993E-3</v>
      </c>
      <c r="BR429">
        <v>9.5773387024911394E-3</v>
      </c>
      <c r="BS429">
        <v>9.8452206476850688E-3</v>
      </c>
      <c r="BT429">
        <v>1.01106745960961E-2</v>
      </c>
      <c r="BU429">
        <v>1.03724578313739E-2</v>
      </c>
      <c r="BV429">
        <v>1.06298047372751E-2</v>
      </c>
      <c r="BW429">
        <v>1.0882221038302E-2</v>
      </c>
      <c r="BX429">
        <v>1.11291134491421E-2</v>
      </c>
      <c r="BY429">
        <v>1.13698376285023E-2</v>
      </c>
      <c r="BZ429">
        <v>1.1603290327072699E-2</v>
      </c>
      <c r="CA429">
        <v>1.1828498104223499E-2</v>
      </c>
      <c r="CB429">
        <v>1.20448806532452E-2</v>
      </c>
      <c r="CC429">
        <v>1.22636042578677E-2</v>
      </c>
      <c r="CD429">
        <v>1.2484697656200401E-2</v>
      </c>
      <c r="CE429">
        <v>1.27079008826071E-2</v>
      </c>
      <c r="CF429">
        <v>1.29328934655061E-2</v>
      </c>
      <c r="CG429">
        <v>1.31603167397524E-2</v>
      </c>
      <c r="CH429">
        <v>1.33903327249335E-2</v>
      </c>
      <c r="CI429">
        <v>1.3622265114771799E-2</v>
      </c>
      <c r="CJ429">
        <v>1.3856359851153801E-2</v>
      </c>
      <c r="CK429">
        <v>1.4092492218481601E-2</v>
      </c>
      <c r="CL429">
        <v>1.4330738710208801E-2</v>
      </c>
      <c r="CM429">
        <v>1.4571288254677401E-2</v>
      </c>
      <c r="CN429">
        <v>1.4813985815390399E-2</v>
      </c>
      <c r="CO429">
        <v>1.50588049614144E-2</v>
      </c>
      <c r="CP429">
        <v>1.53062066874663E-2</v>
      </c>
    </row>
    <row r="430" spans="4:94" x14ac:dyDescent="0.2">
      <c r="D430" t="s">
        <v>155</v>
      </c>
      <c r="E430" t="s">
        <v>165</v>
      </c>
      <c r="F430" t="s">
        <v>166</v>
      </c>
      <c r="K430" t="s">
        <v>167</v>
      </c>
      <c r="M430" t="s">
        <v>6</v>
      </c>
      <c r="N430">
        <v>1</v>
      </c>
      <c r="O430">
        <v>1</v>
      </c>
      <c r="P430">
        <v>0</v>
      </c>
      <c r="Q430" t="s">
        <v>378</v>
      </c>
      <c r="S430">
        <v>3142.4607000000001</v>
      </c>
      <c r="T430">
        <v>3206.9933999999998</v>
      </c>
      <c r="U430">
        <v>3339.490499999999</v>
      </c>
      <c r="V430">
        <v>3439.7631000000001</v>
      </c>
      <c r="W430">
        <v>3541.2912000000001</v>
      </c>
      <c r="X430">
        <v>4116.8681999999999</v>
      </c>
      <c r="Y430">
        <v>3669.5754000000002</v>
      </c>
      <c r="Z430">
        <v>3939.7031999999999</v>
      </c>
      <c r="AA430">
        <v>4057.6365000000001</v>
      </c>
      <c r="AB430">
        <v>4177.0763999999999</v>
      </c>
      <c r="AC430">
        <v>4359.933</v>
      </c>
      <c r="AD430">
        <v>4519.0187999999998</v>
      </c>
      <c r="AE430">
        <v>4694.0633999999991</v>
      </c>
      <c r="AF430">
        <v>5066.0541000000003</v>
      </c>
      <c r="AG430">
        <v>5595.3450000000003</v>
      </c>
      <c r="AH430">
        <v>5570.2907999999998</v>
      </c>
      <c r="AI430">
        <v>5661.8864999999996</v>
      </c>
      <c r="AJ430">
        <v>5982.5132999999996</v>
      </c>
      <c r="AK430">
        <v>6153.1775999999991</v>
      </c>
      <c r="AL430">
        <v>6691.452299999999</v>
      </c>
      <c r="AM430">
        <v>6783.131699999999</v>
      </c>
      <c r="AN430">
        <v>7057.9187999999986</v>
      </c>
      <c r="AO430">
        <v>7340.3504999999996</v>
      </c>
      <c r="AP430">
        <v>7630.7894999999999</v>
      </c>
      <c r="AQ430">
        <v>5255.1324000000004</v>
      </c>
      <c r="AR430">
        <v>5376.5908156574642</v>
      </c>
      <c r="AS430">
        <v>5654.8558969269916</v>
      </c>
      <c r="AT430">
        <v>5970.0052307401056</v>
      </c>
      <c r="AU430">
        <v>6320.1342225724984</v>
      </c>
      <c r="AV430">
        <v>6708.9884319480252</v>
      </c>
      <c r="AW430">
        <v>7139.5851744086112</v>
      </c>
      <c r="AX430">
        <v>7482.0916882379161</v>
      </c>
      <c r="AY430">
        <v>7883.2840642168931</v>
      </c>
      <c r="AZ430">
        <v>8325.737751102346</v>
      </c>
      <c r="BA430">
        <v>8807.3274039106018</v>
      </c>
      <c r="BB430">
        <v>9309.5373797992816</v>
      </c>
      <c r="BC430">
        <v>9781.9870396655788</v>
      </c>
      <c r="BD430">
        <v>10275.33156761248</v>
      </c>
      <c r="BE430">
        <v>10790.33551253489</v>
      </c>
      <c r="BF430">
        <v>11327.78402688805</v>
      </c>
      <c r="BG430">
        <v>11888.56447628177</v>
      </c>
      <c r="BH430">
        <v>12473.278950121199</v>
      </c>
      <c r="BI430">
        <v>13083.00866824884</v>
      </c>
      <c r="BJ430">
        <v>13718.638416274471</v>
      </c>
      <c r="BK430">
        <v>14381.076258077819</v>
      </c>
      <c r="BL430">
        <v>15043.71718015228</v>
      </c>
      <c r="BM430">
        <v>15702.704960436509</v>
      </c>
      <c r="BN430">
        <v>16335.52692520765</v>
      </c>
      <c r="BO430">
        <v>16956.891071802282</v>
      </c>
      <c r="BP430">
        <v>17562.536249965891</v>
      </c>
      <c r="BQ430">
        <v>18147.90313338019</v>
      </c>
      <c r="BR430">
        <v>18711.448026912491</v>
      </c>
      <c r="BS430">
        <v>19276.164256123451</v>
      </c>
      <c r="BT430">
        <v>19840.72313189289</v>
      </c>
      <c r="BU430">
        <v>20402.892985456889</v>
      </c>
      <c r="BV430">
        <v>20961.565955818791</v>
      </c>
      <c r="BW430">
        <v>21516.07594081599</v>
      </c>
      <c r="BX430">
        <v>22065.922449624199</v>
      </c>
      <c r="BY430">
        <v>22610.25573971917</v>
      </c>
      <c r="BZ430">
        <v>23147.04667861811</v>
      </c>
      <c r="CA430">
        <v>23674.52349873359</v>
      </c>
      <c r="CB430">
        <v>24191.607817711891</v>
      </c>
      <c r="CC430">
        <v>24715.550247498351</v>
      </c>
      <c r="CD430">
        <v>25246.40510250887</v>
      </c>
      <c r="CE430">
        <v>25783.486281227921</v>
      </c>
      <c r="CF430">
        <v>26325.93480349645</v>
      </c>
      <c r="CG430">
        <v>26875.113908037249</v>
      </c>
      <c r="CH430">
        <v>27431.648136970231</v>
      </c>
      <c r="CI430">
        <v>27993.74337626946</v>
      </c>
      <c r="CJ430">
        <v>28561.985361258241</v>
      </c>
      <c r="CK430">
        <v>29135.990508965791</v>
      </c>
      <c r="CL430">
        <v>29715.639609715221</v>
      </c>
      <c r="CM430">
        <v>30301.619046870179</v>
      </c>
      <c r="CN430">
        <v>30893.449010059601</v>
      </c>
      <c r="CO430">
        <v>31490.982219596979</v>
      </c>
      <c r="CP430">
        <v>32095.387010596551</v>
      </c>
    </row>
    <row r="431" spans="4:94" x14ac:dyDescent="0.2">
      <c r="D431" t="s">
        <v>155</v>
      </c>
      <c r="E431" t="s">
        <v>165</v>
      </c>
      <c r="F431" t="s">
        <v>166</v>
      </c>
      <c r="K431" t="s">
        <v>167</v>
      </c>
      <c r="M431" t="s">
        <v>8</v>
      </c>
      <c r="N431">
        <v>1</v>
      </c>
      <c r="O431">
        <v>1</v>
      </c>
      <c r="P431">
        <v>0</v>
      </c>
      <c r="Q431" t="s">
        <v>379</v>
      </c>
      <c r="S431">
        <v>204.20400000000001</v>
      </c>
      <c r="T431">
        <v>210.756</v>
      </c>
      <c r="U431">
        <v>217.30799999999999</v>
      </c>
      <c r="V431">
        <v>223.86</v>
      </c>
      <c r="W431">
        <v>230.41200000000001</v>
      </c>
      <c r="X431">
        <v>236.964</v>
      </c>
      <c r="Y431">
        <v>244.881</v>
      </c>
      <c r="Z431">
        <v>252.52500000000001</v>
      </c>
      <c r="AA431">
        <v>260.44200000000001</v>
      </c>
      <c r="AB431">
        <v>268.08600000000001</v>
      </c>
      <c r="AC431">
        <v>275.73</v>
      </c>
      <c r="AD431">
        <v>284.46600000000001</v>
      </c>
      <c r="AE431">
        <v>293.202</v>
      </c>
      <c r="AF431">
        <v>301.93799999999999</v>
      </c>
      <c r="AG431">
        <v>310.40100000000001</v>
      </c>
      <c r="AH431">
        <v>319.137</v>
      </c>
      <c r="AI431">
        <v>329.238</v>
      </c>
      <c r="AJ431">
        <v>339.33900000000011</v>
      </c>
      <c r="AK431">
        <v>349.71300000000002</v>
      </c>
      <c r="AL431">
        <v>359.81400000000002</v>
      </c>
      <c r="AM431">
        <v>369.91500000000002</v>
      </c>
      <c r="AN431">
        <v>383.565</v>
      </c>
      <c r="AO431">
        <v>410.86500000000001</v>
      </c>
      <c r="AP431">
        <v>410.86500000000001</v>
      </c>
      <c r="AQ431">
        <v>424.51499999999999</v>
      </c>
      <c r="AR431">
        <v>428.76375935031461</v>
      </c>
      <c r="AS431">
        <v>451.8306010541537</v>
      </c>
      <c r="AT431">
        <v>469.18743155407788</v>
      </c>
      <c r="AU431">
        <v>488.76883177262653</v>
      </c>
      <c r="AV431">
        <v>510.81146376552289</v>
      </c>
      <c r="AW431">
        <v>541.43292540887535</v>
      </c>
      <c r="AX431">
        <v>577.96524275655179</v>
      </c>
      <c r="AY431">
        <v>621.69595368638545</v>
      </c>
      <c r="AZ431">
        <v>670.93731166399334</v>
      </c>
      <c r="BA431">
        <v>725.66138219730374</v>
      </c>
      <c r="BB431">
        <v>783.79733763756019</v>
      </c>
      <c r="BC431">
        <v>839.01705592729024</v>
      </c>
      <c r="BD431">
        <v>897.56359155183782</v>
      </c>
      <c r="BE431">
        <v>959.5917338255573</v>
      </c>
      <c r="BF431">
        <v>1025.2601164577729</v>
      </c>
      <c r="BG431">
        <v>1094.7416331136119</v>
      </c>
      <c r="BH431">
        <v>1168.209473741912</v>
      </c>
      <c r="BI431">
        <v>1245.8300691235011</v>
      </c>
      <c r="BJ431">
        <v>1327.7777563341881</v>
      </c>
      <c r="BK431">
        <v>1414.229769788267</v>
      </c>
      <c r="BL431">
        <v>1501.4201463698971</v>
      </c>
      <c r="BM431">
        <v>1588.7708347304711</v>
      </c>
      <c r="BN431">
        <v>1671.348837754749</v>
      </c>
      <c r="BO431">
        <v>1752.445055414152</v>
      </c>
      <c r="BP431">
        <v>1831.258736813146</v>
      </c>
      <c r="BQ431">
        <v>1906.9119372955511</v>
      </c>
      <c r="BR431">
        <v>1998.4509817187241</v>
      </c>
      <c r="BS431">
        <v>2091.7278081649388</v>
      </c>
      <c r="BT431">
        <v>2186.4975938112921</v>
      </c>
      <c r="BU431">
        <v>2282.2834145841261</v>
      </c>
      <c r="BV431">
        <v>2378.8602380891029</v>
      </c>
      <c r="BW431">
        <v>2476.1566346222171</v>
      </c>
      <c r="BX431">
        <v>2574.044341727903</v>
      </c>
      <c r="BY431">
        <v>2672.3519918094612</v>
      </c>
      <c r="BZ431">
        <v>2770.59409339895</v>
      </c>
      <c r="CA431">
        <v>2868.3316033864912</v>
      </c>
      <c r="CB431">
        <v>2965.3526104025718</v>
      </c>
      <c r="CC431">
        <v>3064.5975826554482</v>
      </c>
      <c r="CD431">
        <v>3166.0937276803588</v>
      </c>
      <c r="CE431">
        <v>3269.661446481537</v>
      </c>
      <c r="CF431">
        <v>3375.0629870544922</v>
      </c>
      <c r="CG431">
        <v>3482.7487658555692</v>
      </c>
      <c r="CH431">
        <v>3592.844568787084</v>
      </c>
      <c r="CI431">
        <v>3704.8410613593728</v>
      </c>
      <c r="CJ431">
        <v>3818.9066009329908</v>
      </c>
      <c r="CK431">
        <v>3934.9276459845132</v>
      </c>
      <c r="CL431">
        <v>4052.9391487443359</v>
      </c>
      <c r="CM431">
        <v>4173.0744176928556</v>
      </c>
      <c r="CN431">
        <v>4295.1874132812354</v>
      </c>
      <c r="CO431">
        <v>4419.228719211399</v>
      </c>
      <c r="CP431">
        <v>4545.5574892909553</v>
      </c>
    </row>
  </sheetData>
  <mergeCells count="2">
    <mergeCell ref="C235:N235"/>
    <mergeCell ref="B247:G25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Coburn Syme</dc:creator>
  <cp:lastModifiedBy>James Coburn Syme</cp:lastModifiedBy>
  <dcterms:created xsi:type="dcterms:W3CDTF">2025-10-30T06:06:22Z</dcterms:created>
  <dcterms:modified xsi:type="dcterms:W3CDTF">2026-04-07T08:56:35Z</dcterms:modified>
</cp:coreProperties>
</file>