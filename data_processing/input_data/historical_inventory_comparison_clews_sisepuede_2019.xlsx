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usuario/git/ssp_uganda_data/data_processing/input_data/"/>
    </mc:Choice>
  </mc:AlternateContent>
  <xr:revisionPtr revIDLastSave="0" documentId="13_ncr:1_{D0F6364C-3D0A-2F4E-B1CB-E4F042ADC4E1}" xr6:coauthVersionLast="47" xr6:coauthVersionMax="47" xr10:uidLastSave="{00000000-0000-0000-0000-000000000000}"/>
  <bookViews>
    <workbookView xWindow="2720" yWindow="500" windowWidth="31060" windowHeight="18100" xr2:uid="{67B887B1-FF49-CC44-8025-2B16021619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 l="1"/>
  <c r="D33" i="1"/>
  <c r="E21" i="1"/>
  <c r="E10" i="1"/>
  <c r="D21" i="1" l="1"/>
</calcChain>
</file>

<file path=xl/sharedStrings.xml><?xml version="1.0" encoding="utf-8"?>
<sst xmlns="http://schemas.openxmlformats.org/spreadsheetml/2006/main" count="93" uniqueCount="56">
  <si>
    <t>Subsector</t>
  </si>
  <si>
    <t>Fugitive Emissions</t>
  </si>
  <si>
    <t>Energy Industries</t>
  </si>
  <si>
    <t>Buildings (Stationary Combustion)</t>
  </si>
  <si>
    <t>Transport</t>
  </si>
  <si>
    <t>Manufacturing Industries and Construction</t>
  </si>
  <si>
    <t>IPPU</t>
  </si>
  <si>
    <t>Solid Waste</t>
  </si>
  <si>
    <t>Wastewater Treatment</t>
  </si>
  <si>
    <t>Forest land - Removals</t>
  </si>
  <si>
    <t>Forest land - Sequestration</t>
  </si>
  <si>
    <t>Forest land</t>
  </si>
  <si>
    <t xml:space="preserve">Abrupt changes, why does it drop? Soure: IPPC inventory table, </t>
  </si>
  <si>
    <t>Assumption, Notes</t>
  </si>
  <si>
    <t xml:space="preserve">Source: IPPC inventory table, </t>
  </si>
  <si>
    <t>Note: CLEWS does not include HFCs, SSP does include HFCs</t>
  </si>
  <si>
    <t xml:space="preserve">Source: IPPC inventory table, CLEWS include non-specified stationary, SSP does not </t>
  </si>
  <si>
    <t xml:space="preserve">Source: IPPC inventory table, Note: CLEWS includes international bunkers, SSP needs to include international bunkers (bottom section of inventory) </t>
  </si>
  <si>
    <t>Source: IPPC inventory table: CLEWS: N20 needs to review inclusion, SSP: may need to break down the total in other sectors , Note: time series is inconsistent, may change depending on modeling output</t>
  </si>
  <si>
    <t xml:space="preserve">HWP </t>
  </si>
  <si>
    <t>Forest land - Removals Deforestation</t>
  </si>
  <si>
    <t>Wetlands and Peatlands CH4</t>
  </si>
  <si>
    <t>x</t>
  </si>
  <si>
    <t>Not found in the inventories regularly</t>
  </si>
  <si>
    <t>Fertilizer</t>
  </si>
  <si>
    <t>Rice Cultivation</t>
  </si>
  <si>
    <t>Indirect N2O from MM</t>
  </si>
  <si>
    <t>Liming</t>
  </si>
  <si>
    <t>Urea</t>
  </si>
  <si>
    <t>Burning Forest</t>
  </si>
  <si>
    <t>Burning Crops</t>
  </si>
  <si>
    <t>Burning Grassland</t>
  </si>
  <si>
    <t>Burning in other</t>
  </si>
  <si>
    <t>2.214    (note, CLEWs does break these out and is simply reporting as one number right now)</t>
  </si>
  <si>
    <t>CLEWs</t>
  </si>
  <si>
    <t>SISEPUEDE</t>
  </si>
  <si>
    <t>Sector</t>
  </si>
  <si>
    <t>Energy</t>
  </si>
  <si>
    <t>Waste</t>
  </si>
  <si>
    <t>AFOLU</t>
  </si>
  <si>
    <t>2019 Agreed</t>
  </si>
  <si>
    <t>Livestock (Manure Management and Enteric Fermentation)</t>
  </si>
  <si>
    <t>Note: source IPPC inventory table, each model ingests categories differently</t>
  </si>
  <si>
    <t>Croplands remaining croplands*</t>
  </si>
  <si>
    <t>Unclear if contains DOS carbon (V4 5.2.3.4). Contains cropland biomass</t>
  </si>
  <si>
    <t>Other land use carbon stock accounting, including C from drained organic soils</t>
  </si>
  <si>
    <t>Note: CLEWs accounts for all subcategories and could reorganize if needed; SISEPUEDE showing individual categories as we may aggregate into slightly different buckets</t>
  </si>
  <si>
    <t>Cropland and Managed Soils</t>
  </si>
  <si>
    <t>Source: IPPC inventory table</t>
  </si>
  <si>
    <t>Source: BUR, aligns with land use changes (rounded)</t>
  </si>
  <si>
    <t>Note: we can display in these accounts in historical/BAU, perhaps with a * to highlight that each model accounts for these (and they can be removed from model trajectories if needed), but we cannot find an inventory number to align with</t>
  </si>
  <si>
    <t>Not accounted for in inventory tables, but shows up in GIZ report on Peatlands.</t>
  </si>
  <si>
    <t>Harvested wood products appear in some documents--e.g., BUR AFOLU sectoral table, 2017--but not in the inventory tables (shows up as NE).</t>
  </si>
  <si>
    <t>TOTAL HISTORICAL NUMBERS TO ALIGN TO FOR 2019</t>
  </si>
  <si>
    <r>
      <rPr>
        <b/>
        <sz val="10"/>
        <color theme="1"/>
        <rFont val="Aptos"/>
      </rPr>
      <t>SISEPUEDE NOTES</t>
    </r>
    <r>
      <rPr>
        <sz val="10"/>
        <color theme="1"/>
        <rFont val="Aptos"/>
      </rPr>
      <t>: Drained organic soils C doesn't appear in the inventories; it should be under cropland remaining cropland + grassland remaining grassland (for pastures), but numbers seem low. SISEPUEDE also accounts for carbon stock in some additional land use categories, including shrublands.</t>
    </r>
  </si>
  <si>
    <t>There seems to be a big difference in how biomass removals from deforestation are accounted for between NCs/BUR and the inventory tables, with deforestation emissions getting shifted to forestland remaining forestland removals. The deforestation emissions--even if made available for biomass--appear to align more closely with land use change over time. There are discrepancies between the BUR 2017 and the 2017 inventory table + the NC3 and the 2015 inventory table. Our total removals will align, but we want to ensure alignment with land use as well. 
For SISEPUEDE, we will account for biomass removals from land for land use change in DEFORESTATION, even if part of that biomass is made available for consumption in other sectors. CLEWs team is also dealing with this and may modify how accounting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</si>
</sst>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font>
    <font>
      <sz val="10"/>
      <name val="Aptos"/>
    </font>
    <font>
      <sz val="10"/>
      <color theme="1"/>
      <name val="Aptos"/>
    </font>
    <font>
      <b/>
      <sz val="12"/>
      <color theme="1"/>
      <name val="Aptos"/>
    </font>
    <font>
      <b/>
      <sz val="10"/>
      <color rgb="FF000000"/>
      <name val="Aptos"/>
    </font>
    <font>
      <sz val="10"/>
      <color rgb="FF000000"/>
      <name val="Aptos"/>
    </font>
    <font>
      <sz val="13"/>
      <color rgb="FF000000"/>
      <name val="Aptos"/>
    </font>
    <font>
      <b/>
      <sz val="14"/>
      <color theme="1"/>
      <name val="Aptos"/>
    </font>
    <font>
      <b/>
      <sz val="10"/>
      <color theme="1"/>
      <name val="Aptos"/>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3" tint="0.749992370372631"/>
        <bgColor indexed="64"/>
      </patternFill>
    </fill>
  </fills>
  <borders count="17">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s>
  <cellStyleXfs count="1">
    <xf numFmtId="0" fontId="0" fillId="0" borderId="0"/>
  </cellStyleXfs>
  <cellXfs count="55">
    <xf numFmtId="0" fontId="0" fillId="0" borderId="0" xfId="0"/>
    <xf numFmtId="0" fontId="1" fillId="2" borderId="13" xfId="0" applyFont="1" applyFill="1" applyBorder="1"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wrapText="1"/>
    </xf>
    <xf numFmtId="0" fontId="3" fillId="2" borderId="4" xfId="0" applyFont="1" applyFill="1" applyBorder="1" applyAlignment="1">
      <alignment vertical="center" wrapText="1"/>
    </xf>
    <xf numFmtId="0" fontId="3" fillId="2" borderId="0" xfId="0" applyFont="1" applyFill="1"/>
    <xf numFmtId="0" fontId="1" fillId="2" borderId="0" xfId="0" applyFont="1" applyFill="1"/>
    <xf numFmtId="0" fontId="4" fillId="2" borderId="3" xfId="0" applyFont="1" applyFill="1" applyBorder="1" applyAlignment="1">
      <alignment vertical="center"/>
    </xf>
    <xf numFmtId="0" fontId="1" fillId="2" borderId="2" xfId="0" applyFont="1" applyFill="1" applyBorder="1" applyAlignment="1">
      <alignment vertical="center"/>
    </xf>
    <xf numFmtId="0" fontId="5" fillId="2" borderId="2" xfId="0" applyFont="1" applyFill="1" applyBorder="1" applyAlignment="1">
      <alignment horizontal="left" vertical="center" wrapText="1" readingOrder="1"/>
    </xf>
    <xf numFmtId="0" fontId="3" fillId="2" borderId="7"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5" xfId="0" applyFont="1" applyFill="1" applyBorder="1" applyAlignment="1">
      <alignment vertical="center" wrapText="1"/>
    </xf>
    <xf numFmtId="0" fontId="1" fillId="4" borderId="0" xfId="0" applyFont="1" applyFill="1" applyAlignment="1">
      <alignment vertical="center"/>
    </xf>
    <xf numFmtId="0" fontId="3" fillId="4" borderId="8"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0" xfId="0" applyFont="1" applyFill="1" applyAlignment="1">
      <alignment vertical="center" wrapText="1"/>
    </xf>
    <xf numFmtId="0" fontId="3" fillId="4" borderId="0" xfId="0" applyFont="1" applyFill="1"/>
    <xf numFmtId="0" fontId="1" fillId="4" borderId="0" xfId="0" applyFont="1" applyFill="1"/>
    <xf numFmtId="0" fontId="1" fillId="5" borderId="0" xfId="0" applyFont="1" applyFill="1" applyAlignment="1">
      <alignment vertical="center"/>
    </xf>
    <xf numFmtId="0" fontId="6" fillId="5" borderId="0" xfId="0" applyFont="1" applyFill="1" applyAlignment="1">
      <alignment horizontal="left" vertical="center" wrapText="1" readingOrder="1"/>
    </xf>
    <xf numFmtId="0" fontId="3" fillId="5" borderId="9"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0" xfId="0" applyFont="1" applyFill="1" applyAlignment="1">
      <alignment vertical="center" wrapText="1"/>
    </xf>
    <xf numFmtId="0" fontId="3" fillId="5" borderId="0" xfId="0" applyFont="1" applyFill="1"/>
    <xf numFmtId="0" fontId="1" fillId="5" borderId="0" xfId="0" applyFont="1" applyFill="1"/>
    <xf numFmtId="0" fontId="3" fillId="4" borderId="9" xfId="0" applyFont="1" applyFill="1" applyBorder="1" applyAlignment="1">
      <alignment horizontal="center" vertical="center"/>
    </xf>
    <xf numFmtId="0" fontId="3" fillId="4" borderId="6" xfId="0" applyFont="1" applyFill="1" applyBorder="1" applyAlignment="1">
      <alignment horizontal="center" vertical="center"/>
    </xf>
    <xf numFmtId="0" fontId="1" fillId="2" borderId="0" xfId="0" applyFont="1" applyFill="1" applyAlignment="1">
      <alignment vertical="center"/>
    </xf>
    <xf numFmtId="0" fontId="6" fillId="2" borderId="0" xfId="0" applyFont="1" applyFill="1" applyAlignment="1">
      <alignment horizontal="left" vertical="center" wrapText="1" readingOrder="1"/>
    </xf>
    <xf numFmtId="0" fontId="3" fillId="2" borderId="9"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0" xfId="0" applyFont="1" applyFill="1" applyAlignment="1">
      <alignment vertical="center" wrapText="1"/>
    </xf>
    <xf numFmtId="0" fontId="2" fillId="2" borderId="6" xfId="0" applyFont="1" applyFill="1" applyBorder="1" applyAlignment="1">
      <alignment horizontal="center" vertical="center"/>
    </xf>
    <xf numFmtId="0" fontId="7" fillId="2" borderId="0" xfId="0" applyFont="1" applyFill="1" applyAlignment="1">
      <alignment horizontal="left" vertical="center" wrapText="1" readingOrder="1"/>
    </xf>
    <xf numFmtId="0" fontId="1" fillId="2" borderId="9"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0" xfId="0" applyFont="1" applyFill="1" applyAlignment="1">
      <alignment vertical="center" wrapText="1"/>
    </xf>
    <xf numFmtId="0" fontId="1" fillId="3" borderId="9"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0" xfId="0" applyFont="1" applyFill="1" applyAlignment="1">
      <alignment vertical="center" wrapText="1"/>
    </xf>
    <xf numFmtId="0" fontId="1" fillId="3" borderId="0" xfId="0" applyFont="1" applyFill="1"/>
    <xf numFmtId="0" fontId="1" fillId="3" borderId="0" xfId="0" applyFont="1" applyFill="1" applyAlignment="1">
      <alignment vertical="center"/>
    </xf>
    <xf numFmtId="0" fontId="8" fillId="3" borderId="0" xfId="0" applyFont="1" applyFill="1" applyAlignment="1">
      <alignment vertical="center"/>
    </xf>
    <xf numFmtId="0" fontId="3" fillId="2" borderId="0" xfId="0" applyFont="1" applyFill="1" applyAlignment="1">
      <alignment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6" fillId="2" borderId="0" xfId="0" applyFont="1" applyFill="1" applyAlignment="1">
      <alignment horizontal="left" vertical="center" wrapText="1" readingOrder="1"/>
    </xf>
    <xf numFmtId="0" fontId="7" fillId="3" borderId="0" xfId="0" applyFont="1" applyFill="1" applyAlignment="1">
      <alignment horizontal="left" vertical="center" wrapText="1" readingOrder="1"/>
    </xf>
    <xf numFmtId="0" fontId="6" fillId="4" borderId="0" xfId="0" applyFont="1" applyFill="1" applyAlignment="1">
      <alignment horizontal="left" vertical="center" wrapText="1" readingOrder="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6" fillId="5" borderId="0" xfId="0" applyFont="1" applyFill="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FF70-990B-2349-8216-C1940F972B61}">
  <dimension ref="A1:G33"/>
  <sheetViews>
    <sheetView tabSelected="1" topLeftCell="A13" zoomScale="120" zoomScaleNormal="120" workbookViewId="0">
      <selection activeCell="F22" sqref="F22"/>
    </sheetView>
  </sheetViews>
  <sheetFormatPr baseColWidth="10" defaultRowHeight="16" x14ac:dyDescent="0.2"/>
  <cols>
    <col min="1" max="1" width="10.83203125" style="28"/>
    <col min="2" max="2" width="2.83203125" style="28" customWidth="1"/>
    <col min="3" max="3" width="67.5" style="28" customWidth="1"/>
    <col min="4" max="5" width="10.83203125" style="28"/>
    <col min="6" max="6" width="70.33203125" style="37" customWidth="1"/>
    <col min="7" max="7" width="48.33203125" style="6" customWidth="1"/>
    <col min="8" max="16384" width="10.83203125" style="6"/>
  </cols>
  <sheetData>
    <row r="1" spans="1:7" x14ac:dyDescent="0.2">
      <c r="A1" s="1"/>
      <c r="B1" s="2"/>
      <c r="C1" s="3"/>
      <c r="D1" s="52" t="s">
        <v>40</v>
      </c>
      <c r="E1" s="53"/>
      <c r="F1" s="4"/>
      <c r="G1" s="5"/>
    </row>
    <row r="2" spans="1:7" x14ac:dyDescent="0.2">
      <c r="A2" s="7" t="s">
        <v>36</v>
      </c>
      <c r="B2" s="8"/>
      <c r="C2" s="9" t="s">
        <v>0</v>
      </c>
      <c r="D2" s="10" t="s">
        <v>34</v>
      </c>
      <c r="E2" s="11" t="s">
        <v>35</v>
      </c>
      <c r="F2" s="12" t="s">
        <v>13</v>
      </c>
      <c r="G2" s="5"/>
    </row>
    <row r="3" spans="1:7" s="18" customFormat="1" x14ac:dyDescent="0.2">
      <c r="A3" s="13" t="s">
        <v>37</v>
      </c>
      <c r="B3" s="49" t="s">
        <v>1</v>
      </c>
      <c r="C3" s="49"/>
      <c r="D3" s="14">
        <v>0</v>
      </c>
      <c r="E3" s="15">
        <v>0</v>
      </c>
      <c r="F3" s="16"/>
      <c r="G3" s="17"/>
    </row>
    <row r="4" spans="1:7" s="25" customFormat="1" ht="49" customHeight="1" x14ac:dyDescent="0.2">
      <c r="A4" s="19" t="s">
        <v>37</v>
      </c>
      <c r="B4" s="54" t="s">
        <v>2</v>
      </c>
      <c r="C4" s="54"/>
      <c r="D4" s="21">
        <v>1.36</v>
      </c>
      <c r="E4" s="22">
        <v>1.68</v>
      </c>
      <c r="F4" s="23" t="s">
        <v>18</v>
      </c>
      <c r="G4" s="24"/>
    </row>
    <row r="5" spans="1:7" s="18" customFormat="1" ht="17" customHeight="1" x14ac:dyDescent="0.2">
      <c r="A5" s="13" t="s">
        <v>37</v>
      </c>
      <c r="B5" s="49" t="s">
        <v>3</v>
      </c>
      <c r="C5" s="49"/>
      <c r="D5" s="26">
        <v>4.2</v>
      </c>
      <c r="E5" s="27">
        <v>4.0999999999999996</v>
      </c>
      <c r="F5" s="16" t="s">
        <v>16</v>
      </c>
      <c r="G5" s="17"/>
    </row>
    <row r="6" spans="1:7" s="25" customFormat="1" ht="35" customHeight="1" x14ac:dyDescent="0.2">
      <c r="A6" s="19" t="s">
        <v>37</v>
      </c>
      <c r="B6" s="54" t="s">
        <v>4</v>
      </c>
      <c r="C6" s="54"/>
      <c r="D6" s="21">
        <v>3.1</v>
      </c>
      <c r="E6" s="22">
        <v>3.1</v>
      </c>
      <c r="F6" s="23" t="s">
        <v>17</v>
      </c>
      <c r="G6" s="24"/>
    </row>
    <row r="7" spans="1:7" s="18" customFormat="1" ht="17" customHeight="1" x14ac:dyDescent="0.2">
      <c r="A7" s="13" t="s">
        <v>37</v>
      </c>
      <c r="B7" s="49" t="s">
        <v>5</v>
      </c>
      <c r="C7" s="49"/>
      <c r="D7" s="26">
        <v>2.97</v>
      </c>
      <c r="E7" s="27">
        <v>2.97</v>
      </c>
      <c r="F7" s="16" t="s">
        <v>14</v>
      </c>
      <c r="G7" s="17"/>
    </row>
    <row r="8" spans="1:7" s="25" customFormat="1" ht="17" customHeight="1" x14ac:dyDescent="0.2">
      <c r="A8" s="19" t="s">
        <v>6</v>
      </c>
      <c r="B8" s="54" t="s">
        <v>6</v>
      </c>
      <c r="C8" s="54"/>
      <c r="D8" s="21">
        <v>0.36</v>
      </c>
      <c r="E8" s="22">
        <v>0.46</v>
      </c>
      <c r="F8" s="23" t="s">
        <v>15</v>
      </c>
      <c r="G8" s="24"/>
    </row>
    <row r="9" spans="1:7" s="18" customFormat="1" ht="17" customHeight="1" x14ac:dyDescent="0.2">
      <c r="A9" s="13" t="s">
        <v>39</v>
      </c>
      <c r="B9" s="49" t="s">
        <v>41</v>
      </c>
      <c r="C9" s="49"/>
      <c r="D9" s="26">
        <v>27.3</v>
      </c>
      <c r="E9" s="27">
        <v>27.3</v>
      </c>
      <c r="F9" s="16" t="s">
        <v>14</v>
      </c>
      <c r="G9" s="17"/>
    </row>
    <row r="10" spans="1:7" s="25" customFormat="1" ht="34" customHeight="1" x14ac:dyDescent="0.2">
      <c r="A10" s="19" t="s">
        <v>39</v>
      </c>
      <c r="B10" s="19" t="s">
        <v>47</v>
      </c>
      <c r="C10" s="20"/>
      <c r="D10" s="21">
        <v>2.2200000000000002</v>
      </c>
      <c r="E10" s="22">
        <f>SUM(E11:E20)</f>
        <v>2.2208560000000004</v>
      </c>
      <c r="F10" s="23" t="s">
        <v>46</v>
      </c>
      <c r="G10" s="24"/>
    </row>
    <row r="11" spans="1:7" ht="17" customHeight="1" x14ac:dyDescent="0.2">
      <c r="A11" s="28" t="s">
        <v>39</v>
      </c>
      <c r="C11" s="29" t="s">
        <v>43</v>
      </c>
      <c r="D11" s="30">
        <v>6.0000000000000001E-3</v>
      </c>
      <c r="E11" s="31">
        <v>6.0000000000000001E-3</v>
      </c>
      <c r="F11" s="32" t="s">
        <v>44</v>
      </c>
    </row>
    <row r="12" spans="1:7" ht="17" customHeight="1" x14ac:dyDescent="0.2">
      <c r="A12" s="28" t="s">
        <v>39</v>
      </c>
      <c r="C12" s="29" t="s">
        <v>29</v>
      </c>
      <c r="D12" s="50" t="s">
        <v>33</v>
      </c>
      <c r="E12" s="31">
        <v>8.463E-3</v>
      </c>
      <c r="F12" s="32" t="s">
        <v>48</v>
      </c>
      <c r="G12" s="5"/>
    </row>
    <row r="13" spans="1:7" ht="17" customHeight="1" x14ac:dyDescent="0.2">
      <c r="A13" s="28" t="s">
        <v>39</v>
      </c>
      <c r="C13" s="29" t="s">
        <v>30</v>
      </c>
      <c r="D13" s="50"/>
      <c r="E13" s="31">
        <v>5.4600000000000004E-4</v>
      </c>
      <c r="F13" s="32" t="s">
        <v>48</v>
      </c>
      <c r="G13" s="5"/>
    </row>
    <row r="14" spans="1:7" ht="17" customHeight="1" x14ac:dyDescent="0.2">
      <c r="A14" s="28" t="s">
        <v>39</v>
      </c>
      <c r="C14" s="29" t="s">
        <v>31</v>
      </c>
      <c r="D14" s="50"/>
      <c r="E14" s="31">
        <v>7.0433999999999997E-2</v>
      </c>
      <c r="F14" s="32" t="s">
        <v>48</v>
      </c>
      <c r="G14" s="5"/>
    </row>
    <row r="15" spans="1:7" ht="17" customHeight="1" x14ac:dyDescent="0.2">
      <c r="A15" s="28" t="s">
        <v>39</v>
      </c>
      <c r="C15" s="29" t="s">
        <v>32</v>
      </c>
      <c r="D15" s="50"/>
      <c r="E15" s="31">
        <v>0</v>
      </c>
      <c r="F15" s="32" t="s">
        <v>48</v>
      </c>
      <c r="G15" s="5"/>
    </row>
    <row r="16" spans="1:7" ht="17" customHeight="1" x14ac:dyDescent="0.2">
      <c r="A16" s="28" t="s">
        <v>39</v>
      </c>
      <c r="C16" s="29" t="s">
        <v>27</v>
      </c>
      <c r="D16" s="50"/>
      <c r="E16" s="33">
        <v>4.5830000000000003E-3</v>
      </c>
      <c r="F16" s="32" t="s">
        <v>48</v>
      </c>
      <c r="G16" s="5"/>
    </row>
    <row r="17" spans="1:7" ht="17" customHeight="1" x14ac:dyDescent="0.2">
      <c r="A17" s="28" t="s">
        <v>39</v>
      </c>
      <c r="C17" s="29" t="s">
        <v>28</v>
      </c>
      <c r="D17" s="50"/>
      <c r="E17" s="33">
        <v>1.123E-2</v>
      </c>
      <c r="F17" s="32" t="s">
        <v>48</v>
      </c>
      <c r="G17" s="5"/>
    </row>
    <row r="18" spans="1:7" ht="17" customHeight="1" x14ac:dyDescent="0.2">
      <c r="A18" s="28" t="s">
        <v>39</v>
      </c>
      <c r="C18" s="29" t="s">
        <v>25</v>
      </c>
      <c r="D18" s="50"/>
      <c r="E18" s="31">
        <v>0.23899999999999999</v>
      </c>
      <c r="F18" s="32" t="s">
        <v>48</v>
      </c>
      <c r="G18" s="5"/>
    </row>
    <row r="19" spans="1:7" ht="17" customHeight="1" x14ac:dyDescent="0.2">
      <c r="A19" s="28" t="s">
        <v>39</v>
      </c>
      <c r="C19" s="29" t="s">
        <v>26</v>
      </c>
      <c r="D19" s="50"/>
      <c r="E19" s="31">
        <v>0.40160000000000001</v>
      </c>
      <c r="F19" s="32" t="s">
        <v>48</v>
      </c>
      <c r="G19" s="5"/>
    </row>
    <row r="20" spans="1:7" ht="17" customHeight="1" x14ac:dyDescent="0.2">
      <c r="A20" s="28" t="s">
        <v>39</v>
      </c>
      <c r="C20" s="29" t="s">
        <v>24</v>
      </c>
      <c r="D20" s="50"/>
      <c r="E20" s="31">
        <v>1.4790000000000001</v>
      </c>
      <c r="F20" s="32" t="s">
        <v>48</v>
      </c>
      <c r="G20" s="5"/>
    </row>
    <row r="21" spans="1:7" s="18" customFormat="1" ht="16" customHeight="1" x14ac:dyDescent="0.2">
      <c r="A21" s="13" t="s">
        <v>39</v>
      </c>
      <c r="B21" s="49" t="s">
        <v>11</v>
      </c>
      <c r="C21" s="49"/>
      <c r="D21" s="26">
        <f>+D22+D24</f>
        <v>55.699999999999996</v>
      </c>
      <c r="E21" s="27">
        <f>E22+E23+E24</f>
        <v>54.129999999999995</v>
      </c>
      <c r="F21" s="16" t="s">
        <v>42</v>
      </c>
      <c r="G21" s="17"/>
    </row>
    <row r="22" spans="1:7" ht="165" x14ac:dyDescent="0.2">
      <c r="A22" s="28" t="s">
        <v>39</v>
      </c>
      <c r="C22" s="29" t="s">
        <v>9</v>
      </c>
      <c r="D22" s="51">
        <v>65.099999999999994</v>
      </c>
      <c r="E22" s="31">
        <v>51.8</v>
      </c>
      <c r="F22" s="32" t="s">
        <v>55</v>
      </c>
    </row>
    <row r="23" spans="1:7" x14ac:dyDescent="0.2">
      <c r="A23" s="28" t="s">
        <v>39</v>
      </c>
      <c r="C23" s="29" t="s">
        <v>20</v>
      </c>
      <c r="D23" s="51"/>
      <c r="E23" s="31">
        <v>13.3</v>
      </c>
      <c r="F23" s="32" t="s">
        <v>49</v>
      </c>
    </row>
    <row r="24" spans="1:7" x14ac:dyDescent="0.2">
      <c r="A24" s="28" t="s">
        <v>39</v>
      </c>
      <c r="C24" s="29" t="s">
        <v>10</v>
      </c>
      <c r="D24" s="30">
        <v>-9.4</v>
      </c>
      <c r="E24" s="31">
        <v>-10.97</v>
      </c>
      <c r="F24" s="32"/>
    </row>
    <row r="25" spans="1:7" s="18" customFormat="1" ht="17" customHeight="1" x14ac:dyDescent="0.2">
      <c r="A25" s="13" t="s">
        <v>38</v>
      </c>
      <c r="B25" s="49" t="s">
        <v>7</v>
      </c>
      <c r="C25" s="49"/>
      <c r="D25" s="26">
        <v>7.84</v>
      </c>
      <c r="E25" s="27">
        <v>7.84</v>
      </c>
      <c r="F25" s="16" t="s">
        <v>14</v>
      </c>
      <c r="G25" s="17"/>
    </row>
    <row r="26" spans="1:7" s="25" customFormat="1" ht="17" customHeight="1" x14ac:dyDescent="0.2">
      <c r="A26" s="19" t="s">
        <v>38</v>
      </c>
      <c r="B26" s="54" t="s">
        <v>8</v>
      </c>
      <c r="C26" s="54"/>
      <c r="D26" s="21">
        <v>5.7</v>
      </c>
      <c r="E26" s="22">
        <v>5.7</v>
      </c>
      <c r="F26" s="23" t="s">
        <v>12</v>
      </c>
      <c r="G26" s="24"/>
    </row>
    <row r="27" spans="1:7" ht="18" x14ac:dyDescent="0.2">
      <c r="C27" s="34"/>
      <c r="D27" s="35"/>
      <c r="E27" s="36"/>
    </row>
    <row r="28" spans="1:7" ht="56" customHeight="1" x14ac:dyDescent="0.2">
      <c r="A28" s="48" t="s">
        <v>23</v>
      </c>
      <c r="B28" s="48"/>
      <c r="C28" s="48"/>
      <c r="D28" s="38"/>
      <c r="E28" s="39"/>
      <c r="F28" s="40" t="s">
        <v>50</v>
      </c>
      <c r="G28" s="41"/>
    </row>
    <row r="29" spans="1:7" ht="34" customHeight="1" x14ac:dyDescent="0.2">
      <c r="A29" s="44" t="s">
        <v>39</v>
      </c>
      <c r="B29" s="47" t="s">
        <v>19</v>
      </c>
      <c r="C29" s="47"/>
      <c r="D29" s="30"/>
      <c r="E29" s="31" t="s">
        <v>22</v>
      </c>
      <c r="F29" s="32" t="s">
        <v>52</v>
      </c>
    </row>
    <row r="30" spans="1:7" ht="67" customHeight="1" x14ac:dyDescent="0.2">
      <c r="A30" s="44" t="s">
        <v>39</v>
      </c>
      <c r="B30" s="47" t="s">
        <v>45</v>
      </c>
      <c r="C30" s="47"/>
      <c r="D30" s="30"/>
      <c r="E30" s="31" t="s">
        <v>22</v>
      </c>
      <c r="F30" s="32" t="s">
        <v>54</v>
      </c>
    </row>
    <row r="31" spans="1:7" ht="16" customHeight="1" thickBot="1" x14ac:dyDescent="0.25">
      <c r="A31" s="44" t="s">
        <v>39</v>
      </c>
      <c r="B31" s="47" t="s">
        <v>21</v>
      </c>
      <c r="C31" s="47"/>
      <c r="D31" s="45" t="s">
        <v>22</v>
      </c>
      <c r="E31" s="46" t="s">
        <v>22</v>
      </c>
      <c r="F31" s="32" t="s">
        <v>51</v>
      </c>
    </row>
    <row r="33" spans="1:7" ht="24" customHeight="1" x14ac:dyDescent="0.2">
      <c r="A33" s="42"/>
      <c r="B33" s="42"/>
      <c r="C33" s="43" t="s">
        <v>53</v>
      </c>
      <c r="D33" s="43">
        <f>SUM(D3:D10)+D21+D25+D26</f>
        <v>110.75</v>
      </c>
      <c r="E33" s="43">
        <f>SUM(E3:E10)+E21+E25+E26</f>
        <v>109.500856</v>
      </c>
      <c r="F33" s="40"/>
      <c r="G33" s="41"/>
    </row>
  </sheetData>
  <mergeCells count="17">
    <mergeCell ref="D12:D20"/>
    <mergeCell ref="B21:C21"/>
    <mergeCell ref="B9:C9"/>
    <mergeCell ref="D22:D23"/>
    <mergeCell ref="D1:E1"/>
    <mergeCell ref="B8:C8"/>
    <mergeCell ref="B6:C6"/>
    <mergeCell ref="B5:C5"/>
    <mergeCell ref="B4:C4"/>
    <mergeCell ref="B3:C3"/>
    <mergeCell ref="B31:C31"/>
    <mergeCell ref="B30:C30"/>
    <mergeCell ref="B29:C29"/>
    <mergeCell ref="A28:C28"/>
    <mergeCell ref="B7:C7"/>
    <mergeCell ref="B25:C25"/>
    <mergeCell ref="B26:C26"/>
  </mergeCells>
  <pageMargins left="0.7" right="0.7" top="0.75" bottom="0.75" header="0.3" footer="0.3"/>
  <ignoredErrors>
    <ignoredError sqref="D33" formulaRange="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Edmundo Molina Perez</dc:creator>
  <cp:lastModifiedBy>James Coburn Syme</cp:lastModifiedBy>
  <dcterms:created xsi:type="dcterms:W3CDTF">2025-10-10T15:11:37Z</dcterms:created>
  <dcterms:modified xsi:type="dcterms:W3CDTF">2025-10-10T20:46:17Z</dcterms:modified>
</cp:coreProperties>
</file>