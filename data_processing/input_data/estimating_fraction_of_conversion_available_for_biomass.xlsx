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uario/git/ssp_uganda_data/data_processing/input_data/"/>
    </mc:Choice>
  </mc:AlternateContent>
  <xr:revisionPtr revIDLastSave="0" documentId="13_ncr:1_{79A91699-8926-0B43-BED0-03449AD28DCF}" xr6:coauthVersionLast="47" xr6:coauthVersionMax="47" xr10:uidLastSave="{00000000-0000-0000-0000-000000000000}"/>
  <bookViews>
    <workbookView xWindow="520" yWindow="500" windowWidth="22440" windowHeight="10440" xr2:uid="{656ADB10-0BE5-B144-B477-A2B28EF0BD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D2" i="1"/>
  <c r="C9" i="1"/>
  <c r="D9" i="1" s="1"/>
  <c r="E9" i="1" s="1"/>
  <c r="G9" i="1" s="1"/>
  <c r="C8" i="1"/>
  <c r="C2" i="1"/>
  <c r="C5" i="1" s="1"/>
  <c r="D5" i="1" s="1"/>
  <c r="E5" i="1" s="1"/>
  <c r="G5" i="1" s="1"/>
  <c r="D8" i="1" l="1"/>
  <c r="E8" i="1" s="1"/>
  <c r="G8" i="1" s="1"/>
  <c r="C10" i="1"/>
  <c r="D10" i="1" s="1"/>
  <c r="E10" i="1" s="1"/>
  <c r="G10" i="1" s="1"/>
  <c r="C6" i="1"/>
  <c r="D6" i="1" s="1"/>
  <c r="E6" i="1" s="1"/>
  <c r="C7" i="1"/>
  <c r="D7" i="1" s="1"/>
  <c r="E7" i="1" s="1"/>
  <c r="G7" i="1" s="1"/>
</calcChain>
</file>

<file path=xl/sharedStrings.xml><?xml version="1.0" encoding="utf-8"?>
<sst xmlns="http://schemas.openxmlformats.org/spreadsheetml/2006/main" count="11" uniqueCount="11">
  <si>
    <t>tonne c</t>
  </si>
  <si>
    <t>area</t>
  </si>
  <si>
    <t>tonne per ha</t>
  </si>
  <si>
    <t>loss by year</t>
  </si>
  <si>
    <t>tonne c loss conv</t>
  </si>
  <si>
    <t>tonne co2</t>
  </si>
  <si>
    <t>co2 per c</t>
  </si>
  <si>
    <t>mt co2</t>
  </si>
  <si>
    <t>inventory reported from conv</t>
  </si>
  <si>
    <t>est frac available for bmass</t>
  </si>
  <si>
    <t>ha converted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</si>
</sst>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232B3-EE0D-CD40-ADC2-4C60ED330DB8}">
  <dimension ref="A1:G10"/>
  <sheetViews>
    <sheetView tabSelected="1" workbookViewId="0">
      <selection activeCell="G6" sqref="G6"/>
    </sheetView>
  </sheetViews>
  <sheetFormatPr baseColWidth="10" defaultRowHeight="16" x14ac:dyDescent="0.2"/>
  <cols>
    <col min="3" max="4" width="17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6</v>
      </c>
    </row>
    <row r="2" spans="1:7" x14ac:dyDescent="0.2">
      <c r="A2">
        <v>360000000</v>
      </c>
      <c r="B2">
        <v>2340000</v>
      </c>
      <c r="C2">
        <f>A2/B2</f>
        <v>153.84615384615384</v>
      </c>
      <c r="D2">
        <f>11/3</f>
        <v>3.6666666666666665</v>
      </c>
    </row>
    <row r="4" spans="1:7" x14ac:dyDescent="0.2">
      <c r="A4" t="s">
        <v>3</v>
      </c>
      <c r="B4" t="s">
        <v>10</v>
      </c>
      <c r="C4" t="s">
        <v>4</v>
      </c>
      <c r="D4" t="s">
        <v>5</v>
      </c>
      <c r="E4" t="s">
        <v>7</v>
      </c>
      <c r="F4" t="s">
        <v>8</v>
      </c>
      <c r="G4" t="s">
        <v>9</v>
      </c>
    </row>
    <row r="5" spans="1:7" x14ac:dyDescent="0.2">
      <c r="A5">
        <v>2001</v>
      </c>
      <c r="B5">
        <v>30000</v>
      </c>
      <c r="C5">
        <f>$C$2*B5</f>
        <v>4615384.615384615</v>
      </c>
      <c r="D5">
        <f>C5*$D$2</f>
        <v>16923076.92307692</v>
      </c>
      <c r="E5">
        <f>D5/1000000</f>
        <v>16.92307692307692</v>
      </c>
      <c r="F5">
        <v>16019.188</v>
      </c>
      <c r="G5">
        <f>1-F5/(1000*E5)</f>
        <v>5.3411618181817944E-2</v>
      </c>
    </row>
    <row r="6" spans="1:7" x14ac:dyDescent="0.2">
      <c r="A6">
        <v>2015</v>
      </c>
      <c r="B6">
        <v>54000</v>
      </c>
      <c r="C6">
        <f>$C$2*B6</f>
        <v>8307692.307692307</v>
      </c>
      <c r="D6">
        <f>C6*$D$2</f>
        <v>30461538.461538456</v>
      </c>
      <c r="E6">
        <f>D6/1000000</f>
        <v>30.461538461538456</v>
      </c>
      <c r="G6">
        <f>AVERAGE(G7:G10)</f>
        <v>0.95812766571731156</v>
      </c>
    </row>
    <row r="7" spans="1:7" x14ac:dyDescent="0.2">
      <c r="A7">
        <v>2016</v>
      </c>
      <c r="B7">
        <v>67000</v>
      </c>
      <c r="C7">
        <f>$C$2*B7</f>
        <v>10307692.307692308</v>
      </c>
      <c r="D7">
        <f>C7*$D$2</f>
        <v>37794871.794871792</v>
      </c>
      <c r="E7">
        <f>D7/1000000</f>
        <v>37.794871794871796</v>
      </c>
      <c r="F7">
        <v>2232.5549999999998</v>
      </c>
      <c r="G7">
        <f>1-F7/(1000*E7)</f>
        <v>0.94092968453188608</v>
      </c>
    </row>
    <row r="8" spans="1:7" x14ac:dyDescent="0.2">
      <c r="A8">
        <v>2017</v>
      </c>
      <c r="B8">
        <v>120000</v>
      </c>
      <c r="C8">
        <f>$C$2*B8</f>
        <v>18461538.46153846</v>
      </c>
      <c r="D8">
        <f>C8*$D$2</f>
        <v>67692307.692307681</v>
      </c>
      <c r="E8">
        <f>D8/1000000</f>
        <v>67.692307692307679</v>
      </c>
      <c r="F8">
        <v>1860.9659999999999</v>
      </c>
      <c r="G8">
        <f>1-F8/(1000*E8)</f>
        <v>0.97250845681818177</v>
      </c>
    </row>
    <row r="9" spans="1:7" x14ac:dyDescent="0.2">
      <c r="A9">
        <v>2018</v>
      </c>
      <c r="B9">
        <v>86000</v>
      </c>
      <c r="C9">
        <f>$C$2*B9</f>
        <v>13230769.23076923</v>
      </c>
      <c r="D9">
        <f>C9*$D$2</f>
        <v>48512820.512820505</v>
      </c>
      <c r="E9">
        <f>D9/1000000</f>
        <v>48.512820512820504</v>
      </c>
      <c r="F9">
        <v>1885.789</v>
      </c>
      <c r="G9">
        <f>1-F9/(1000*E9)</f>
        <v>0.96112802801268493</v>
      </c>
    </row>
    <row r="10" spans="1:7" x14ac:dyDescent="0.2">
      <c r="A10">
        <v>2019</v>
      </c>
      <c r="B10">
        <v>63000</v>
      </c>
      <c r="C10">
        <f>$C$2*B10</f>
        <v>9692307.692307692</v>
      </c>
      <c r="D10">
        <f>C10*$D$2</f>
        <v>35538461.538461536</v>
      </c>
      <c r="E10">
        <f>D10/1000000</f>
        <v>35.538461538461533</v>
      </c>
      <c r="F10">
        <v>1494.588</v>
      </c>
      <c r="G10">
        <f>1-F10/(1000*E10)</f>
        <v>0.95794449350649347</v>
      </c>
    </row>
  </sheetData>
  <sortState xmlns:xlrd2="http://schemas.microsoft.com/office/spreadsheetml/2017/richdata2" ref="A5:G10">
    <sortCondition ref="A6:A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Coburn Syme</dc:creator>
  <cp:lastModifiedBy>James Coburn Syme</cp:lastModifiedBy>
  <dcterms:created xsi:type="dcterms:W3CDTF">2026-04-23T17:42:36Z</dcterms:created>
  <dcterms:modified xsi:type="dcterms:W3CDTF">2026-04-23T18:49:15Z</dcterms:modified>
</cp:coreProperties>
</file>