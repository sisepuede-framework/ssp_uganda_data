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git/ssp_uganda_data/data_processing/assumptions_and_estimates/"/>
    </mc:Choice>
  </mc:AlternateContent>
  <xr:revisionPtr revIDLastSave="0" documentId="13_ncr:1_{B6C18113-07C0-A54B-9AA3-BD85451FC26A}" xr6:coauthVersionLast="47" xr6:coauthVersionMax="47" xr10:uidLastSave="{00000000-0000-0000-0000-000000000000}"/>
  <bookViews>
    <workbookView xWindow="5540" yWindow="760" windowWidth="29020" windowHeight="16940" xr2:uid="{33EDD947-1184-1145-A09E-4DECC944BF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4" i="1"/>
  <c r="J18" i="1"/>
  <c r="J22" i="1"/>
  <c r="J26" i="1"/>
  <c r="J30" i="1"/>
  <c r="J34" i="1"/>
  <c r="J38" i="1"/>
  <c r="J42" i="1"/>
  <c r="J6" i="1"/>
  <c r="G7" i="1"/>
  <c r="G10" i="1"/>
  <c r="G11" i="1"/>
  <c r="G14" i="1"/>
  <c r="G15" i="1"/>
  <c r="G18" i="1"/>
  <c r="G19" i="1"/>
  <c r="G22" i="1"/>
  <c r="G23" i="1"/>
  <c r="G26" i="1"/>
  <c r="G27" i="1"/>
  <c r="G30" i="1"/>
  <c r="G31" i="1"/>
  <c r="G34" i="1"/>
  <c r="G35" i="1"/>
  <c r="G38" i="1"/>
  <c r="G39" i="1"/>
  <c r="G42" i="1"/>
  <c r="G43" i="1"/>
  <c r="G6" i="1"/>
  <c r="J2" i="1"/>
  <c r="F30" i="1"/>
  <c r="F31" i="1"/>
  <c r="I30" i="1" s="1"/>
  <c r="F32" i="1"/>
  <c r="F33" i="1"/>
  <c r="F44" i="1"/>
  <c r="F45" i="1"/>
  <c r="F26" i="1"/>
  <c r="F11" i="1"/>
  <c r="F18" i="1"/>
  <c r="F19" i="1"/>
  <c r="I18" i="1" s="1"/>
  <c r="F20" i="1"/>
  <c r="F21" i="1"/>
  <c r="B3" i="1"/>
  <c r="F34" i="1" s="1"/>
  <c r="F17" i="1" l="1"/>
  <c r="F43" i="1"/>
  <c r="F29" i="1"/>
  <c r="F16" i="1"/>
  <c r="F42" i="1"/>
  <c r="F28" i="1"/>
  <c r="F15" i="1"/>
  <c r="F41" i="1"/>
  <c r="F27" i="1"/>
  <c r="I26" i="1" s="1"/>
  <c r="F14" i="1"/>
  <c r="F40" i="1"/>
  <c r="F13" i="1"/>
  <c r="F39" i="1"/>
  <c r="I38" i="1" s="1"/>
  <c r="F6" i="1"/>
  <c r="F12" i="1"/>
  <c r="F38" i="1"/>
  <c r="F25" i="1"/>
  <c r="F9" i="1"/>
  <c r="F37" i="1"/>
  <c r="F24" i="1"/>
  <c r="F8" i="1"/>
  <c r="F36" i="1"/>
  <c r="F23" i="1"/>
  <c r="F7" i="1"/>
  <c r="I6" i="1" s="1"/>
  <c r="F35" i="1"/>
  <c r="I34" i="1" s="1"/>
  <c r="F22" i="1"/>
  <c r="F10" i="1"/>
  <c r="I10" i="1" s="1"/>
  <c r="I22" i="1" l="1"/>
  <c r="I42" i="1"/>
  <c r="I14" i="1"/>
</calcChain>
</file>

<file path=xl/sharedStrings.xml><?xml version="1.0" encoding="utf-8"?>
<sst xmlns="http://schemas.openxmlformats.org/spreadsheetml/2006/main" count="111" uniqueCount="31">
  <si>
    <t>From J12 on Summary Setup</t>
  </si>
  <si>
    <t>Population</t>
  </si>
  <si>
    <t>fraction switching</t>
  </si>
  <si>
    <t>total undiscounted cost per year</t>
  </si>
  <si>
    <t>total benefits per year</t>
  </si>
  <si>
    <t>morbidity yld/yr</t>
  </si>
  <si>
    <t>mortality yll/yr</t>
  </si>
  <si>
    <t>policy</t>
  </si>
  <si>
    <t>transition</t>
  </si>
  <si>
    <t>fuel subsidy</t>
  </si>
  <si>
    <t>notes</t>
  </si>
  <si>
    <t>value</t>
  </si>
  <si>
    <t>var</t>
  </si>
  <si>
    <t>biomass_to_hgl</t>
  </si>
  <si>
    <t>from BAR - Summary</t>
  </si>
  <si>
    <t>from Setup-Country Graphic</t>
  </si>
  <si>
    <t>biomass_to_electricity</t>
  </si>
  <si>
    <t>Population affected</t>
  </si>
  <si>
    <t>Subsidy for stove</t>
  </si>
  <si>
    <t>financing</t>
  </si>
  <si>
    <t>technology ban</t>
  </si>
  <si>
    <t>intensive behavioral change campaign</t>
  </si>
  <si>
    <t>fuel_costs</t>
  </si>
  <si>
    <t>SETUP-COUNTRY NOTES:</t>
  </si>
  <si>
    <t>Use 15 yr time horizon; 3 yr scale up; use biomass, charcoal, and LPG</t>
  </si>
  <si>
    <t>NOTE: IGNORE POLICIES WITH NEGATIVE NET BENEFIT PER CAPITA</t>
  </si>
  <si>
    <t>summary-net_benefit per capita</t>
  </si>
  <si>
    <t>USD_TO_PPP</t>
  </si>
  <si>
    <t>per_capita_per_year</t>
  </si>
  <si>
    <t>per_capita_ppp_2019_per_year</t>
  </si>
  <si>
    <t>summary-net_benefit per capita_ppp_2019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</si>
</sst>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9" tint="-0.249977111117893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2ABB-1E74-5E44-965B-6D32501E8D2C}">
  <dimension ref="A1:J45"/>
  <sheetViews>
    <sheetView tabSelected="1" topLeftCell="C1" workbookViewId="0">
      <selection activeCell="J14" sqref="J14:J17"/>
    </sheetView>
  </sheetViews>
  <sheetFormatPr baseColWidth="10" defaultRowHeight="16" x14ac:dyDescent="0.2"/>
  <cols>
    <col min="1" max="1" width="19.6640625" bestFit="1" customWidth="1"/>
    <col min="2" max="2" width="32.33203125" bestFit="1" customWidth="1"/>
    <col min="3" max="3" width="27.5" bestFit="1" customWidth="1"/>
    <col min="4" max="4" width="11.1640625" bestFit="1" customWidth="1"/>
    <col min="5" max="5" width="12.33203125" customWidth="1"/>
    <col min="6" max="6" width="17.83203125" bestFit="1" customWidth="1"/>
    <col min="7" max="7" width="26.83203125" bestFit="1" customWidth="1"/>
    <col min="8" max="8" width="20.6640625" customWidth="1"/>
    <col min="9" max="9" width="27.33203125" bestFit="1" customWidth="1"/>
  </cols>
  <sheetData>
    <row r="1" spans="1:10" x14ac:dyDescent="0.2">
      <c r="A1" t="s">
        <v>1</v>
      </c>
      <c r="B1">
        <v>44269587</v>
      </c>
      <c r="C1" t="s">
        <v>0</v>
      </c>
      <c r="E1" s="4" t="s">
        <v>23</v>
      </c>
      <c r="J1" s="4" t="s">
        <v>27</v>
      </c>
    </row>
    <row r="2" spans="1:10" x14ac:dyDescent="0.2">
      <c r="A2" t="s">
        <v>2</v>
      </c>
      <c r="B2">
        <v>0.99</v>
      </c>
      <c r="C2" t="s">
        <v>15</v>
      </c>
      <c r="E2" t="s">
        <v>24</v>
      </c>
      <c r="J2">
        <f>2280/794.5</f>
        <v>2.8697293895531781</v>
      </c>
    </row>
    <row r="3" spans="1:10" x14ac:dyDescent="0.2">
      <c r="A3" t="s">
        <v>17</v>
      </c>
      <c r="B3">
        <f>B1*B2</f>
        <v>43826891.130000003</v>
      </c>
    </row>
    <row r="4" spans="1:10" x14ac:dyDescent="0.2">
      <c r="H4" t="s">
        <v>25</v>
      </c>
    </row>
    <row r="5" spans="1:10" x14ac:dyDescent="0.2">
      <c r="A5" t="s">
        <v>8</v>
      </c>
      <c r="B5" t="s">
        <v>7</v>
      </c>
      <c r="C5" t="s">
        <v>12</v>
      </c>
      <c r="D5" t="s">
        <v>11</v>
      </c>
      <c r="E5" t="s">
        <v>22</v>
      </c>
      <c r="F5" t="s">
        <v>28</v>
      </c>
      <c r="G5" t="s">
        <v>29</v>
      </c>
      <c r="H5" t="s">
        <v>10</v>
      </c>
      <c r="I5" t="s">
        <v>26</v>
      </c>
      <c r="J5" t="s">
        <v>30</v>
      </c>
    </row>
    <row r="6" spans="1:10" x14ac:dyDescent="0.2">
      <c r="A6" s="1" t="s">
        <v>13</v>
      </c>
      <c r="B6" s="1" t="s">
        <v>18</v>
      </c>
      <c r="C6" t="s">
        <v>3</v>
      </c>
      <c r="D6">
        <v>27386330</v>
      </c>
      <c r="E6">
        <v>6777500</v>
      </c>
      <c r="F6">
        <f>(D6-E6)/$B$3</f>
        <v>0.47023253232518297</v>
      </c>
      <c r="G6">
        <f>F6*$J$2</f>
        <v>1.3494401179375923</v>
      </c>
      <c r="H6" t="s">
        <v>14</v>
      </c>
      <c r="I6" s="2">
        <f>F7-F6</f>
        <v>1.191136917404253</v>
      </c>
      <c r="J6" s="2">
        <f>G7-G6</f>
        <v>3.4182406188567613</v>
      </c>
    </row>
    <row r="7" spans="1:10" x14ac:dyDescent="0.2">
      <c r="A7" s="1"/>
      <c r="B7" s="1"/>
      <c r="C7" t="s">
        <v>4</v>
      </c>
      <c r="D7">
        <v>72812658</v>
      </c>
      <c r="F7">
        <f t="shared" ref="F7:F45" si="0">(D7-E7)/$B$3</f>
        <v>1.661369449729436</v>
      </c>
      <c r="G7">
        <f t="shared" ref="G7:G45" si="1">F7*$J$2</f>
        <v>4.7676807367943539</v>
      </c>
      <c r="H7" t="s">
        <v>14</v>
      </c>
      <c r="I7" s="2"/>
      <c r="J7" s="2"/>
    </row>
    <row r="8" spans="1:10" x14ac:dyDescent="0.2">
      <c r="A8" s="1"/>
      <c r="B8" s="1"/>
      <c r="C8" t="s">
        <v>5</v>
      </c>
      <c r="D8">
        <v>1582.8</v>
      </c>
      <c r="F8">
        <f t="shared" si="0"/>
        <v>3.611481351266906E-5</v>
      </c>
      <c r="H8" t="s">
        <v>14</v>
      </c>
      <c r="I8" s="2"/>
      <c r="J8" s="2"/>
    </row>
    <row r="9" spans="1:10" x14ac:dyDescent="0.2">
      <c r="A9" s="1"/>
      <c r="B9" s="1"/>
      <c r="C9" t="s">
        <v>6</v>
      </c>
      <c r="D9">
        <v>3592.3</v>
      </c>
      <c r="F9">
        <f t="shared" si="0"/>
        <v>8.1965658694440916E-5</v>
      </c>
      <c r="H9" t="s">
        <v>14</v>
      </c>
      <c r="I9" s="2"/>
      <c r="J9" s="2"/>
    </row>
    <row r="10" spans="1:10" x14ac:dyDescent="0.2">
      <c r="A10" s="1"/>
      <c r="B10" s="1" t="s">
        <v>9</v>
      </c>
      <c r="C10" t="s">
        <v>3</v>
      </c>
      <c r="D10">
        <v>50975422</v>
      </c>
      <c r="E10">
        <v>-1428886</v>
      </c>
      <c r="F10">
        <f>(D10-E10)/$B$3</f>
        <v>1.1957112779128578</v>
      </c>
      <c r="G10">
        <f t="shared" si="1"/>
        <v>3.4313677956467159</v>
      </c>
      <c r="H10" t="s">
        <v>14</v>
      </c>
      <c r="I10" s="2">
        <f>F11-F10</f>
        <v>0.66550018146358991</v>
      </c>
      <c r="J10" s="2">
        <f>G11-G10</f>
        <v>1.9098054294990372</v>
      </c>
    </row>
    <row r="11" spans="1:10" x14ac:dyDescent="0.2">
      <c r="A11" s="1"/>
      <c r="B11" s="1"/>
      <c r="C11" t="s">
        <v>4</v>
      </c>
      <c r="D11">
        <v>81571112</v>
      </c>
      <c r="F11">
        <f>(D11-E11)/$B$3</f>
        <v>1.8612114593764477</v>
      </c>
      <c r="G11">
        <f t="shared" si="1"/>
        <v>5.3411732251457531</v>
      </c>
      <c r="H11" t="s">
        <v>14</v>
      </c>
      <c r="I11" s="2"/>
      <c r="J11" s="2"/>
    </row>
    <row r="12" spans="1:10" x14ac:dyDescent="0.2">
      <c r="A12" s="1"/>
      <c r="B12" s="1"/>
      <c r="C12" t="s">
        <v>5</v>
      </c>
      <c r="D12">
        <v>1904.7</v>
      </c>
      <c r="F12">
        <f t="shared" si="0"/>
        <v>4.3459619217576931E-5</v>
      </c>
      <c r="H12" t="s">
        <v>14</v>
      </c>
      <c r="I12" s="2"/>
      <c r="J12" s="2"/>
    </row>
    <row r="13" spans="1:10" x14ac:dyDescent="0.2">
      <c r="A13" s="1"/>
      <c r="B13" s="1"/>
      <c r="C13" t="s">
        <v>6</v>
      </c>
      <c r="D13">
        <v>4469</v>
      </c>
      <c r="F13">
        <f t="shared" si="0"/>
        <v>1.0196935910293028E-4</v>
      </c>
      <c r="H13" t="s">
        <v>14</v>
      </c>
      <c r="I13" s="2"/>
      <c r="J13" s="2"/>
    </row>
    <row r="14" spans="1:10" x14ac:dyDescent="0.2">
      <c r="A14" s="1"/>
      <c r="B14" s="1" t="s">
        <v>19</v>
      </c>
      <c r="C14" t="s">
        <v>3</v>
      </c>
      <c r="D14">
        <v>69132794</v>
      </c>
      <c r="E14">
        <v>17690132</v>
      </c>
      <c r="F14">
        <f t="shared" si="0"/>
        <v>1.1737693610849553</v>
      </c>
      <c r="G14">
        <f t="shared" si="1"/>
        <v>3.3684004320625527</v>
      </c>
      <c r="H14" t="s">
        <v>14</v>
      </c>
      <c r="I14" s="2">
        <f>F15-F14</f>
        <v>3.1626152215282626</v>
      </c>
      <c r="J14" s="2">
        <f>G15-G14</f>
        <v>9.0758498490678914</v>
      </c>
    </row>
    <row r="15" spans="1:10" x14ac:dyDescent="0.2">
      <c r="A15" s="1"/>
      <c r="B15" s="1"/>
      <c r="C15" t="s">
        <v>4</v>
      </c>
      <c r="D15">
        <v>190050255</v>
      </c>
      <c r="F15">
        <f t="shared" si="0"/>
        <v>4.3363845826132179</v>
      </c>
      <c r="G15">
        <f t="shared" si="1"/>
        <v>12.444250281130444</v>
      </c>
      <c r="H15" t="s">
        <v>14</v>
      </c>
      <c r="I15" s="2"/>
      <c r="J15" s="2"/>
    </row>
    <row r="16" spans="1:10" x14ac:dyDescent="0.2">
      <c r="A16" s="1"/>
      <c r="B16" s="1"/>
      <c r="C16" t="s">
        <v>5</v>
      </c>
      <c r="D16">
        <v>4131.3999999999996</v>
      </c>
      <c r="F16">
        <f t="shared" si="0"/>
        <v>9.4266325844226027E-5</v>
      </c>
      <c r="H16" t="s">
        <v>14</v>
      </c>
      <c r="I16" s="2"/>
      <c r="J16" s="2"/>
    </row>
    <row r="17" spans="1:10" x14ac:dyDescent="0.2">
      <c r="A17" s="1"/>
      <c r="B17" s="1"/>
      <c r="C17" t="s">
        <v>6</v>
      </c>
      <c r="D17">
        <v>9376.4</v>
      </c>
      <c r="F17">
        <f t="shared" si="0"/>
        <v>2.1394170926218738E-4</v>
      </c>
      <c r="H17" t="s">
        <v>14</v>
      </c>
      <c r="I17" s="2"/>
      <c r="J17" s="2"/>
    </row>
    <row r="18" spans="1:10" x14ac:dyDescent="0.2">
      <c r="A18" s="1"/>
      <c r="B18" s="1" t="s">
        <v>20</v>
      </c>
      <c r="C18" t="s">
        <v>3</v>
      </c>
      <c r="D18">
        <v>1864991607</v>
      </c>
      <c r="E18">
        <v>70420222</v>
      </c>
      <c r="F18">
        <f t="shared" si="0"/>
        <v>40.946810023027062</v>
      </c>
      <c r="G18">
        <f t="shared" si="1"/>
        <v>117.50626413153141</v>
      </c>
      <c r="H18" t="s">
        <v>14</v>
      </c>
      <c r="I18" s="3">
        <f>F19-F18</f>
        <v>-23.798678713171135</v>
      </c>
      <c r="J18" s="3">
        <f>G19-G18</f>
        <v>-68.29576773572083</v>
      </c>
    </row>
    <row r="19" spans="1:10" x14ac:dyDescent="0.2">
      <c r="A19" s="1"/>
      <c r="B19" s="1"/>
      <c r="C19" t="s">
        <v>4</v>
      </c>
      <c r="D19">
        <v>751549284</v>
      </c>
      <c r="F19">
        <f t="shared" si="0"/>
        <v>17.148131309855927</v>
      </c>
      <c r="G19">
        <f t="shared" si="1"/>
        <v>49.210496395810587</v>
      </c>
      <c r="H19" t="s">
        <v>14</v>
      </c>
      <c r="I19" s="3"/>
      <c r="J19" s="3"/>
    </row>
    <row r="20" spans="1:10" x14ac:dyDescent="0.2">
      <c r="A20" s="1"/>
      <c r="B20" s="1"/>
      <c r="C20" t="s">
        <v>5</v>
      </c>
      <c r="D20">
        <v>7894.2</v>
      </c>
      <c r="F20">
        <f t="shared" si="0"/>
        <v>1.8012229013881229E-4</v>
      </c>
      <c r="H20" t="s">
        <v>14</v>
      </c>
      <c r="I20" s="3"/>
      <c r="J20" s="3"/>
    </row>
    <row r="21" spans="1:10" x14ac:dyDescent="0.2">
      <c r="A21" s="1"/>
      <c r="B21" s="1"/>
      <c r="C21" t="s">
        <v>6</v>
      </c>
      <c r="D21">
        <v>17916.099999999999</v>
      </c>
      <c r="F21">
        <f t="shared" si="0"/>
        <v>4.0879239978160864E-4</v>
      </c>
      <c r="H21" t="s">
        <v>14</v>
      </c>
      <c r="I21" s="3"/>
      <c r="J21" s="3"/>
    </row>
    <row r="22" spans="1:10" x14ac:dyDescent="0.2">
      <c r="A22" s="1"/>
      <c r="B22" s="1" t="s">
        <v>21</v>
      </c>
      <c r="C22" t="s">
        <v>3</v>
      </c>
      <c r="D22">
        <v>40242617</v>
      </c>
      <c r="E22">
        <v>9505658</v>
      </c>
      <c r="F22">
        <f t="shared" si="0"/>
        <v>0.70132647348468224</v>
      </c>
      <c r="G22">
        <f t="shared" si="1"/>
        <v>2.0126171926306804</v>
      </c>
      <c r="H22" t="s">
        <v>14</v>
      </c>
      <c r="I22" s="2">
        <f>F23-F22</f>
        <v>1.6287967765784803</v>
      </c>
      <c r="J22" s="2">
        <f>G23-G22</f>
        <v>4.6742059793567474</v>
      </c>
    </row>
    <row r="23" spans="1:10" x14ac:dyDescent="0.2">
      <c r="A23" s="1"/>
      <c r="B23" s="1"/>
      <c r="C23" t="s">
        <v>4</v>
      </c>
      <c r="D23">
        <v>102122058</v>
      </c>
      <c r="F23">
        <f t="shared" si="0"/>
        <v>2.3301232500631626</v>
      </c>
      <c r="G23">
        <f t="shared" si="1"/>
        <v>6.6868231719874274</v>
      </c>
      <c r="H23" t="s">
        <v>14</v>
      </c>
      <c r="I23" s="2"/>
      <c r="J23" s="2"/>
    </row>
    <row r="24" spans="1:10" x14ac:dyDescent="0.2">
      <c r="A24" s="1"/>
      <c r="B24" s="1"/>
      <c r="C24" t="s">
        <v>5</v>
      </c>
      <c r="D24">
        <v>2220</v>
      </c>
      <c r="F24">
        <f t="shared" si="0"/>
        <v>5.065383244764046E-5</v>
      </c>
      <c r="H24" t="s">
        <v>14</v>
      </c>
      <c r="I24" s="2"/>
      <c r="J24" s="2"/>
    </row>
    <row r="25" spans="1:10" x14ac:dyDescent="0.2">
      <c r="A25" s="1"/>
      <c r="B25" s="1"/>
      <c r="C25" t="s">
        <v>6</v>
      </c>
      <c r="D25">
        <v>5038.3</v>
      </c>
      <c r="F25">
        <f t="shared" si="0"/>
        <v>1.1495910091033646E-4</v>
      </c>
      <c r="H25" t="s">
        <v>14</v>
      </c>
      <c r="I25" s="2"/>
      <c r="J25" s="2"/>
    </row>
    <row r="26" spans="1:10" x14ac:dyDescent="0.2">
      <c r="A26" s="1" t="s">
        <v>16</v>
      </c>
      <c r="B26" s="1" t="s">
        <v>18</v>
      </c>
      <c r="C26" t="s">
        <v>3</v>
      </c>
      <c r="D26">
        <v>-54741148</v>
      </c>
      <c r="E26">
        <v>-95360398</v>
      </c>
      <c r="F26">
        <f t="shared" si="0"/>
        <v>0.92681111876072964</v>
      </c>
      <c r="G26">
        <f t="shared" si="1"/>
        <v>2.6596971060723269</v>
      </c>
      <c r="H26" t="s">
        <v>14</v>
      </c>
      <c r="I26" s="2">
        <f>F27-F26</f>
        <v>2.4066885028903942</v>
      </c>
      <c r="J26" s="2">
        <f>G27-G26</f>
        <v>6.9065447282443024</v>
      </c>
    </row>
    <row r="27" spans="1:10" x14ac:dyDescent="0.2">
      <c r="A27" s="1"/>
      <c r="B27" s="1"/>
      <c r="C27" t="s">
        <v>4</v>
      </c>
      <c r="D27">
        <v>146096925</v>
      </c>
      <c r="F27">
        <f t="shared" si="0"/>
        <v>3.3334996216511237</v>
      </c>
      <c r="G27">
        <f t="shared" si="1"/>
        <v>9.5662418343166298</v>
      </c>
      <c r="H27" t="s">
        <v>14</v>
      </c>
      <c r="I27" s="2"/>
      <c r="J27" s="2"/>
    </row>
    <row r="28" spans="1:10" x14ac:dyDescent="0.2">
      <c r="A28" s="1"/>
      <c r="B28" s="1"/>
      <c r="C28" t="s">
        <v>5</v>
      </c>
      <c r="D28">
        <v>3067.7</v>
      </c>
      <c r="F28">
        <f t="shared" si="0"/>
        <v>6.9995838648480465E-5</v>
      </c>
      <c r="H28" t="s">
        <v>14</v>
      </c>
      <c r="I28" s="2"/>
      <c r="J28" s="2"/>
    </row>
    <row r="29" spans="1:10" x14ac:dyDescent="0.2">
      <c r="A29" s="1"/>
      <c r="B29" s="1"/>
      <c r="C29" t="s">
        <v>6</v>
      </c>
      <c r="D29">
        <v>6980.4</v>
      </c>
      <c r="F29">
        <f t="shared" si="0"/>
        <v>1.592720774853646E-4</v>
      </c>
      <c r="H29" t="s">
        <v>14</v>
      </c>
      <c r="I29" s="2"/>
      <c r="J29" s="2"/>
    </row>
    <row r="30" spans="1:10" x14ac:dyDescent="0.2">
      <c r="A30" s="1"/>
      <c r="B30" s="1" t="s">
        <v>9</v>
      </c>
      <c r="C30" t="s">
        <v>3</v>
      </c>
      <c r="D30">
        <v>95137083</v>
      </c>
      <c r="E30">
        <v>0</v>
      </c>
      <c r="F30">
        <f t="shared" si="0"/>
        <v>2.1707467846122808</v>
      </c>
      <c r="G30">
        <f t="shared" si="1"/>
        <v>6.2294558450799249</v>
      </c>
      <c r="H30" t="s">
        <v>14</v>
      </c>
      <c r="I30" s="2">
        <f>F31-F30</f>
        <v>1.7773993544040825</v>
      </c>
      <c r="J30" s="2">
        <f>G31-G30</f>
        <v>5.1006551643062403</v>
      </c>
    </row>
    <row r="31" spans="1:10" x14ac:dyDescent="0.2">
      <c r="A31" s="1"/>
      <c r="B31" s="1"/>
      <c r="C31" t="s">
        <v>4</v>
      </c>
      <c r="D31">
        <v>173034971</v>
      </c>
      <c r="F31">
        <f t="shared" si="0"/>
        <v>3.9481461390163632</v>
      </c>
      <c r="G31">
        <f t="shared" si="1"/>
        <v>11.330111009386165</v>
      </c>
      <c r="H31" t="s">
        <v>14</v>
      </c>
      <c r="I31" s="2"/>
      <c r="J31" s="2"/>
    </row>
    <row r="32" spans="1:10" x14ac:dyDescent="0.2">
      <c r="A32" s="1"/>
      <c r="B32" s="1"/>
      <c r="C32" t="s">
        <v>5</v>
      </c>
      <c r="D32">
        <v>3692.6</v>
      </c>
      <c r="F32">
        <f t="shared" si="0"/>
        <v>8.4254207971241963E-5</v>
      </c>
      <c r="H32" t="s">
        <v>14</v>
      </c>
      <c r="I32" s="2"/>
      <c r="J32" s="2"/>
    </row>
    <row r="33" spans="1:10" x14ac:dyDescent="0.2">
      <c r="A33" s="1"/>
      <c r="B33" s="1"/>
      <c r="C33" t="s">
        <v>6</v>
      </c>
      <c r="D33">
        <v>8688.5</v>
      </c>
      <c r="F33">
        <f t="shared" si="0"/>
        <v>1.9824586631591177E-4</v>
      </c>
      <c r="H33" t="s">
        <v>14</v>
      </c>
      <c r="I33" s="2"/>
      <c r="J33" s="2"/>
    </row>
    <row r="34" spans="1:10" x14ac:dyDescent="0.2">
      <c r="A34" s="1"/>
      <c r="B34" s="1" t="s">
        <v>19</v>
      </c>
      <c r="C34" t="s">
        <v>3</v>
      </c>
      <c r="D34">
        <v>-101164854</v>
      </c>
      <c r="E34">
        <v>-175057131</v>
      </c>
      <c r="F34">
        <f t="shared" si="0"/>
        <v>1.6860031614110977</v>
      </c>
      <c r="G34">
        <f t="shared" si="1"/>
        <v>4.8383728231809977</v>
      </c>
      <c r="H34" t="s">
        <v>14</v>
      </c>
      <c r="I34" s="2">
        <f>F35-F34</f>
        <v>4.4334435774523069</v>
      </c>
      <c r="J34" s="2">
        <f>G35-G34</f>
        <v>12.722783331140668</v>
      </c>
    </row>
    <row r="35" spans="1:10" x14ac:dyDescent="0.2">
      <c r="A35" s="1"/>
      <c r="B35" s="1"/>
      <c r="C35" t="s">
        <v>4</v>
      </c>
      <c r="D35">
        <v>268196326</v>
      </c>
      <c r="F35">
        <f t="shared" si="0"/>
        <v>6.1194467388634051</v>
      </c>
      <c r="G35">
        <f t="shared" si="1"/>
        <v>17.561156154321665</v>
      </c>
      <c r="H35" t="s">
        <v>14</v>
      </c>
      <c r="I35" s="2"/>
      <c r="J35" s="2"/>
    </row>
    <row r="36" spans="1:10" x14ac:dyDescent="0.2">
      <c r="A36" s="1"/>
      <c r="B36" s="1"/>
      <c r="C36" t="s">
        <v>5</v>
      </c>
      <c r="D36">
        <v>5631.5</v>
      </c>
      <c r="F36">
        <f t="shared" si="0"/>
        <v>1.2849417001301229E-4</v>
      </c>
      <c r="H36" t="s">
        <v>14</v>
      </c>
      <c r="I36" s="2"/>
      <c r="J36" s="2"/>
    </row>
    <row r="37" spans="1:10" x14ac:dyDescent="0.2">
      <c r="A37" s="1"/>
      <c r="B37" s="1"/>
      <c r="C37" t="s">
        <v>6</v>
      </c>
      <c r="D37">
        <v>12814.2</v>
      </c>
      <c r="F37">
        <f t="shared" si="0"/>
        <v>2.9238213502277225E-4</v>
      </c>
      <c r="H37" t="s">
        <v>14</v>
      </c>
      <c r="I37" s="2"/>
      <c r="J37" s="2"/>
    </row>
    <row r="38" spans="1:10" x14ac:dyDescent="0.2">
      <c r="A38" s="1"/>
      <c r="B38" s="1" t="s">
        <v>20</v>
      </c>
      <c r="C38" t="s">
        <v>3</v>
      </c>
      <c r="D38">
        <v>1216132864</v>
      </c>
      <c r="E38">
        <v>-514290336</v>
      </c>
      <c r="F38">
        <f t="shared" si="0"/>
        <v>39.483138214553982</v>
      </c>
      <c r="G38">
        <f t="shared" si="1"/>
        <v>113.30592212609575</v>
      </c>
      <c r="H38" t="s">
        <v>14</v>
      </c>
      <c r="I38" s="3">
        <f>F39-F38</f>
        <v>-21.630713234666985</v>
      </c>
      <c r="J38" s="3">
        <f>G39-G38</f>
        <v>-62.07429348652073</v>
      </c>
    </row>
    <row r="39" spans="1:10" x14ac:dyDescent="0.2">
      <c r="A39" s="1"/>
      <c r="B39" s="1"/>
      <c r="C39" t="s">
        <v>4</v>
      </c>
      <c r="D39">
        <v>782416286</v>
      </c>
      <c r="F39">
        <f t="shared" si="0"/>
        <v>17.852424979886997</v>
      </c>
      <c r="G39">
        <f t="shared" si="1"/>
        <v>51.231628639575021</v>
      </c>
      <c r="H39" t="s">
        <v>14</v>
      </c>
      <c r="I39" s="3"/>
      <c r="J39" s="3"/>
    </row>
    <row r="40" spans="1:10" x14ac:dyDescent="0.2">
      <c r="A40" s="1"/>
      <c r="B40" s="1"/>
      <c r="C40" t="s">
        <v>5</v>
      </c>
      <c r="D40">
        <v>7941.4</v>
      </c>
      <c r="F40">
        <f t="shared" si="0"/>
        <v>1.8119925450436574E-4</v>
      </c>
      <c r="H40" t="s">
        <v>14</v>
      </c>
      <c r="I40" s="3"/>
      <c r="J40" s="3"/>
    </row>
    <row r="41" spans="1:10" x14ac:dyDescent="0.2">
      <c r="A41" s="1"/>
      <c r="B41" s="1"/>
      <c r="C41" t="s">
        <v>6</v>
      </c>
      <c r="D41">
        <v>18070.099999999999</v>
      </c>
      <c r="F41">
        <f t="shared" si="0"/>
        <v>4.1230622419464314E-4</v>
      </c>
      <c r="H41" t="s">
        <v>14</v>
      </c>
      <c r="I41" s="3"/>
      <c r="J41" s="3"/>
    </row>
    <row r="42" spans="1:10" x14ac:dyDescent="0.2">
      <c r="A42" s="1"/>
      <c r="B42" s="1" t="s">
        <v>21</v>
      </c>
      <c r="C42" t="s">
        <v>3</v>
      </c>
      <c r="D42">
        <v>-61287575</v>
      </c>
      <c r="E42">
        <v>-115284582</v>
      </c>
      <c r="F42">
        <f t="shared" si="0"/>
        <v>1.2320519573207518</v>
      </c>
      <c r="G42">
        <f t="shared" si="1"/>
        <v>3.5356557113798792</v>
      </c>
      <c r="H42" t="s">
        <v>14</v>
      </c>
      <c r="I42" s="2">
        <f>F43-F42</f>
        <v>2.7979344379291815</v>
      </c>
      <c r="J42" s="2">
        <f>G43-G42</f>
        <v>8.0293146865683251</v>
      </c>
    </row>
    <row r="43" spans="1:10" x14ac:dyDescent="0.2">
      <c r="A43" s="1"/>
      <c r="B43" s="1"/>
      <c r="C43" t="s">
        <v>4</v>
      </c>
      <c r="D43">
        <v>176621775</v>
      </c>
      <c r="F43">
        <f t="shared" si="0"/>
        <v>4.0299863952499333</v>
      </c>
      <c r="G43">
        <f t="shared" si="1"/>
        <v>11.564970397948205</v>
      </c>
      <c r="H43" t="s">
        <v>14</v>
      </c>
      <c r="I43" s="2"/>
      <c r="J43" s="2"/>
    </row>
    <row r="44" spans="1:10" x14ac:dyDescent="0.2">
      <c r="A44" s="1"/>
      <c r="B44" s="1"/>
      <c r="C44" t="s">
        <v>5</v>
      </c>
      <c r="D44">
        <v>3708.7</v>
      </c>
      <c r="F44">
        <f t="shared" si="0"/>
        <v>8.4621562341695563E-5</v>
      </c>
      <c r="H44" t="s">
        <v>14</v>
      </c>
      <c r="I44" s="2"/>
      <c r="J44" s="2"/>
    </row>
    <row r="45" spans="1:10" x14ac:dyDescent="0.2">
      <c r="A45" s="1"/>
      <c r="B45" s="1"/>
      <c r="C45" t="s">
        <v>6</v>
      </c>
      <c r="D45">
        <v>8438.7999999999993</v>
      </c>
      <c r="F45">
        <f t="shared" si="0"/>
        <v>1.9254845101763436E-4</v>
      </c>
      <c r="H45" t="s">
        <v>14</v>
      </c>
      <c r="I45" s="2"/>
      <c r="J45" s="2"/>
    </row>
  </sheetData>
  <mergeCells count="32">
    <mergeCell ref="J30:J33"/>
    <mergeCell ref="J34:J37"/>
    <mergeCell ref="J38:J41"/>
    <mergeCell ref="J42:J45"/>
    <mergeCell ref="I30:I33"/>
    <mergeCell ref="I34:I37"/>
    <mergeCell ref="I38:I41"/>
    <mergeCell ref="I42:I45"/>
    <mergeCell ref="J6:J9"/>
    <mergeCell ref="J10:J13"/>
    <mergeCell ref="J14:J17"/>
    <mergeCell ref="J18:J21"/>
    <mergeCell ref="J22:J25"/>
    <mergeCell ref="J26:J29"/>
    <mergeCell ref="I6:I9"/>
    <mergeCell ref="I10:I13"/>
    <mergeCell ref="I14:I17"/>
    <mergeCell ref="I18:I21"/>
    <mergeCell ref="I22:I25"/>
    <mergeCell ref="I26:I29"/>
    <mergeCell ref="B14:B17"/>
    <mergeCell ref="B18:B21"/>
    <mergeCell ref="B22:B25"/>
    <mergeCell ref="A6:A25"/>
    <mergeCell ref="A26:A45"/>
    <mergeCell ref="B26:B29"/>
    <mergeCell ref="B30:B33"/>
    <mergeCell ref="B34:B37"/>
    <mergeCell ref="B38:B41"/>
    <mergeCell ref="B42:B45"/>
    <mergeCell ref="B6:B9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Coburn Syme</dc:creator>
  <cp:lastModifiedBy>James Coburn Syme</cp:lastModifiedBy>
  <dcterms:created xsi:type="dcterms:W3CDTF">2025-11-07T03:33:16Z</dcterms:created>
  <dcterms:modified xsi:type="dcterms:W3CDTF">2025-11-07T06:39:44Z</dcterms:modified>
</cp:coreProperties>
</file>