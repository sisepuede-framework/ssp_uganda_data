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uganda_data/data_processing/assumptions_and_estimates/"/>
    </mc:Choice>
  </mc:AlternateContent>
  <xr:revisionPtr revIDLastSave="0" documentId="13_ncr:1_{33DBD191-6658-3A4D-A0AF-C6910B0F1411}" xr6:coauthVersionLast="47" xr6:coauthVersionMax="47" xr10:uidLastSave="{00000000-0000-0000-0000-000000000000}"/>
  <bookViews>
    <workbookView xWindow="-51200" yWindow="-7140" windowWidth="36040" windowHeight="28180" xr2:uid="{0C6EE969-DED8-EC42-8D7B-59B9297EB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R4" i="1"/>
  <c r="Q4" i="1"/>
  <c r="P4" i="1"/>
  <c r="M15" i="1"/>
  <c r="L15" i="1"/>
  <c r="M5" i="1"/>
  <c r="M4" i="1"/>
  <c r="E4" i="1"/>
  <c r="L4" i="1"/>
  <c r="L5" i="1"/>
  <c r="N16" i="1" l="1"/>
  <c r="P5" i="1" s="1"/>
  <c r="N21" i="1"/>
  <c r="N20" i="1"/>
  <c r="N19" i="1"/>
  <c r="N18" i="1"/>
  <c r="N17" i="1"/>
  <c r="N15" i="1"/>
  <c r="N10" i="1"/>
  <c r="N9" i="1"/>
  <c r="N8" i="1"/>
  <c r="N7" i="1"/>
  <c r="N6" i="1"/>
  <c r="N5" i="1"/>
  <c r="N4" i="1"/>
  <c r="M21" i="1"/>
  <c r="M6" i="1"/>
  <c r="M7" i="1"/>
  <c r="M8" i="1"/>
  <c r="M9" i="1"/>
  <c r="M10" i="1"/>
  <c r="M16" i="1"/>
  <c r="M17" i="1"/>
  <c r="M18" i="1"/>
  <c r="M19" i="1"/>
  <c r="M20" i="1"/>
  <c r="L16" i="1"/>
  <c r="L17" i="1"/>
  <c r="L18" i="1"/>
  <c r="L19" i="1"/>
  <c r="L20" i="1"/>
  <c r="L21" i="1"/>
  <c r="L6" i="1"/>
  <c r="L7" i="1"/>
  <c r="L8" i="1"/>
  <c r="L9" i="1"/>
  <c r="L10" i="1"/>
  <c r="E6" i="1"/>
  <c r="E5" i="1"/>
  <c r="E7" i="1"/>
  <c r="E8" i="1"/>
  <c r="E9" i="1"/>
  <c r="E10" i="1"/>
  <c r="E11" i="1"/>
  <c r="P10" i="1" l="1"/>
  <c r="Q10" i="1" s="1"/>
  <c r="U10" i="1" s="1"/>
  <c r="P6" i="1"/>
  <c r="T10" i="1"/>
  <c r="P7" i="1"/>
  <c r="P9" i="1"/>
  <c r="P8" i="1"/>
  <c r="R10" i="1" l="1"/>
  <c r="V10" i="1" s="1"/>
  <c r="W10" i="1" s="1"/>
  <c r="Q9" i="1"/>
  <c r="T9" i="1"/>
  <c r="T6" i="1"/>
  <c r="Q7" i="1"/>
  <c r="T7" i="1"/>
  <c r="Q8" i="1"/>
  <c r="T8" i="1"/>
  <c r="Q5" i="1"/>
  <c r="T5" i="1"/>
  <c r="Q6" i="1"/>
  <c r="U6" i="1" s="1"/>
  <c r="R6" i="1" l="1"/>
  <c r="V6" i="1" s="1"/>
  <c r="W6" i="1" s="1"/>
  <c r="R8" i="1"/>
  <c r="V8" i="1" s="1"/>
  <c r="U8" i="1"/>
  <c r="V4" i="1"/>
  <c r="U4" i="1"/>
  <c r="R5" i="1"/>
  <c r="V5" i="1" s="1"/>
  <c r="U5" i="1"/>
  <c r="R7" i="1"/>
  <c r="V7" i="1" s="1"/>
  <c r="U7" i="1"/>
  <c r="R9" i="1"/>
  <c r="V9" i="1" s="1"/>
  <c r="W9" i="1" s="1"/>
  <c r="U9" i="1"/>
  <c r="W8" i="1" l="1"/>
  <c r="W7" i="1"/>
  <c r="W5" i="1"/>
  <c r="W4" i="1"/>
</calcChain>
</file>

<file path=xl/sharedStrings.xml><?xml version="1.0" encoding="utf-8"?>
<sst xmlns="http://schemas.openxmlformats.org/spreadsheetml/2006/main" count="30" uniqueCount="26">
  <si>
    <t>frac_all_others</t>
  </si>
  <si>
    <t>frac_biomass</t>
  </si>
  <si>
    <t>frac_elec</t>
  </si>
  <si>
    <t>frac_gas</t>
  </si>
  <si>
    <t>factor_biomass_to_gas</t>
  </si>
  <si>
    <t>factor_biomass_to_elec</t>
  </si>
  <si>
    <t>factor_gas_to_elec</t>
  </si>
  <si>
    <t>est_out_of_biomass</t>
  </si>
  <si>
    <t>est_into_gas</t>
  </si>
  <si>
    <t>est_into_biomass</t>
  </si>
  <si>
    <t>est_out_of_gas</t>
  </si>
  <si>
    <t>est_out_of_elec</t>
  </si>
  <si>
    <t>est_into_elec</t>
  </si>
  <si>
    <t>time_period</t>
  </si>
  <si>
    <t>biomass_to_gas</t>
  </si>
  <si>
    <t>biomass_to_elec</t>
  </si>
  <si>
    <t>gas_to_elec</t>
  </si>
  <si>
    <t>CALCULATIONS HERE</t>
  </si>
  <si>
    <t>Cost Benefit Factors (per frac)</t>
  </si>
  <si>
    <t>Fraction of households using each fuel from SSP</t>
  </si>
  <si>
    <t>Intermediate calculations (both "out of" and "into" tables</t>
  </si>
  <si>
    <t>Estimated transitions in (ignores disuility possibility from backtracking--e.g., from going from elec back to biomass)</t>
  </si>
  <si>
    <t>BENEFITS</t>
  </si>
  <si>
    <t>Total</t>
  </si>
  <si>
    <t>driver</t>
  </si>
  <si>
    <t>Number of HH or Population (can't remember) from SSP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</si>
</sst>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2"/>
      <color rgb="FFCCCC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2" fillId="5" borderId="0" xfId="0" applyFont="1" applyFill="1"/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0" xfId="0" applyFont="1" applyFill="1"/>
    <xf numFmtId="0" fontId="2" fillId="8" borderId="0" xfId="0" applyFont="1" applyFill="1" applyAlignment="1">
      <alignment horizontal="center"/>
    </xf>
    <xf numFmtId="0" fontId="2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9144-B068-DE4E-9906-B7F1734ADCE9}">
  <dimension ref="A1:W23"/>
  <sheetViews>
    <sheetView tabSelected="1" zoomScale="90" zoomScaleNormal="90" workbookViewId="0"/>
  </sheetViews>
  <sheetFormatPr baseColWidth="10" defaultRowHeight="16" x14ac:dyDescent="0.2"/>
  <cols>
    <col min="1" max="1" width="10.83203125" style="7"/>
    <col min="2" max="2" width="11.83203125" style="2" bestFit="1" customWidth="1"/>
    <col min="3" max="3" width="8.6640625" style="2" bestFit="1" customWidth="1"/>
    <col min="4" max="4" width="7.83203125" style="2" bestFit="1" customWidth="1"/>
    <col min="5" max="5" width="13.1640625" style="2" bestFit="1" customWidth="1"/>
    <col min="6" max="6" width="19.5" style="6" customWidth="1"/>
    <col min="7" max="7" width="20.6640625" style="2" bestFit="1" customWidth="1"/>
    <col min="8" max="8" width="21.1640625" style="2" bestFit="1" customWidth="1"/>
    <col min="9" max="9" width="14" style="2" customWidth="1"/>
    <col min="10" max="10" width="2.6640625" style="6" customWidth="1"/>
    <col min="12" max="12" width="17.83203125" customWidth="1"/>
    <col min="13" max="14" width="16.33203125" customWidth="1"/>
    <col min="15" max="15" width="4.6640625" customWidth="1"/>
    <col min="16" max="16" width="18.6640625" customWidth="1"/>
    <col min="17" max="18" width="20.6640625" customWidth="1"/>
    <col min="19" max="19" width="3.33203125" customWidth="1"/>
    <col min="20" max="20" width="15.33203125" style="3" customWidth="1"/>
    <col min="21" max="21" width="16.5" style="3" customWidth="1"/>
    <col min="22" max="22" width="14.5" style="3" customWidth="1"/>
    <col min="23" max="23" width="14.5" style="16" customWidth="1"/>
  </cols>
  <sheetData>
    <row r="1" spans="1:23" ht="27" customHeight="1" x14ac:dyDescent="0.2">
      <c r="B1" s="20" t="s">
        <v>19</v>
      </c>
      <c r="C1" s="20"/>
      <c r="D1" s="20"/>
      <c r="E1" s="20"/>
      <c r="F1" s="23" t="s">
        <v>25</v>
      </c>
      <c r="G1" s="19" t="s">
        <v>18</v>
      </c>
      <c r="H1" s="19"/>
      <c r="I1" s="19"/>
      <c r="J1" s="11"/>
      <c r="K1" s="18" t="s">
        <v>17</v>
      </c>
      <c r="L1" s="18"/>
      <c r="M1" s="18"/>
      <c r="N1" s="18"/>
      <c r="O1" s="18"/>
      <c r="P1" s="18"/>
      <c r="Q1" s="18"/>
      <c r="R1" s="18"/>
      <c r="T1" s="17" t="s">
        <v>22</v>
      </c>
      <c r="U1" s="17"/>
      <c r="V1" s="17"/>
      <c r="W1" s="17"/>
    </row>
    <row r="2" spans="1:23" ht="34" customHeight="1" x14ac:dyDescent="0.2">
      <c r="B2" s="4"/>
      <c r="C2" s="4"/>
      <c r="D2" s="4"/>
      <c r="E2" s="4"/>
      <c r="F2" s="23"/>
      <c r="G2" s="5"/>
      <c r="H2" s="5"/>
      <c r="I2" s="5"/>
      <c r="J2" s="11"/>
      <c r="K2" s="10"/>
      <c r="L2" s="21" t="s">
        <v>20</v>
      </c>
      <c r="M2" s="21"/>
      <c r="N2" s="21"/>
      <c r="O2" s="10"/>
      <c r="P2" s="22" t="s">
        <v>21</v>
      </c>
      <c r="Q2" s="22"/>
      <c r="R2" s="22"/>
      <c r="T2" s="17"/>
      <c r="U2" s="17"/>
      <c r="V2" s="17"/>
      <c r="W2" s="17"/>
    </row>
    <row r="3" spans="1:23" s="1" customFormat="1" x14ac:dyDescent="0.2">
      <c r="A3" s="8" t="s">
        <v>13</v>
      </c>
      <c r="B3" s="4" t="s">
        <v>1</v>
      </c>
      <c r="C3" s="4" t="s">
        <v>2</v>
      </c>
      <c r="D3" s="4" t="s">
        <v>3</v>
      </c>
      <c r="E3" s="4" t="s">
        <v>0</v>
      </c>
      <c r="F3" s="14" t="s">
        <v>24</v>
      </c>
      <c r="G3" s="5" t="s">
        <v>4</v>
      </c>
      <c r="H3" s="5" t="s">
        <v>5</v>
      </c>
      <c r="I3" s="5" t="s">
        <v>6</v>
      </c>
      <c r="J3" s="12"/>
      <c r="K3" s="9" t="s">
        <v>13</v>
      </c>
      <c r="L3" s="9" t="s">
        <v>7</v>
      </c>
      <c r="M3" s="9" t="s">
        <v>11</v>
      </c>
      <c r="N3" s="9" t="s">
        <v>10</v>
      </c>
      <c r="O3" s="9"/>
      <c r="P3" s="9" t="s">
        <v>14</v>
      </c>
      <c r="Q3" s="9" t="s">
        <v>15</v>
      </c>
      <c r="R3" s="9" t="s">
        <v>16</v>
      </c>
      <c r="T3" s="15" t="s">
        <v>14</v>
      </c>
      <c r="U3" s="15" t="s">
        <v>15</v>
      </c>
      <c r="V3" s="15" t="s">
        <v>16</v>
      </c>
      <c r="W3" s="15" t="s">
        <v>23</v>
      </c>
    </row>
    <row r="4" spans="1:23" x14ac:dyDescent="0.2">
      <c r="A4" s="6">
        <v>0</v>
      </c>
      <c r="B4" s="24">
        <v>0.96032399999999996</v>
      </c>
      <c r="C4" s="24">
        <v>2.3886999999999999E-2</v>
      </c>
      <c r="D4" s="24">
        <v>1.1962E-2</v>
      </c>
      <c r="E4" s="6">
        <f>1-SUM(B4:D4)</f>
        <v>3.8270000000000248E-3</v>
      </c>
      <c r="F4" s="6">
        <v>1000000</v>
      </c>
      <c r="G4" s="6">
        <v>4</v>
      </c>
      <c r="H4" s="6">
        <v>9</v>
      </c>
      <c r="I4" s="6">
        <v>5</v>
      </c>
      <c r="J4" s="11"/>
      <c r="K4" s="2">
        <v>0</v>
      </c>
      <c r="L4">
        <f>MAX(B4-B5, 0)</f>
        <v>2.7544999999999931E-2</v>
      </c>
      <c r="M4">
        <f>MAX(C4-C5, 0)</f>
        <v>0</v>
      </c>
      <c r="N4">
        <f>MAX(D4-D5, 0)</f>
        <v>0</v>
      </c>
      <c r="P4">
        <f>MIN(L4,N15)</f>
        <v>9.5839999999999988E-3</v>
      </c>
      <c r="Q4">
        <f>MIN(L4-P4,M15)</f>
        <v>1.4894000000000004E-2</v>
      </c>
      <c r="R4">
        <f>MIN(N4,M15-Q4)</f>
        <v>0</v>
      </c>
      <c r="T4" s="3">
        <f>$F4*G4*P4</f>
        <v>38335.999999999993</v>
      </c>
      <c r="U4" s="3">
        <f t="shared" ref="U4:V4" si="0">$F4*H4*Q4</f>
        <v>134046.00000000003</v>
      </c>
      <c r="V4" s="3">
        <f t="shared" si="0"/>
        <v>0</v>
      </c>
      <c r="W4" s="16">
        <f>SUM(T4:V4)</f>
        <v>172382.00000000003</v>
      </c>
    </row>
    <row r="5" spans="1:23" x14ac:dyDescent="0.2">
      <c r="A5" s="6">
        <v>1</v>
      </c>
      <c r="B5" s="24">
        <v>0.93277900000000002</v>
      </c>
      <c r="C5" s="24">
        <v>3.8781000000000003E-2</v>
      </c>
      <c r="D5" s="24">
        <v>2.1545999999999999E-2</v>
      </c>
      <c r="E5" s="6">
        <f t="shared" ref="E5:E11" si="1">1-SUM(B5:D5)</f>
        <v>6.8940000000000667E-3</v>
      </c>
      <c r="F5" s="6">
        <v>1100000</v>
      </c>
      <c r="G5" s="6">
        <v>4</v>
      </c>
      <c r="H5" s="6">
        <v>9</v>
      </c>
      <c r="I5" s="6">
        <v>5</v>
      </c>
      <c r="J5" s="11"/>
      <c r="K5" s="2">
        <v>1</v>
      </c>
      <c r="L5">
        <f>MAX(B5-B6, 0)</f>
        <v>3.1764000000000014E-2</v>
      </c>
      <c r="M5">
        <f>MAX(C5-C6, 0)</f>
        <v>0</v>
      </c>
      <c r="N5">
        <f t="shared" ref="L5:N10" si="2">MAX(D5-D6, 0)</f>
        <v>0</v>
      </c>
      <c r="P5">
        <f>MIN(L5,N16)</f>
        <v>1.0886000000000003E-2</v>
      </c>
      <c r="Q5">
        <f t="shared" ref="Q5:Q10" si="3">MIN(L5-P5,M16)</f>
        <v>1.7392999999999999E-2</v>
      </c>
      <c r="R5">
        <f t="shared" ref="R5:R10" si="4">MIN(N5,M16-Q5)</f>
        <v>0</v>
      </c>
      <c r="T5" s="3">
        <f>$F5*G5*P5</f>
        <v>47898.400000000016</v>
      </c>
      <c r="U5" s="3">
        <f t="shared" ref="U5:U10" si="5">$F5*H5*Q5</f>
        <v>172190.69999999998</v>
      </c>
      <c r="V5" s="3">
        <f t="shared" ref="V5:V10" si="6">$F5*I5*R5</f>
        <v>0</v>
      </c>
      <c r="W5" s="16">
        <f t="shared" ref="W5:W10" si="7">SUM(T5:V5)</f>
        <v>220089.1</v>
      </c>
    </row>
    <row r="6" spans="1:23" x14ac:dyDescent="0.2">
      <c r="A6" s="6">
        <v>2</v>
      </c>
      <c r="B6" s="24">
        <v>0.90101500000000001</v>
      </c>
      <c r="C6" s="24">
        <v>5.6174000000000002E-2</v>
      </c>
      <c r="D6" s="24">
        <v>3.2432000000000002E-2</v>
      </c>
      <c r="E6" s="6">
        <f>1-SUM(B6:D6)</f>
        <v>1.0378999999999916E-2</v>
      </c>
      <c r="F6" s="6">
        <v>1200000</v>
      </c>
      <c r="G6" s="6">
        <v>4</v>
      </c>
      <c r="H6" s="6">
        <v>9</v>
      </c>
      <c r="I6" s="6">
        <v>5</v>
      </c>
      <c r="J6" s="11"/>
      <c r="K6" s="2">
        <v>2</v>
      </c>
      <c r="L6">
        <f t="shared" si="2"/>
        <v>0</v>
      </c>
      <c r="M6">
        <f t="shared" si="2"/>
        <v>0</v>
      </c>
      <c r="N6">
        <f t="shared" si="2"/>
        <v>0</v>
      </c>
      <c r="P6">
        <f>MIN(L6,N17)</f>
        <v>0</v>
      </c>
      <c r="Q6">
        <f>MIN(L6-P6,M17)</f>
        <v>0</v>
      </c>
      <c r="R6">
        <f t="shared" si="4"/>
        <v>0</v>
      </c>
      <c r="T6" s="3">
        <f t="shared" ref="T6:T10" si="8">$F6*G6*P6</f>
        <v>0</v>
      </c>
      <c r="U6" s="3">
        <f t="shared" si="5"/>
        <v>0</v>
      </c>
      <c r="V6" s="3">
        <f t="shared" si="6"/>
        <v>0</v>
      </c>
      <c r="W6" s="16">
        <f t="shared" si="7"/>
        <v>0</v>
      </c>
    </row>
    <row r="7" spans="1:23" x14ac:dyDescent="0.2">
      <c r="A7" s="6">
        <v>3</v>
      </c>
      <c r="B7" s="24">
        <v>0.90101500000000001</v>
      </c>
      <c r="C7" s="24">
        <v>5.6174000000000002E-2</v>
      </c>
      <c r="D7" s="24">
        <v>3.2432000000000002E-2</v>
      </c>
      <c r="E7" s="6">
        <f t="shared" si="1"/>
        <v>1.0378999999999916E-2</v>
      </c>
      <c r="F7" s="6">
        <v>1350000</v>
      </c>
      <c r="G7" s="6">
        <v>4</v>
      </c>
      <c r="H7" s="6">
        <v>9</v>
      </c>
      <c r="I7" s="6">
        <v>5</v>
      </c>
      <c r="J7" s="11"/>
      <c r="K7" s="2">
        <v>3</v>
      </c>
      <c r="L7">
        <f t="shared" si="2"/>
        <v>0</v>
      </c>
      <c r="M7">
        <f t="shared" si="2"/>
        <v>0</v>
      </c>
      <c r="N7">
        <f t="shared" si="2"/>
        <v>0</v>
      </c>
      <c r="P7">
        <f t="shared" ref="P5:P10" si="9">MIN(L7,N18)</f>
        <v>0</v>
      </c>
      <c r="Q7">
        <f t="shared" si="3"/>
        <v>0</v>
      </c>
      <c r="R7">
        <f t="shared" si="4"/>
        <v>0</v>
      </c>
      <c r="T7" s="3">
        <f t="shared" si="8"/>
        <v>0</v>
      </c>
      <c r="U7" s="3">
        <f t="shared" si="5"/>
        <v>0</v>
      </c>
      <c r="V7" s="3">
        <f t="shared" si="6"/>
        <v>0</v>
      </c>
      <c r="W7" s="16">
        <f t="shared" si="7"/>
        <v>0</v>
      </c>
    </row>
    <row r="8" spans="1:23" x14ac:dyDescent="0.2">
      <c r="A8" s="6">
        <v>4</v>
      </c>
      <c r="B8" s="24">
        <v>0.90101500000000001</v>
      </c>
      <c r="C8" s="24">
        <v>5.6174000000000002E-2</v>
      </c>
      <c r="D8" s="24">
        <v>3.2432000000000002E-2</v>
      </c>
      <c r="E8" s="6">
        <f t="shared" si="1"/>
        <v>1.0378999999999916E-2</v>
      </c>
      <c r="F8" s="6">
        <v>1500000</v>
      </c>
      <c r="G8" s="6">
        <v>4</v>
      </c>
      <c r="H8" s="6">
        <v>9</v>
      </c>
      <c r="I8" s="6">
        <v>5</v>
      </c>
      <c r="J8" s="11"/>
      <c r="K8" s="2">
        <v>4</v>
      </c>
      <c r="L8">
        <f t="shared" si="2"/>
        <v>0</v>
      </c>
      <c r="M8">
        <f t="shared" si="2"/>
        <v>0</v>
      </c>
      <c r="N8">
        <f t="shared" si="2"/>
        <v>0</v>
      </c>
      <c r="P8">
        <f t="shared" si="9"/>
        <v>0</v>
      </c>
      <c r="Q8">
        <f t="shared" si="3"/>
        <v>0</v>
      </c>
      <c r="R8">
        <f t="shared" si="4"/>
        <v>0</v>
      </c>
      <c r="T8" s="3">
        <f t="shared" si="8"/>
        <v>0</v>
      </c>
      <c r="U8" s="3">
        <f t="shared" si="5"/>
        <v>0</v>
      </c>
      <c r="V8" s="3">
        <f t="shared" si="6"/>
        <v>0</v>
      </c>
      <c r="W8" s="16">
        <f t="shared" si="7"/>
        <v>0</v>
      </c>
    </row>
    <row r="9" spans="1:23" x14ac:dyDescent="0.2">
      <c r="A9" s="6">
        <v>5</v>
      </c>
      <c r="B9" s="24">
        <v>0.90101500000000001</v>
      </c>
      <c r="C9" s="24">
        <v>5.6174000000000002E-2</v>
      </c>
      <c r="D9" s="24">
        <v>3.2432000000000002E-2</v>
      </c>
      <c r="E9" s="6">
        <f t="shared" si="1"/>
        <v>1.0378999999999916E-2</v>
      </c>
      <c r="F9" s="6">
        <v>1720000</v>
      </c>
      <c r="G9" s="6">
        <v>4</v>
      </c>
      <c r="H9" s="6">
        <v>9</v>
      </c>
      <c r="I9" s="6">
        <v>5</v>
      </c>
      <c r="J9" s="11"/>
      <c r="K9" s="2">
        <v>5</v>
      </c>
      <c r="L9">
        <f t="shared" si="2"/>
        <v>0</v>
      </c>
      <c r="M9">
        <f t="shared" si="2"/>
        <v>0</v>
      </c>
      <c r="N9">
        <f t="shared" si="2"/>
        <v>0</v>
      </c>
      <c r="P9">
        <f t="shared" si="9"/>
        <v>0</v>
      </c>
      <c r="Q9">
        <f t="shared" si="3"/>
        <v>0</v>
      </c>
      <c r="R9">
        <f t="shared" si="4"/>
        <v>0</v>
      </c>
      <c r="T9" s="3">
        <f t="shared" si="8"/>
        <v>0</v>
      </c>
      <c r="U9" s="3">
        <f>$F9*H9*Q9</f>
        <v>0</v>
      </c>
      <c r="V9" s="3">
        <f t="shared" si="6"/>
        <v>0</v>
      </c>
      <c r="W9" s="16">
        <f t="shared" si="7"/>
        <v>0</v>
      </c>
    </row>
    <row r="10" spans="1:23" x14ac:dyDescent="0.2">
      <c r="A10" s="6">
        <v>6</v>
      </c>
      <c r="B10" s="24">
        <v>0.90101500000000001</v>
      </c>
      <c r="C10" s="24">
        <v>5.6174000000000002E-2</v>
      </c>
      <c r="D10" s="24">
        <v>3.2432000000000002E-2</v>
      </c>
      <c r="E10" s="6">
        <f t="shared" si="1"/>
        <v>1.0378999999999916E-2</v>
      </c>
      <c r="F10" s="6">
        <v>1820000</v>
      </c>
      <c r="G10" s="6">
        <v>4</v>
      </c>
      <c r="H10" s="6">
        <v>9</v>
      </c>
      <c r="I10" s="6">
        <v>5</v>
      </c>
      <c r="J10" s="11"/>
      <c r="K10" s="2">
        <v>6</v>
      </c>
      <c r="L10">
        <f t="shared" si="2"/>
        <v>0</v>
      </c>
      <c r="M10">
        <f t="shared" si="2"/>
        <v>0</v>
      </c>
      <c r="N10">
        <f t="shared" si="2"/>
        <v>0</v>
      </c>
      <c r="P10">
        <f t="shared" si="9"/>
        <v>0</v>
      </c>
      <c r="Q10">
        <f t="shared" si="3"/>
        <v>0</v>
      </c>
      <c r="R10">
        <f t="shared" si="4"/>
        <v>0</v>
      </c>
      <c r="T10" s="3">
        <f t="shared" si="8"/>
        <v>0</v>
      </c>
      <c r="U10" s="3">
        <f t="shared" si="5"/>
        <v>0</v>
      </c>
      <c r="V10" s="3">
        <f t="shared" si="6"/>
        <v>0</v>
      </c>
      <c r="W10" s="16">
        <f t="shared" si="7"/>
        <v>0</v>
      </c>
    </row>
    <row r="11" spans="1:23" x14ac:dyDescent="0.2">
      <c r="A11" s="6">
        <v>7</v>
      </c>
      <c r="B11" s="24">
        <v>0.90101500000000001</v>
      </c>
      <c r="C11" s="24">
        <v>5.6174000000000002E-2</v>
      </c>
      <c r="D11" s="24">
        <v>3.2432000000000002E-2</v>
      </c>
      <c r="E11" s="6">
        <f t="shared" si="1"/>
        <v>1.0378999999999916E-2</v>
      </c>
      <c r="F11" s="6">
        <v>1900000</v>
      </c>
      <c r="G11" s="6">
        <v>4</v>
      </c>
      <c r="H11" s="6">
        <v>9</v>
      </c>
      <c r="I11" s="6">
        <v>5</v>
      </c>
      <c r="J11" s="11"/>
      <c r="K11" s="2">
        <v>7</v>
      </c>
    </row>
    <row r="12" spans="1:23" x14ac:dyDescent="0.2">
      <c r="J12" s="11"/>
    </row>
    <row r="13" spans="1:23" x14ac:dyDescent="0.2">
      <c r="J13" s="11"/>
    </row>
    <row r="14" spans="1:23" x14ac:dyDescent="0.2">
      <c r="J14" s="11"/>
      <c r="K14" s="13"/>
      <c r="L14" s="9" t="s">
        <v>9</v>
      </c>
      <c r="M14" s="9" t="s">
        <v>12</v>
      </c>
      <c r="N14" s="9" t="s">
        <v>8</v>
      </c>
    </row>
    <row r="15" spans="1:23" x14ac:dyDescent="0.2">
      <c r="J15" s="11"/>
      <c r="L15">
        <f>MAX(B5-B4, 0)</f>
        <v>0</v>
      </c>
      <c r="M15">
        <f>MAX(C5-C4, 0)</f>
        <v>1.4894000000000004E-2</v>
      </c>
      <c r="N15">
        <f t="shared" ref="L15:N21" si="10">MAX(D5-D4, 0)</f>
        <v>9.5839999999999988E-3</v>
      </c>
    </row>
    <row r="16" spans="1:23" x14ac:dyDescent="0.2">
      <c r="J16" s="11"/>
      <c r="L16">
        <f t="shared" si="10"/>
        <v>0</v>
      </c>
      <c r="M16">
        <f t="shared" si="10"/>
        <v>1.7392999999999999E-2</v>
      </c>
      <c r="N16">
        <f t="shared" si="10"/>
        <v>1.0886000000000003E-2</v>
      </c>
    </row>
    <row r="17" spans="10:14" x14ac:dyDescent="0.2">
      <c r="J17" s="11"/>
      <c r="L17">
        <f t="shared" si="10"/>
        <v>0</v>
      </c>
      <c r="M17">
        <f t="shared" si="10"/>
        <v>0</v>
      </c>
      <c r="N17">
        <f t="shared" si="10"/>
        <v>0</v>
      </c>
    </row>
    <row r="18" spans="10:14" x14ac:dyDescent="0.2">
      <c r="J18" s="11"/>
      <c r="L18">
        <f t="shared" si="10"/>
        <v>0</v>
      </c>
      <c r="M18">
        <f t="shared" si="10"/>
        <v>0</v>
      </c>
      <c r="N18">
        <f t="shared" si="10"/>
        <v>0</v>
      </c>
    </row>
    <row r="19" spans="10:14" x14ac:dyDescent="0.2">
      <c r="J19" s="11"/>
      <c r="L19">
        <f t="shared" si="10"/>
        <v>0</v>
      </c>
      <c r="M19">
        <f t="shared" si="10"/>
        <v>0</v>
      </c>
      <c r="N19">
        <f t="shared" si="10"/>
        <v>0</v>
      </c>
    </row>
    <row r="20" spans="10:14" x14ac:dyDescent="0.2">
      <c r="J20" s="11"/>
      <c r="L20">
        <f t="shared" si="10"/>
        <v>0</v>
      </c>
      <c r="M20">
        <f t="shared" si="10"/>
        <v>0</v>
      </c>
      <c r="N20">
        <f t="shared" si="10"/>
        <v>0</v>
      </c>
    </row>
    <row r="21" spans="10:14" x14ac:dyDescent="0.2">
      <c r="J21" s="11"/>
      <c r="L21">
        <f t="shared" si="10"/>
        <v>0</v>
      </c>
      <c r="M21">
        <f t="shared" si="10"/>
        <v>0</v>
      </c>
      <c r="N21">
        <f t="shared" si="10"/>
        <v>0</v>
      </c>
    </row>
    <row r="22" spans="10:14" x14ac:dyDescent="0.2">
      <c r="J22" s="11"/>
    </row>
    <row r="23" spans="10:14" x14ac:dyDescent="0.2">
      <c r="J23" s="11"/>
    </row>
  </sheetData>
  <mergeCells count="7">
    <mergeCell ref="T1:W2"/>
    <mergeCell ref="K1:R1"/>
    <mergeCell ref="G1:I1"/>
    <mergeCell ref="B1:E1"/>
    <mergeCell ref="L2:N2"/>
    <mergeCell ref="P2:R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Coburn Syme</dc:creator>
  <cp:lastModifiedBy>Carlos Fabian Fuentes Rivas</cp:lastModifiedBy>
  <dcterms:created xsi:type="dcterms:W3CDTF">2025-12-02T19:16:34Z</dcterms:created>
  <dcterms:modified xsi:type="dcterms:W3CDTF">2025-12-18T17:20:29Z</dcterms:modified>
</cp:coreProperties>
</file>