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uganda_data/ssp_modeling/cb/cb_cost_factors/"/>
    </mc:Choice>
  </mc:AlternateContent>
  <xr:revisionPtr revIDLastSave="0" documentId="8_{D957386A-4CDA-5E4C-8CA1-4C923441FB13}" xr6:coauthVersionLast="47" xr6:coauthVersionMax="47" xr10:uidLastSave="{00000000-0000-0000-0000-000000000000}"/>
  <bookViews>
    <workbookView xWindow="-42760" yWindow="-7140" windowWidth="40060" windowHeight="25240" xr2:uid="{25EF1BFF-89BA-3845-A11C-F59EBB89A4CE}"/>
  </bookViews>
  <sheets>
    <sheet name="Sheet1" sheetId="1" r:id="rId1"/>
  </sheets>
  <definedNames>
    <definedName name="_xlnm._FilterDatabase" localSheetId="0" hidden="1">Sheet1!$B$21:$E$41</definedName>
    <definedName name="_xlchart.v1.0" hidden="1">Sheet1!#REF!</definedName>
    <definedName name="_xlchart.v1.1" hidden="1">Sheet1!#REF!</definedName>
    <definedName name="_xlchart.v1.10" hidden="1">Sheet1!#REF!</definedName>
    <definedName name="_xlchart.v1.11" hidden="1">Sheet1!#REF!</definedName>
    <definedName name="_xlchart.v1.12" hidden="1">Sheet1!#REF!</definedName>
    <definedName name="_xlchart.v1.13" hidden="1">Sheet1!#REF!</definedName>
    <definedName name="_xlchart.v1.14" hidden="1">Sheet1!#REF!</definedName>
    <definedName name="_xlchart.v1.15" hidden="1">Sheet1!#REF!</definedName>
    <definedName name="_xlchart.v1.2" hidden="1">Sheet1!#REF!</definedName>
    <definedName name="_xlchart.v1.3" hidden="1">Sheet1!#REF!</definedName>
    <definedName name="_xlchart.v1.4" hidden="1">Sheet1!#REF!</definedName>
    <definedName name="_xlchart.v1.5" hidden="1">Sheet1!#REF!</definedName>
    <definedName name="_xlchart.v1.6" hidden="1">Sheet1!#REF!</definedName>
    <definedName name="_xlchart.v1.7" hidden="1">Sheet1!#REF!</definedName>
    <definedName name="_xlchart.v1.8" hidden="1">Sheet1!#REF!</definedName>
    <definedName name="_xlchart.v1.9" hidden="1">Sheet1!#REF!</definedName>
    <definedName name="_xlchart.v2.16" hidden="1">Sheet1!#REF!</definedName>
    <definedName name="_xlchart.v2.17" hidden="1">Sheet1!#REF!</definedName>
    <definedName name="_xlchart.v2.18" hidden="1">Sheet1!#REF!</definedName>
    <definedName name="_xlchart.v2.19" hidden="1">Sheet1!#REF!</definedName>
    <definedName name="_xlchart.v2.20" hidden="1">Sheet1!#REF!</definedName>
    <definedName name="_xlchart.v2.21" hidden="1">Sheet1!#REF!</definedName>
    <definedName name="_xlchart.v2.22" hidden="1">Sheet1!#REF!</definedName>
    <definedName name="_xlchart.v2.23" hidden="1">Sheet1!#REF!</definedName>
    <definedName name="_xlchart.v2.24" hidden="1">Sheet1!#REF!</definedName>
    <definedName name="_xlchart.v2.25" hidden="1">Sheet1!#REF!</definedName>
    <definedName name="_xlchart.v2.26" hidden="1">Sheet1!#REF!</definedName>
    <definedName name="_xlchart.v2.27" hidden="1">Sheet1!#REF!</definedName>
    <definedName name="_xlchart.v2.28" hidden="1">Sheet1!#REF!</definedName>
    <definedName name="_xlchart.v2.29" hidden="1">Sheet1!#REF!</definedName>
    <definedName name="_xlchart.v2.30" hidden="1">Sheet1!#REF!</definedName>
    <definedName name="_xlchart.v2.31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E25" i="1"/>
</calcChain>
</file>

<file path=xl/sharedStrings.xml><?xml version="1.0" encoding="utf-8"?>
<sst xmlns="http://schemas.openxmlformats.org/spreadsheetml/2006/main" count="48" uniqueCount="30">
  <si>
    <t>Mobility</t>
  </si>
  <si>
    <t>Ecosystem services</t>
  </si>
  <si>
    <t>Congestion</t>
  </si>
  <si>
    <t>Traffic accidents</t>
  </si>
  <si>
    <t>Health – sanitation</t>
  </si>
  <si>
    <t>Health – indoor air pollution</t>
  </si>
  <si>
    <t>Total</t>
  </si>
  <si>
    <t>Cb Type</t>
  </si>
  <si>
    <t>Pathway</t>
  </si>
  <si>
    <t>GDP Relative</t>
  </si>
  <si>
    <t>Other costs/benefits</t>
  </si>
  <si>
    <t>NDC_2</t>
  </si>
  <si>
    <t>Human Health</t>
  </si>
  <si>
    <t>Pollution (air)</t>
  </si>
  <si>
    <t>Pollution (water)</t>
  </si>
  <si>
    <t>Pollution (land)</t>
  </si>
  <si>
    <t>Pollution (environment)</t>
  </si>
  <si>
    <t>Transport (congestion)</t>
  </si>
  <si>
    <t>Transport (road safety)</t>
  </si>
  <si>
    <t>IPPU value</t>
  </si>
  <si>
    <t>Crop value</t>
  </si>
  <si>
    <t>Livestock value</t>
  </si>
  <si>
    <t>Fuel cost savings</t>
  </si>
  <si>
    <t>Consumer savings</t>
  </si>
  <si>
    <t>System cost savings</t>
  </si>
  <si>
    <t>O&amp;M savings</t>
  </si>
  <si>
    <t>Capital costs</t>
  </si>
  <si>
    <t>Year</t>
  </si>
  <si>
    <t>SISEPUEDE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</si>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</sst>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1" fontId="0" fillId="0" borderId="0" xfId="0" applyNumberForma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168" fontId="0" fillId="0" borderId="0" xfId="1" applyNumberFormat="1" applyFont="1"/>
    <xf numFmtId="168" fontId="0" fillId="5" borderId="0" xfId="1" applyNumberFormat="1" applyFont="1" applyFill="1"/>
    <xf numFmtId="168" fontId="0" fillId="2" borderId="0" xfId="1" applyNumberFormat="1" applyFont="1" applyFill="1"/>
    <xf numFmtId="168" fontId="0" fillId="3" borderId="0" xfId="1" applyNumberFormat="1" applyFont="1" applyFill="1"/>
    <xf numFmtId="168" fontId="0" fillId="4" borderId="0" xfId="1" applyNumberFormat="1" applyFont="1" applyFill="1"/>
    <xf numFmtId="168" fontId="0" fillId="0" borderId="0" xfId="0" applyNumberForma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0FC9-BA1F-1F49-99C4-71DA04EC42A8}">
  <dimension ref="B1:H28"/>
  <sheetViews>
    <sheetView tabSelected="1" workbookViewId="0">
      <selection activeCell="G23" sqref="G23"/>
    </sheetView>
  </sheetViews>
  <sheetFormatPr baseColWidth="10" defaultRowHeight="16" x14ac:dyDescent="0.2"/>
  <cols>
    <col min="2" max="2" width="20.33203125" bestFit="1" customWidth="1"/>
    <col min="6" max="6" width="4.6640625" customWidth="1"/>
    <col min="7" max="7" width="24.33203125" bestFit="1" customWidth="1"/>
  </cols>
  <sheetData>
    <row r="1" spans="2:8" x14ac:dyDescent="0.2">
      <c r="B1" s="17" t="s">
        <v>28</v>
      </c>
      <c r="G1" s="18" t="s">
        <v>29</v>
      </c>
    </row>
    <row r="3" spans="2:8" x14ac:dyDescent="0.2">
      <c r="B3" t="s">
        <v>7</v>
      </c>
      <c r="C3" t="s">
        <v>8</v>
      </c>
      <c r="D3" t="s">
        <v>27</v>
      </c>
      <c r="E3" t="s">
        <v>9</v>
      </c>
    </row>
    <row r="4" spans="2:8" x14ac:dyDescent="0.2">
      <c r="B4" t="s">
        <v>10</v>
      </c>
      <c r="C4" t="s">
        <v>11</v>
      </c>
      <c r="D4">
        <v>2050</v>
      </c>
      <c r="E4" s="11">
        <v>2.9783140000000001E-3</v>
      </c>
    </row>
    <row r="5" spans="2:8" x14ac:dyDescent="0.2">
      <c r="B5" s="9" t="s">
        <v>12</v>
      </c>
      <c r="C5" s="9" t="s">
        <v>11</v>
      </c>
      <c r="D5" s="9">
        <v>2050</v>
      </c>
      <c r="E5" s="12">
        <v>1.5159962000000001E-2</v>
      </c>
      <c r="G5" s="10" t="s">
        <v>4</v>
      </c>
      <c r="H5" s="11">
        <v>0.02</v>
      </c>
    </row>
    <row r="6" spans="2:8" x14ac:dyDescent="0.2">
      <c r="B6" t="s">
        <v>13</v>
      </c>
      <c r="C6" t="s">
        <v>11</v>
      </c>
      <c r="D6">
        <v>2050</v>
      </c>
      <c r="E6" s="11">
        <v>1.66215E-3</v>
      </c>
      <c r="H6" s="16"/>
    </row>
    <row r="7" spans="2:8" x14ac:dyDescent="0.2">
      <c r="B7" s="9" t="s">
        <v>14</v>
      </c>
      <c r="C7" s="9" t="s">
        <v>11</v>
      </c>
      <c r="D7" s="9">
        <v>2050</v>
      </c>
      <c r="E7" s="12">
        <v>1.4693186E-2</v>
      </c>
      <c r="H7" s="16"/>
    </row>
    <row r="8" spans="2:8" x14ac:dyDescent="0.2">
      <c r="B8" t="s">
        <v>15</v>
      </c>
      <c r="C8" t="s">
        <v>11</v>
      </c>
      <c r="D8">
        <v>2050</v>
      </c>
      <c r="E8" s="11">
        <v>1.6515826789999999E-5</v>
      </c>
      <c r="H8" s="16"/>
    </row>
    <row r="9" spans="2:8" x14ac:dyDescent="0.2">
      <c r="B9" t="s">
        <v>16</v>
      </c>
      <c r="C9" t="s">
        <v>11</v>
      </c>
      <c r="D9">
        <v>2050</v>
      </c>
      <c r="E9" s="11">
        <v>7.1979890000000001E-3</v>
      </c>
      <c r="H9" s="16"/>
    </row>
    <row r="10" spans="2:8" x14ac:dyDescent="0.2">
      <c r="B10" s="4" t="s">
        <v>1</v>
      </c>
      <c r="C10" s="4" t="s">
        <v>11</v>
      </c>
      <c r="D10" s="4">
        <v>2050</v>
      </c>
      <c r="E10" s="13">
        <v>8.2253600000000001E-4</v>
      </c>
      <c r="G10" s="3" t="s">
        <v>1</v>
      </c>
      <c r="H10" s="11">
        <v>0.02</v>
      </c>
    </row>
    <row r="11" spans="2:8" x14ac:dyDescent="0.2">
      <c r="B11" s="6" t="s">
        <v>17</v>
      </c>
      <c r="C11" s="6" t="s">
        <v>11</v>
      </c>
      <c r="D11" s="6">
        <v>2050</v>
      </c>
      <c r="E11" s="14">
        <v>1.4103379999999999E-3</v>
      </c>
      <c r="G11" s="5" t="s">
        <v>2</v>
      </c>
      <c r="H11" s="11">
        <v>4.8999999999999998E-3</v>
      </c>
    </row>
    <row r="12" spans="2:8" x14ac:dyDescent="0.2">
      <c r="B12" s="7" t="s">
        <v>18</v>
      </c>
      <c r="C12" s="7" t="s">
        <v>11</v>
      </c>
      <c r="D12" s="7">
        <v>2050</v>
      </c>
      <c r="E12" s="15">
        <v>1.8908429999999999E-3</v>
      </c>
      <c r="G12" s="8" t="s">
        <v>3</v>
      </c>
      <c r="H12" s="15">
        <v>2.5000000000000001E-2</v>
      </c>
    </row>
    <row r="13" spans="2:8" x14ac:dyDescent="0.2">
      <c r="B13" t="s">
        <v>19</v>
      </c>
      <c r="C13" t="s">
        <v>11</v>
      </c>
      <c r="D13">
        <v>2050</v>
      </c>
      <c r="E13" s="11">
        <v>6.4581267090000003E-5</v>
      </c>
      <c r="G13" s="8" t="s">
        <v>0</v>
      </c>
      <c r="H13" s="15">
        <v>1E-4</v>
      </c>
    </row>
    <row r="14" spans="2:8" x14ac:dyDescent="0.2">
      <c r="B14" t="s">
        <v>20</v>
      </c>
      <c r="C14" t="s">
        <v>11</v>
      </c>
      <c r="D14">
        <v>2050</v>
      </c>
      <c r="E14" s="11">
        <v>1.546632E-3</v>
      </c>
      <c r="H14" s="16"/>
    </row>
    <row r="15" spans="2:8" x14ac:dyDescent="0.2">
      <c r="B15" t="s">
        <v>21</v>
      </c>
      <c r="C15" t="s">
        <v>11</v>
      </c>
      <c r="D15">
        <v>2050</v>
      </c>
      <c r="E15" s="11">
        <v>9.9531911379999998E-5</v>
      </c>
      <c r="H15" s="16"/>
    </row>
    <row r="16" spans="2:8" x14ac:dyDescent="0.2">
      <c r="B16" t="s">
        <v>22</v>
      </c>
      <c r="C16" t="s">
        <v>11</v>
      </c>
      <c r="D16">
        <v>2050</v>
      </c>
      <c r="E16" s="11">
        <v>1.1865910000000001E-3</v>
      </c>
      <c r="H16" s="16"/>
    </row>
    <row r="17" spans="2:8" x14ac:dyDescent="0.2">
      <c r="B17" t="s">
        <v>23</v>
      </c>
      <c r="C17" t="s">
        <v>11</v>
      </c>
      <c r="D17">
        <v>2050</v>
      </c>
      <c r="E17" s="11">
        <v>7.2490159999999996E-3</v>
      </c>
      <c r="H17" s="16"/>
    </row>
    <row r="18" spans="2:8" x14ac:dyDescent="0.2">
      <c r="B18" t="s">
        <v>24</v>
      </c>
      <c r="C18" t="s">
        <v>11</v>
      </c>
      <c r="D18">
        <v>2050</v>
      </c>
      <c r="E18" s="11">
        <v>-1.3676699999999999E-4</v>
      </c>
      <c r="H18" s="16"/>
    </row>
    <row r="19" spans="2:8" x14ac:dyDescent="0.2">
      <c r="B19" t="s">
        <v>25</v>
      </c>
      <c r="C19" t="s">
        <v>11</v>
      </c>
      <c r="D19">
        <v>2050</v>
      </c>
      <c r="E19" s="11">
        <v>5.0061500000000004E-4</v>
      </c>
      <c r="H19" s="16"/>
    </row>
    <row r="20" spans="2:8" x14ac:dyDescent="0.2">
      <c r="B20" t="s">
        <v>26</v>
      </c>
      <c r="C20" t="s">
        <v>11</v>
      </c>
      <c r="D20">
        <v>2050</v>
      </c>
      <c r="E20" s="11">
        <v>-2.5780554000000001E-2</v>
      </c>
      <c r="H20" s="16"/>
    </row>
    <row r="21" spans="2:8" x14ac:dyDescent="0.2">
      <c r="G21" s="1" t="s">
        <v>5</v>
      </c>
      <c r="H21" s="16">
        <v>0.09</v>
      </c>
    </row>
    <row r="23" spans="2:8" x14ac:dyDescent="0.2">
      <c r="H23" s="16"/>
    </row>
    <row r="24" spans="2:8" x14ac:dyDescent="0.2">
      <c r="E24" s="2"/>
      <c r="H24" s="16"/>
    </row>
    <row r="25" spans="2:8" x14ac:dyDescent="0.2">
      <c r="B25" t="s">
        <v>6</v>
      </c>
      <c r="E25" s="16">
        <f>+SUM(E4:E20)</f>
        <v>3.0561480005259999E-2</v>
      </c>
      <c r="G25" t="s">
        <v>6</v>
      </c>
      <c r="H25" s="16">
        <f>+SUM(H5:H21)</f>
        <v>0.16</v>
      </c>
    </row>
    <row r="28" spans="2:8" x14ac:dyDescent="0.2">
      <c r="E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Fabian Fuentes Rivas</dc:creator>
  <cp:lastModifiedBy>Carlos Fabian Fuentes Rivas</cp:lastModifiedBy>
  <dcterms:created xsi:type="dcterms:W3CDTF">2025-10-27T02:26:30Z</dcterms:created>
  <dcterms:modified xsi:type="dcterms:W3CDTF">2025-10-27T03:26:27Z</dcterms:modified>
</cp:coreProperties>
</file>